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trlProps/ctrlProp1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+xml"/>
  <Override PartName="/xl/ctrlProps/ctrlProp5.xml" ContentType="application/vnd.ms-excel.controlproperti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ca08716033c18ba/3. CLIENTES/DONNA ELEGANTE/"/>
    </mc:Choice>
  </mc:AlternateContent>
  <xr:revisionPtr revIDLastSave="1" documentId="8_{C2591169-C8E1-4A95-B8C4-593DE1A414CB}" xr6:coauthVersionLast="47" xr6:coauthVersionMax="47" xr10:uidLastSave="{CE041A91-5AA3-4D95-A620-CB5996DBE76E}"/>
  <bookViews>
    <workbookView xWindow="-108" yWindow="-108" windowWidth="23256" windowHeight="12456" tabRatio="894" firstSheet="1" activeTab="2" xr2:uid="{7067B550-19CE-43F6-B5F2-8BE1F0BA4F5E}"/>
  </bookViews>
  <sheets>
    <sheet name="feriados" sheetId="32" state="hidden" r:id="rId1"/>
    <sheet name="parametros" sheetId="7" r:id="rId2"/>
    <sheet name="id_org" sheetId="6" r:id="rId3"/>
    <sheet name="equipes" sheetId="8" r:id="rId4"/>
    <sheet name="funcionários" sheetId="9" r:id="rId5"/>
    <sheet name="me" sheetId="11" r:id="rId6"/>
    <sheet name="mg" sheetId="10" r:id="rId7"/>
    <sheet name="est1" sheetId="12" r:id="rId8"/>
    <sheet name="est2" sheetId="29" r:id="rId9"/>
    <sheet name="est3" sheetId="30" r:id="rId10"/>
    <sheet name="est4" sheetId="31" r:id="rId11"/>
    <sheet name="PA1" sheetId="17" r:id="rId12"/>
    <sheet name="PA2" sheetId="33" r:id="rId13"/>
    <sheet name="PA3" sheetId="34" r:id="rId14"/>
    <sheet name="PA4" sheetId="35" r:id="rId15"/>
    <sheet name="RC_est" sheetId="21" r:id="rId16"/>
    <sheet name="RC_mg" sheetId="36" r:id="rId17"/>
    <sheet name="RC_pa" sheetId="37" r:id="rId18"/>
    <sheet name="RC_ae" sheetId="38" r:id="rId19"/>
    <sheet name="RC_imp" sheetId="39" r:id="rId20"/>
    <sheet name="mapa" sheetId="23" r:id="rId21"/>
    <sheet name="dash_ap" sheetId="41" r:id="rId22"/>
    <sheet name="dash_apa" sheetId="42" r:id="rId23"/>
    <sheet name="dash_ae" sheetId="43" r:id="rId24"/>
    <sheet name="imp_swot" sheetId="24" r:id="rId25"/>
  </sheets>
  <definedNames>
    <definedName name="_xlnm.Print_Area" localSheetId="23">dash_ae!$A$1:$Y$48</definedName>
    <definedName name="_xlnm.Print_Area" localSheetId="21">dash_ap!$A$1:$Q$21</definedName>
    <definedName name="_xlnm.Print_Area" localSheetId="22">dash_apa!$A$1:$K$21</definedName>
    <definedName name="_xlnm.Print_Area" localSheetId="11">'PA1'!$A$1:$N$23</definedName>
    <definedName name="_xlnm.Print_Area" localSheetId="12">'PA2'!$A$1:$N$23</definedName>
    <definedName name="_xlnm.Print_Area" localSheetId="13">'PA3'!$A$1:$N$23</definedName>
    <definedName name="_xlnm.Print_Area" localSheetId="14">'PA4'!$A$1:$N$23</definedName>
    <definedName name="_xlnm.Print_Area" localSheetId="18">RC_ae!$A$1:$H$11</definedName>
    <definedName name="_xlnm.Print_Area" localSheetId="15">RC_est!$A$1:$L$20</definedName>
    <definedName name="_xlnm.Print_Area" localSheetId="17">RC_pa!$A$1:$P$31</definedName>
    <definedName name="equipes">equipes!$C$6:$C$11</definedName>
    <definedName name="feriados">feriados!$A$3:$A$1845</definedName>
    <definedName name="funcionarios">funcionários!$D$6:$D$11</definedName>
    <definedName name="me_fin">'est1'!$C$59:$C$66</definedName>
    <definedName name="me_log">'est3'!$C$59:$C$66</definedName>
    <definedName name="me_mkt">'est2'!$C$59:$C$66</definedName>
    <definedName name="me_rh">'est4'!$C$59:$C$66</definedName>
    <definedName name="params_ano">parametros!$B$2:$B$21</definedName>
    <definedName name="params_direcao">parametros!$I$2:$I$3</definedName>
    <definedName name="params_meses">parametros!$F$2:$F$13</definedName>
    <definedName name="params_pespc">parametros!$M$2:$M$5</definedName>
    <definedName name="params_qtda_anos">parametros!$D$2:$D$6</definedName>
    <definedName name="params_situacao">parametros!$L$2:$L$4</definedName>
    <definedName name="params_status">parametros!$G$2:$G$5</definedName>
    <definedName name="params_und">parametros!$J$2:$J$4</definedName>
    <definedName name="perspectiva_clientes">me!$H$6:$I$13</definedName>
    <definedName name="perspectiva_financeira">me!$D$6:$E$13</definedName>
    <definedName name="perspectiva_pi">me!$D$17:$E$24</definedName>
    <definedName name="perspectiva_rh">me!$H$17:$I$24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" i="24" l="1"/>
  <c r="N9" i="24"/>
  <c r="M9" i="24"/>
  <c r="L9" i="24"/>
  <c r="K9" i="24"/>
  <c r="J9" i="24"/>
  <c r="I9" i="24"/>
  <c r="H9" i="24"/>
  <c r="G9" i="24"/>
  <c r="F9" i="24"/>
  <c r="E30" i="24"/>
  <c r="E29" i="24"/>
  <c r="E28" i="24"/>
  <c r="E27" i="24"/>
  <c r="E26" i="24"/>
  <c r="E25" i="24"/>
  <c r="E24" i="24"/>
  <c r="E23" i="24"/>
  <c r="E22" i="24"/>
  <c r="E21" i="24"/>
  <c r="F29" i="41"/>
  <c r="F28" i="41"/>
  <c r="F27" i="41"/>
  <c r="E31" i="41"/>
  <c r="F31" i="41" s="1"/>
  <c r="D31" i="41"/>
  <c r="E30" i="41"/>
  <c r="F30" i="41" s="1"/>
  <c r="D30" i="41"/>
  <c r="E29" i="41"/>
  <c r="D29" i="41"/>
  <c r="E28" i="41"/>
  <c r="D28" i="41"/>
  <c r="E27" i="41"/>
  <c r="D27" i="41"/>
  <c r="E26" i="41"/>
  <c r="D26" i="41"/>
  <c r="F26" i="41" s="1"/>
  <c r="BX45" i="31" l="1"/>
  <c r="BW45" i="31"/>
  <c r="BV45" i="31"/>
  <c r="BU45" i="31"/>
  <c r="BT45" i="31"/>
  <c r="BS45" i="31"/>
  <c r="BR45" i="31"/>
  <c r="BQ45" i="31"/>
  <c r="BP45" i="31"/>
  <c r="BO45" i="31"/>
  <c r="BN45" i="31"/>
  <c r="BM45" i="31"/>
  <c r="BI45" i="31"/>
  <c r="BH45" i="31"/>
  <c r="BG45" i="31"/>
  <c r="BF45" i="31"/>
  <c r="BE45" i="31"/>
  <c r="BD45" i="31"/>
  <c r="BC45" i="31"/>
  <c r="BB45" i="31"/>
  <c r="BA45" i="31"/>
  <c r="AZ45" i="31"/>
  <c r="AY45" i="31"/>
  <c r="AX45" i="31"/>
  <c r="AV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Q45" i="31"/>
  <c r="BZ44" i="31"/>
  <c r="BZ45" i="31" s="1"/>
  <c r="BK44" i="31"/>
  <c r="AV44" i="31"/>
  <c r="AG44" i="31"/>
  <c r="AG45" i="31" s="1"/>
  <c r="R44" i="31"/>
  <c r="Q44" i="31"/>
  <c r="BZ43" i="31"/>
  <c r="BK43" i="31"/>
  <c r="BK45" i="31" s="1"/>
  <c r="BJ43" i="31"/>
  <c r="AV43" i="31"/>
  <c r="AG43" i="31"/>
  <c r="R43" i="31"/>
  <c r="R45" i="31" s="1"/>
  <c r="Q43" i="31"/>
  <c r="BX40" i="31"/>
  <c r="BW40" i="31"/>
  <c r="BV40" i="31"/>
  <c r="BU40" i="31"/>
  <c r="BT40" i="31"/>
  <c r="BS40" i="31"/>
  <c r="BR40" i="31"/>
  <c r="BQ40" i="31"/>
  <c r="BP40" i="31"/>
  <c r="BO40" i="31"/>
  <c r="BN40" i="31"/>
  <c r="BM40" i="31"/>
  <c r="BI40" i="31"/>
  <c r="BH40" i="31"/>
  <c r="BG40" i="31"/>
  <c r="BF40" i="31"/>
  <c r="BE40" i="31"/>
  <c r="BD40" i="31"/>
  <c r="BC40" i="31"/>
  <c r="BB40" i="31"/>
  <c r="BA40" i="31"/>
  <c r="AZ40" i="31"/>
  <c r="AY40" i="31"/>
  <c r="AX40" i="31"/>
  <c r="AV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BZ39" i="31"/>
  <c r="BZ40" i="31" s="1"/>
  <c r="BK39" i="31"/>
  <c r="AV39" i="31"/>
  <c r="AG39" i="31"/>
  <c r="AG40" i="31" s="1"/>
  <c r="AF39" i="31"/>
  <c r="R39" i="31"/>
  <c r="Q39" i="31"/>
  <c r="BZ38" i="31"/>
  <c r="BK38" i="31"/>
  <c r="BK40" i="31" s="1"/>
  <c r="AV38" i="31"/>
  <c r="AG38" i="31"/>
  <c r="R38" i="31"/>
  <c r="R40" i="31" s="1"/>
  <c r="Q38" i="31"/>
  <c r="Q40" i="31" s="1"/>
  <c r="BX35" i="31"/>
  <c r="BW35" i="31"/>
  <c r="BV35" i="31"/>
  <c r="BU35" i="31"/>
  <c r="BT35" i="31"/>
  <c r="BS35" i="31"/>
  <c r="BR35" i="31"/>
  <c r="BQ35" i="31"/>
  <c r="BP35" i="31"/>
  <c r="BO35" i="31"/>
  <c r="BN35" i="31"/>
  <c r="BM35" i="31"/>
  <c r="BI35" i="31"/>
  <c r="BH35" i="31"/>
  <c r="BG35" i="31"/>
  <c r="BF35" i="31"/>
  <c r="BE35" i="31"/>
  <c r="BD35" i="31"/>
  <c r="BC35" i="31"/>
  <c r="BB35" i="31"/>
  <c r="BA35" i="31"/>
  <c r="AZ35" i="31"/>
  <c r="AY35" i="31"/>
  <c r="AX35" i="31"/>
  <c r="AV35" i="31"/>
  <c r="AT35" i="31"/>
  <c r="AS35" i="31"/>
  <c r="AR35" i="31"/>
  <c r="AQ35" i="31"/>
  <c r="AP35" i="31"/>
  <c r="AO35" i="31"/>
  <c r="AN35" i="31"/>
  <c r="AM35" i="31"/>
  <c r="AL35" i="31"/>
  <c r="AK35" i="31"/>
  <c r="AJ35" i="31"/>
  <c r="AI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Q35" i="31"/>
  <c r="BZ34" i="31"/>
  <c r="BZ35" i="31" s="1"/>
  <c r="BY34" i="31"/>
  <c r="BK34" i="31"/>
  <c r="AV34" i="31"/>
  <c r="AG34" i="31"/>
  <c r="AG35" i="31" s="1"/>
  <c r="R34" i="31"/>
  <c r="Q34" i="31"/>
  <c r="BZ33" i="31"/>
  <c r="BK33" i="31"/>
  <c r="BK35" i="31" s="1"/>
  <c r="AV33" i="31"/>
  <c r="AG33" i="31"/>
  <c r="R33" i="31"/>
  <c r="Q33" i="31"/>
  <c r="BX30" i="31"/>
  <c r="BW30" i="31"/>
  <c r="BV30" i="31"/>
  <c r="BU30" i="31"/>
  <c r="BT30" i="31"/>
  <c r="BS30" i="31"/>
  <c r="BR30" i="31"/>
  <c r="BQ30" i="31"/>
  <c r="BP30" i="31"/>
  <c r="BO30" i="31"/>
  <c r="BN30" i="31"/>
  <c r="BM30" i="31"/>
  <c r="BI30" i="31"/>
  <c r="BH30" i="31"/>
  <c r="BG30" i="31"/>
  <c r="BF30" i="31"/>
  <c r="BE30" i="31"/>
  <c r="BD30" i="31"/>
  <c r="BC30" i="31"/>
  <c r="BB30" i="31"/>
  <c r="BA30" i="31"/>
  <c r="AZ30" i="31"/>
  <c r="AY30" i="31"/>
  <c r="AX30" i="31"/>
  <c r="AV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BZ29" i="31"/>
  <c r="BZ30" i="31" s="1"/>
  <c r="BK29" i="31"/>
  <c r="AV29" i="31"/>
  <c r="AG29" i="31"/>
  <c r="AG30" i="31" s="1"/>
  <c r="R29" i="31"/>
  <c r="Q29" i="31"/>
  <c r="BZ28" i="31"/>
  <c r="BK28" i="31"/>
  <c r="BK30" i="31" s="1"/>
  <c r="AV28" i="31"/>
  <c r="AG28" i="31"/>
  <c r="R28" i="31"/>
  <c r="R30" i="31" s="1"/>
  <c r="Q28" i="31"/>
  <c r="Q30" i="31" s="1"/>
  <c r="BX25" i="31"/>
  <c r="BW25" i="31"/>
  <c r="BV25" i="31"/>
  <c r="BU25" i="31"/>
  <c r="BT25" i="31"/>
  <c r="BS25" i="31"/>
  <c r="BR25" i="31"/>
  <c r="BQ25" i="31"/>
  <c r="BP25" i="31"/>
  <c r="BO25" i="31"/>
  <c r="BN25" i="31"/>
  <c r="BM25" i="31"/>
  <c r="BI25" i="31"/>
  <c r="BH25" i="31"/>
  <c r="BG25" i="31"/>
  <c r="BF25" i="31"/>
  <c r="BE25" i="31"/>
  <c r="BD25" i="31"/>
  <c r="BC25" i="31"/>
  <c r="BB25" i="31"/>
  <c r="BA25" i="31"/>
  <c r="AZ25" i="31"/>
  <c r="AY25" i="31"/>
  <c r="AX25" i="31"/>
  <c r="AV25" i="31"/>
  <c r="AT25" i="31"/>
  <c r="AS25" i="31"/>
  <c r="AR25" i="31"/>
  <c r="AQ25" i="31"/>
  <c r="AP25" i="31"/>
  <c r="AO25" i="31"/>
  <c r="AN25" i="31"/>
  <c r="AM25" i="31"/>
  <c r="AL25" i="31"/>
  <c r="AK25" i="31"/>
  <c r="AJ25" i="31"/>
  <c r="AI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Q25" i="31"/>
  <c r="BZ24" i="31"/>
  <c r="BZ25" i="31" s="1"/>
  <c r="BK24" i="31"/>
  <c r="AV24" i="31"/>
  <c r="AG24" i="31"/>
  <c r="AG25" i="31" s="1"/>
  <c r="R24" i="31"/>
  <c r="Q24" i="31"/>
  <c r="BZ23" i="31"/>
  <c r="BK23" i="31"/>
  <c r="BK25" i="31" s="1"/>
  <c r="AV23" i="31"/>
  <c r="AG23" i="31"/>
  <c r="R23" i="31"/>
  <c r="R25" i="31" s="1"/>
  <c r="Q23" i="31"/>
  <c r="BX20" i="31"/>
  <c r="BW20" i="31"/>
  <c r="BV20" i="31"/>
  <c r="BU20" i="31"/>
  <c r="BT20" i="31"/>
  <c r="BS20" i="31"/>
  <c r="BR20" i="31"/>
  <c r="BQ20" i="31"/>
  <c r="BP20" i="31"/>
  <c r="BO20" i="31"/>
  <c r="BN20" i="31"/>
  <c r="BM20" i="31"/>
  <c r="BI20" i="31"/>
  <c r="BH20" i="31"/>
  <c r="BG20" i="31"/>
  <c r="BF20" i="31"/>
  <c r="BE20" i="31"/>
  <c r="BD20" i="31"/>
  <c r="BC20" i="31"/>
  <c r="BB20" i="31"/>
  <c r="BA20" i="31"/>
  <c r="AZ20" i="31"/>
  <c r="AY20" i="31"/>
  <c r="AX20" i="31"/>
  <c r="AV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BZ19" i="31"/>
  <c r="BZ20" i="31" s="1"/>
  <c r="BK19" i="31"/>
  <c r="AV19" i="31"/>
  <c r="AG19" i="31"/>
  <c r="R19" i="31"/>
  <c r="Q19" i="31"/>
  <c r="BZ18" i="31"/>
  <c r="BK18" i="31"/>
  <c r="BK20" i="31" s="1"/>
  <c r="AV18" i="31"/>
  <c r="AG18" i="31"/>
  <c r="R18" i="31"/>
  <c r="R20" i="31" s="1"/>
  <c r="Q18" i="31"/>
  <c r="Q20" i="31" s="1"/>
  <c r="BX15" i="31"/>
  <c r="BW15" i="31"/>
  <c r="BV15" i="31"/>
  <c r="BU15" i="31"/>
  <c r="BT15" i="31"/>
  <c r="BS15" i="31"/>
  <c r="BR15" i="31"/>
  <c r="BQ15" i="31"/>
  <c r="BP15" i="31"/>
  <c r="BO15" i="31"/>
  <c r="BN15" i="31"/>
  <c r="BM15" i="31"/>
  <c r="BI15" i="31"/>
  <c r="BH15" i="31"/>
  <c r="BG15" i="31"/>
  <c r="BF15" i="31"/>
  <c r="BE15" i="31"/>
  <c r="BD15" i="31"/>
  <c r="BC15" i="31"/>
  <c r="BB15" i="31"/>
  <c r="BA15" i="31"/>
  <c r="AZ15" i="31"/>
  <c r="AY15" i="31"/>
  <c r="AX15" i="31"/>
  <c r="AV15" i="31"/>
  <c r="AT15" i="31"/>
  <c r="AS15" i="31"/>
  <c r="AR15" i="31"/>
  <c r="AQ15" i="31"/>
  <c r="AP15" i="31"/>
  <c r="AO15" i="31"/>
  <c r="AN15" i="31"/>
  <c r="AM15" i="31"/>
  <c r="AL15" i="31"/>
  <c r="AK15" i="31"/>
  <c r="AJ15" i="31"/>
  <c r="AI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Q15" i="31"/>
  <c r="BZ14" i="31"/>
  <c r="BZ15" i="31" s="1"/>
  <c r="BK14" i="31"/>
  <c r="AV14" i="31"/>
  <c r="AG14" i="31"/>
  <c r="AG15" i="31" s="1"/>
  <c r="R14" i="31"/>
  <c r="Q14" i="31"/>
  <c r="BZ13" i="31"/>
  <c r="BK13" i="31"/>
  <c r="BK15" i="31" s="1"/>
  <c r="BJ13" i="31"/>
  <c r="AV13" i="31"/>
  <c r="AG13" i="31"/>
  <c r="R13" i="31"/>
  <c r="R15" i="31" s="1"/>
  <c r="Q13" i="31"/>
  <c r="BX10" i="31"/>
  <c r="BW10" i="31"/>
  <c r="BV10" i="31"/>
  <c r="BU10" i="31"/>
  <c r="BT10" i="31"/>
  <c r="BS10" i="31"/>
  <c r="BR10" i="31"/>
  <c r="BQ10" i="31"/>
  <c r="BP10" i="31"/>
  <c r="BO10" i="31"/>
  <c r="BN10" i="31"/>
  <c r="BM10" i="31"/>
  <c r="BI10" i="31"/>
  <c r="BH10" i="31"/>
  <c r="BG10" i="31"/>
  <c r="BF10" i="31"/>
  <c r="BE10" i="31"/>
  <c r="BD10" i="31"/>
  <c r="BC10" i="31"/>
  <c r="BB10" i="31"/>
  <c r="BA10" i="31"/>
  <c r="AZ10" i="31"/>
  <c r="AY10" i="31"/>
  <c r="AX10" i="31"/>
  <c r="AV10" i="31"/>
  <c r="AT10" i="31"/>
  <c r="AS10" i="31"/>
  <c r="AR10" i="31"/>
  <c r="AQ10" i="31"/>
  <c r="AP10" i="31"/>
  <c r="AO10" i="31"/>
  <c r="AN10" i="31"/>
  <c r="AM10" i="31"/>
  <c r="AL10" i="31"/>
  <c r="AK10" i="31"/>
  <c r="AJ10" i="31"/>
  <c r="AI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BZ9" i="31"/>
  <c r="BZ10" i="31" s="1"/>
  <c r="BK9" i="31"/>
  <c r="AV9" i="31"/>
  <c r="AU9" i="31"/>
  <c r="AG9" i="31"/>
  <c r="AG10" i="31" s="1"/>
  <c r="AF9" i="31"/>
  <c r="R9" i="31"/>
  <c r="Q9" i="31"/>
  <c r="BZ8" i="31"/>
  <c r="BK8" i="31"/>
  <c r="BK10" i="31" s="1"/>
  <c r="AV8" i="31"/>
  <c r="AG8" i="31"/>
  <c r="R8" i="31"/>
  <c r="R10" i="31" s="1"/>
  <c r="Q8" i="31"/>
  <c r="Q10" i="31" s="1"/>
  <c r="BX45" i="30"/>
  <c r="BW45" i="30"/>
  <c r="BV45" i="30"/>
  <c r="BU45" i="30"/>
  <c r="BT45" i="30"/>
  <c r="BS45" i="30"/>
  <c r="BR45" i="30"/>
  <c r="BQ45" i="30"/>
  <c r="BP45" i="30"/>
  <c r="BO45" i="30"/>
  <c r="BN45" i="30"/>
  <c r="BM45" i="30"/>
  <c r="BI45" i="30"/>
  <c r="BH45" i="30"/>
  <c r="BG45" i="30"/>
  <c r="BF45" i="30"/>
  <c r="BE45" i="30"/>
  <c r="BD45" i="30"/>
  <c r="BC45" i="30"/>
  <c r="BB45" i="30"/>
  <c r="BA45" i="30"/>
  <c r="AZ45" i="30"/>
  <c r="AY45" i="30"/>
  <c r="AX45" i="30"/>
  <c r="AV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G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R45" i="30"/>
  <c r="BZ44" i="30"/>
  <c r="BZ45" i="30" s="1"/>
  <c r="BK44" i="30"/>
  <c r="AV44" i="30"/>
  <c r="AG44" i="30"/>
  <c r="R44" i="30"/>
  <c r="Q44" i="30"/>
  <c r="Q45" i="30" s="1"/>
  <c r="BZ43" i="30"/>
  <c r="BK43" i="30"/>
  <c r="BK45" i="30" s="1"/>
  <c r="AV43" i="30"/>
  <c r="AG43" i="30"/>
  <c r="R43" i="30"/>
  <c r="Q43" i="30"/>
  <c r="BZ40" i="30"/>
  <c r="BX40" i="30"/>
  <c r="BW40" i="30"/>
  <c r="BV40" i="30"/>
  <c r="BU40" i="30"/>
  <c r="BT40" i="30"/>
  <c r="BS40" i="30"/>
  <c r="BR40" i="30"/>
  <c r="BQ40" i="30"/>
  <c r="BP40" i="30"/>
  <c r="BO40" i="30"/>
  <c r="BN40" i="30"/>
  <c r="BM40" i="30"/>
  <c r="BK40" i="30"/>
  <c r="BI40" i="30"/>
  <c r="BH40" i="30"/>
  <c r="BG40" i="30"/>
  <c r="BF40" i="30"/>
  <c r="BE40" i="30"/>
  <c r="BD40" i="30"/>
  <c r="BC40" i="30"/>
  <c r="BB40" i="30"/>
  <c r="BA40" i="30"/>
  <c r="AZ40" i="30"/>
  <c r="AY40" i="30"/>
  <c r="AX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BZ39" i="30"/>
  <c r="BK39" i="30"/>
  <c r="AV39" i="30"/>
  <c r="AV40" i="30" s="1"/>
  <c r="AG39" i="30"/>
  <c r="R39" i="30"/>
  <c r="Q39" i="30"/>
  <c r="BZ38" i="30"/>
  <c r="BK38" i="30"/>
  <c r="AV38" i="30"/>
  <c r="AG38" i="30"/>
  <c r="R38" i="30"/>
  <c r="R40" i="30" s="1"/>
  <c r="Q38" i="30"/>
  <c r="Q40" i="30" s="1"/>
  <c r="BX35" i="30"/>
  <c r="BW35" i="30"/>
  <c r="BV35" i="30"/>
  <c r="BU35" i="30"/>
  <c r="BT35" i="30"/>
  <c r="BS35" i="30"/>
  <c r="BR35" i="30"/>
  <c r="BQ35" i="30"/>
  <c r="BP35" i="30"/>
  <c r="BO35" i="30"/>
  <c r="BN35" i="30"/>
  <c r="BM35" i="30"/>
  <c r="BI35" i="30"/>
  <c r="BH35" i="30"/>
  <c r="BG35" i="30"/>
  <c r="BF35" i="30"/>
  <c r="BE35" i="30"/>
  <c r="BD35" i="30"/>
  <c r="BC35" i="30"/>
  <c r="BB35" i="30"/>
  <c r="BA35" i="30"/>
  <c r="AZ35" i="30"/>
  <c r="AY35" i="30"/>
  <c r="AX35" i="30"/>
  <c r="AV35" i="30"/>
  <c r="AT35" i="30"/>
  <c r="AS35" i="30"/>
  <c r="AR35" i="30"/>
  <c r="AQ35" i="30"/>
  <c r="AP35" i="30"/>
  <c r="AO35" i="30"/>
  <c r="AN35" i="30"/>
  <c r="AM35" i="30"/>
  <c r="AL35" i="30"/>
  <c r="AK35" i="30"/>
  <c r="AJ35" i="30"/>
  <c r="AI35" i="30"/>
  <c r="AG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R35" i="30"/>
  <c r="Q35" i="30"/>
  <c r="BZ34" i="30"/>
  <c r="BK34" i="30"/>
  <c r="AV34" i="30"/>
  <c r="AG34" i="30"/>
  <c r="R34" i="30"/>
  <c r="Q34" i="30"/>
  <c r="BZ33" i="30"/>
  <c r="BK33" i="30"/>
  <c r="BK35" i="30" s="1"/>
  <c r="AV33" i="30"/>
  <c r="AG33" i="30"/>
  <c r="R33" i="30"/>
  <c r="Q33" i="30"/>
  <c r="BZ30" i="30"/>
  <c r="BX30" i="30"/>
  <c r="BW30" i="30"/>
  <c r="BV30" i="30"/>
  <c r="BU30" i="30"/>
  <c r="BT30" i="30"/>
  <c r="BS30" i="30"/>
  <c r="BR30" i="30"/>
  <c r="BQ30" i="30"/>
  <c r="BP30" i="30"/>
  <c r="BO30" i="30"/>
  <c r="BN30" i="30"/>
  <c r="BM30" i="30"/>
  <c r="BK30" i="30"/>
  <c r="BI30" i="30"/>
  <c r="BH30" i="30"/>
  <c r="BG30" i="30"/>
  <c r="BF30" i="30"/>
  <c r="BE30" i="30"/>
  <c r="BD30" i="30"/>
  <c r="BC30" i="30"/>
  <c r="BB30" i="30"/>
  <c r="BA30" i="30"/>
  <c r="AZ30" i="30"/>
  <c r="AY30" i="30"/>
  <c r="AX30" i="30"/>
  <c r="AV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BZ29" i="30"/>
  <c r="BK29" i="30"/>
  <c r="AV29" i="30"/>
  <c r="AG29" i="30"/>
  <c r="R29" i="30"/>
  <c r="Q29" i="30"/>
  <c r="BZ28" i="30"/>
  <c r="BK28" i="30"/>
  <c r="AV28" i="30"/>
  <c r="AG28" i="30"/>
  <c r="G77" i="30" s="1"/>
  <c r="R28" i="30"/>
  <c r="R30" i="30" s="1"/>
  <c r="Q28" i="30"/>
  <c r="Q30" i="30" s="1"/>
  <c r="BX25" i="30"/>
  <c r="BW25" i="30"/>
  <c r="BV25" i="30"/>
  <c r="BU25" i="30"/>
  <c r="BT25" i="30"/>
  <c r="BS25" i="30"/>
  <c r="BR25" i="30"/>
  <c r="BQ25" i="30"/>
  <c r="BP25" i="30"/>
  <c r="BO25" i="30"/>
  <c r="BN25" i="30"/>
  <c r="BM25" i="30"/>
  <c r="BI25" i="30"/>
  <c r="BH25" i="30"/>
  <c r="BG25" i="30"/>
  <c r="BF25" i="30"/>
  <c r="BE25" i="30"/>
  <c r="BD25" i="30"/>
  <c r="BC25" i="30"/>
  <c r="BB25" i="30"/>
  <c r="BA25" i="30"/>
  <c r="AZ25" i="30"/>
  <c r="AY25" i="30"/>
  <c r="AX25" i="30"/>
  <c r="AV25" i="30"/>
  <c r="AT25" i="30"/>
  <c r="AS25" i="30"/>
  <c r="AR25" i="30"/>
  <c r="AQ25" i="30"/>
  <c r="AP25" i="30"/>
  <c r="AO25" i="30"/>
  <c r="AN25" i="30"/>
  <c r="AM25" i="30"/>
  <c r="AL25" i="30"/>
  <c r="AK25" i="30"/>
  <c r="AJ25" i="30"/>
  <c r="AI25" i="30"/>
  <c r="AG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R25" i="30"/>
  <c r="Q25" i="30"/>
  <c r="BZ24" i="30"/>
  <c r="BZ25" i="30" s="1"/>
  <c r="BK24" i="30"/>
  <c r="AV24" i="30"/>
  <c r="AG24" i="30"/>
  <c r="R24" i="30"/>
  <c r="Q24" i="30"/>
  <c r="BZ23" i="30"/>
  <c r="BK23" i="30"/>
  <c r="BK25" i="30" s="1"/>
  <c r="AV23" i="30"/>
  <c r="AG23" i="30"/>
  <c r="R23" i="30"/>
  <c r="Q23" i="30"/>
  <c r="BZ20" i="30"/>
  <c r="BX20" i="30"/>
  <c r="BW20" i="30"/>
  <c r="BV20" i="30"/>
  <c r="BU20" i="30"/>
  <c r="BT20" i="30"/>
  <c r="BS20" i="30"/>
  <c r="BR20" i="30"/>
  <c r="BQ20" i="30"/>
  <c r="BP20" i="30"/>
  <c r="BO20" i="30"/>
  <c r="BN20" i="30"/>
  <c r="BM20" i="30"/>
  <c r="BK20" i="30"/>
  <c r="BI20" i="30"/>
  <c r="BH20" i="30"/>
  <c r="BG20" i="30"/>
  <c r="BF20" i="30"/>
  <c r="BE20" i="30"/>
  <c r="BD20" i="30"/>
  <c r="BC20" i="30"/>
  <c r="BB20" i="30"/>
  <c r="BA20" i="30"/>
  <c r="AZ20" i="30"/>
  <c r="AY20" i="30"/>
  <c r="AX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BZ19" i="30"/>
  <c r="BK19" i="30"/>
  <c r="AV19" i="30"/>
  <c r="AV20" i="30" s="1"/>
  <c r="AG19" i="30"/>
  <c r="AG20" i="30" s="1"/>
  <c r="R19" i="30"/>
  <c r="Q19" i="30"/>
  <c r="BZ18" i="30"/>
  <c r="BK18" i="30"/>
  <c r="AV18" i="30"/>
  <c r="AG18" i="30"/>
  <c r="G73" i="30" s="1"/>
  <c r="R18" i="30"/>
  <c r="Q18" i="30"/>
  <c r="Q20" i="30" s="1"/>
  <c r="BX15" i="30"/>
  <c r="BW15" i="30"/>
  <c r="BV15" i="30"/>
  <c r="BU15" i="30"/>
  <c r="BT15" i="30"/>
  <c r="BS15" i="30"/>
  <c r="BR15" i="30"/>
  <c r="BQ15" i="30"/>
  <c r="BP15" i="30"/>
  <c r="BO15" i="30"/>
  <c r="BN15" i="30"/>
  <c r="BM15" i="30"/>
  <c r="BI15" i="30"/>
  <c r="BH15" i="30"/>
  <c r="BG15" i="30"/>
  <c r="BF15" i="30"/>
  <c r="BE15" i="30"/>
  <c r="BD15" i="30"/>
  <c r="BC15" i="30"/>
  <c r="BB15" i="30"/>
  <c r="BA15" i="30"/>
  <c r="AZ15" i="30"/>
  <c r="AY15" i="30"/>
  <c r="AX15" i="30"/>
  <c r="AV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G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R15" i="30"/>
  <c r="BZ14" i="30"/>
  <c r="BK14" i="30"/>
  <c r="AV14" i="30"/>
  <c r="AG14" i="30"/>
  <c r="R14" i="30"/>
  <c r="Q14" i="30"/>
  <c r="Q15" i="30" s="1"/>
  <c r="BZ13" i="30"/>
  <c r="BK13" i="30"/>
  <c r="BK15" i="30" s="1"/>
  <c r="AV13" i="30"/>
  <c r="AG13" i="30"/>
  <c r="R13" i="30"/>
  <c r="Q13" i="30"/>
  <c r="BZ10" i="30"/>
  <c r="BX10" i="30"/>
  <c r="BW10" i="30"/>
  <c r="BV10" i="30"/>
  <c r="BU10" i="30"/>
  <c r="BT10" i="30"/>
  <c r="BS10" i="30"/>
  <c r="BR10" i="30"/>
  <c r="BQ10" i="30"/>
  <c r="BP10" i="30"/>
  <c r="BO10" i="30"/>
  <c r="BN10" i="30"/>
  <c r="BM10" i="30"/>
  <c r="BK10" i="30"/>
  <c r="BI10" i="30"/>
  <c r="BH10" i="30"/>
  <c r="BG10" i="30"/>
  <c r="BF10" i="30"/>
  <c r="BE10" i="30"/>
  <c r="BD10" i="30"/>
  <c r="BC10" i="30"/>
  <c r="BB10" i="30"/>
  <c r="BA10" i="30"/>
  <c r="AZ10" i="30"/>
  <c r="AY10" i="30"/>
  <c r="AX10" i="30"/>
  <c r="AV10" i="30"/>
  <c r="AT10" i="30"/>
  <c r="AS10" i="30"/>
  <c r="AR10" i="30"/>
  <c r="AQ10" i="30"/>
  <c r="AP10" i="30"/>
  <c r="AO10" i="30"/>
  <c r="AN10" i="30"/>
  <c r="AM10" i="30"/>
  <c r="AL10" i="30"/>
  <c r="AK10" i="30"/>
  <c r="AJ10" i="30"/>
  <c r="AI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BZ9" i="30"/>
  <c r="BK9" i="30"/>
  <c r="AV9" i="30"/>
  <c r="AG9" i="30"/>
  <c r="AG10" i="30" s="1"/>
  <c r="R9" i="30"/>
  <c r="Q9" i="30"/>
  <c r="BZ8" i="30"/>
  <c r="BK8" i="30"/>
  <c r="AV8" i="30"/>
  <c r="AG8" i="30"/>
  <c r="R8" i="30"/>
  <c r="R10" i="30" s="1"/>
  <c r="Q8" i="30"/>
  <c r="Q10" i="30" s="1"/>
  <c r="BX45" i="29"/>
  <c r="BW45" i="29"/>
  <c r="BV45" i="29"/>
  <c r="BU45" i="29"/>
  <c r="BT45" i="29"/>
  <c r="BS45" i="29"/>
  <c r="BR45" i="29"/>
  <c r="BQ45" i="29"/>
  <c r="BP45" i="29"/>
  <c r="BO45" i="29"/>
  <c r="BN45" i="29"/>
  <c r="BM45" i="29"/>
  <c r="BI45" i="29"/>
  <c r="BH45" i="29"/>
  <c r="BG45" i="29"/>
  <c r="BF45" i="29"/>
  <c r="BE45" i="29"/>
  <c r="BD45" i="29"/>
  <c r="BC45" i="29"/>
  <c r="BB45" i="29"/>
  <c r="BA45" i="29"/>
  <c r="AZ45" i="29"/>
  <c r="AY45" i="29"/>
  <c r="AX45" i="29"/>
  <c r="AV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BZ44" i="29"/>
  <c r="BZ45" i="29" s="1"/>
  <c r="BK44" i="29"/>
  <c r="AV44" i="29"/>
  <c r="AG44" i="29"/>
  <c r="AG45" i="29" s="1"/>
  <c r="AF44" i="29"/>
  <c r="AF45" i="29" s="1"/>
  <c r="R44" i="29"/>
  <c r="Q44" i="29"/>
  <c r="BZ43" i="29"/>
  <c r="BK43" i="29"/>
  <c r="BK45" i="29" s="1"/>
  <c r="AV43" i="29"/>
  <c r="AG43" i="29"/>
  <c r="R43" i="29"/>
  <c r="R45" i="29" s="1"/>
  <c r="Q43" i="29"/>
  <c r="Q45" i="29" s="1"/>
  <c r="BZ40" i="29"/>
  <c r="BX40" i="29"/>
  <c r="BW40" i="29"/>
  <c r="BV40" i="29"/>
  <c r="BU40" i="29"/>
  <c r="BT40" i="29"/>
  <c r="BS40" i="29"/>
  <c r="BR40" i="29"/>
  <c r="BQ40" i="29"/>
  <c r="BP40" i="29"/>
  <c r="BO40" i="29"/>
  <c r="BN40" i="29"/>
  <c r="BM40" i="29"/>
  <c r="BI40" i="29"/>
  <c r="BH40" i="29"/>
  <c r="BG40" i="29"/>
  <c r="BF40" i="29"/>
  <c r="BE40" i="29"/>
  <c r="BD40" i="29"/>
  <c r="BC40" i="29"/>
  <c r="BB40" i="29"/>
  <c r="BA40" i="29"/>
  <c r="AZ40" i="29"/>
  <c r="AY40" i="29"/>
  <c r="AX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BZ39" i="29"/>
  <c r="BK39" i="29"/>
  <c r="BK40" i="29" s="1"/>
  <c r="AV39" i="29"/>
  <c r="AV40" i="29" s="1"/>
  <c r="AU39" i="29"/>
  <c r="AU40" i="29" s="1"/>
  <c r="AG39" i="29"/>
  <c r="AG40" i="29" s="1"/>
  <c r="AF39" i="29"/>
  <c r="AF40" i="29" s="1"/>
  <c r="R39" i="29"/>
  <c r="Q39" i="29"/>
  <c r="BZ38" i="29"/>
  <c r="BK38" i="29"/>
  <c r="AV38" i="29"/>
  <c r="AG38" i="29"/>
  <c r="AF38" i="29"/>
  <c r="R38" i="29"/>
  <c r="R40" i="29" s="1"/>
  <c r="Q38" i="29"/>
  <c r="Q40" i="29" s="1"/>
  <c r="BX35" i="29"/>
  <c r="BW35" i="29"/>
  <c r="BV35" i="29"/>
  <c r="BU35" i="29"/>
  <c r="BT35" i="29"/>
  <c r="BS35" i="29"/>
  <c r="BR35" i="29"/>
  <c r="BQ35" i="29"/>
  <c r="BP35" i="29"/>
  <c r="BO35" i="29"/>
  <c r="BN35" i="29"/>
  <c r="BM35" i="29"/>
  <c r="BI35" i="29"/>
  <c r="BH35" i="29"/>
  <c r="BG35" i="29"/>
  <c r="BF35" i="29"/>
  <c r="BE35" i="29"/>
  <c r="BD35" i="29"/>
  <c r="BC35" i="29"/>
  <c r="BB35" i="29"/>
  <c r="BA35" i="29"/>
  <c r="AZ35" i="29"/>
  <c r="AY35" i="29"/>
  <c r="AX35" i="29"/>
  <c r="AV35" i="29"/>
  <c r="AT35" i="29"/>
  <c r="AS35" i="29"/>
  <c r="AR35" i="29"/>
  <c r="AQ35" i="29"/>
  <c r="AP35" i="29"/>
  <c r="AO35" i="29"/>
  <c r="AN35" i="29"/>
  <c r="AM35" i="29"/>
  <c r="AL35" i="29"/>
  <c r="AK35" i="29"/>
  <c r="AJ35" i="29"/>
  <c r="AI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BZ34" i="29"/>
  <c r="BZ35" i="29" s="1"/>
  <c r="BK34" i="29"/>
  <c r="AV34" i="29"/>
  <c r="AG34" i="29"/>
  <c r="AG35" i="29" s="1"/>
  <c r="AF34" i="29"/>
  <c r="AF35" i="29" s="1"/>
  <c r="R34" i="29"/>
  <c r="R35" i="29" s="1"/>
  <c r="Q34" i="29"/>
  <c r="BZ33" i="29"/>
  <c r="BK33" i="29"/>
  <c r="BK35" i="29" s="1"/>
  <c r="AV33" i="29"/>
  <c r="AG33" i="29"/>
  <c r="R33" i="29"/>
  <c r="Q33" i="29"/>
  <c r="Q35" i="29" s="1"/>
  <c r="BZ30" i="29"/>
  <c r="BX30" i="29"/>
  <c r="BW30" i="29"/>
  <c r="BV30" i="29"/>
  <c r="BU30" i="29"/>
  <c r="BT30" i="29"/>
  <c r="BS30" i="29"/>
  <c r="BR30" i="29"/>
  <c r="BQ30" i="29"/>
  <c r="BP30" i="29"/>
  <c r="BO30" i="29"/>
  <c r="BN30" i="29"/>
  <c r="BM30" i="29"/>
  <c r="BK30" i="29"/>
  <c r="BI30" i="29"/>
  <c r="BH30" i="29"/>
  <c r="BG30" i="29"/>
  <c r="BF30" i="29"/>
  <c r="BE30" i="29"/>
  <c r="BD30" i="29"/>
  <c r="BC30" i="29"/>
  <c r="BB30" i="29"/>
  <c r="BA30" i="29"/>
  <c r="AZ30" i="29"/>
  <c r="AY30" i="29"/>
  <c r="AX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BZ29" i="29"/>
  <c r="BK29" i="29"/>
  <c r="AV29" i="29"/>
  <c r="AV30" i="29" s="1"/>
  <c r="AU29" i="29"/>
  <c r="AG29" i="29"/>
  <c r="AG30" i="29" s="1"/>
  <c r="AF29" i="29"/>
  <c r="R29" i="29"/>
  <c r="Q29" i="29"/>
  <c r="BZ28" i="29"/>
  <c r="BK28" i="29"/>
  <c r="AV28" i="29"/>
  <c r="AG28" i="29"/>
  <c r="R28" i="29"/>
  <c r="R30" i="29" s="1"/>
  <c r="Q28" i="29"/>
  <c r="Q30" i="29" s="1"/>
  <c r="BX25" i="29"/>
  <c r="BW25" i="29"/>
  <c r="BV25" i="29"/>
  <c r="BU25" i="29"/>
  <c r="BT25" i="29"/>
  <c r="BS25" i="29"/>
  <c r="BR25" i="29"/>
  <c r="BQ25" i="29"/>
  <c r="BP25" i="29"/>
  <c r="BO25" i="29"/>
  <c r="BN25" i="29"/>
  <c r="BM25" i="29"/>
  <c r="BI25" i="29"/>
  <c r="BH25" i="29"/>
  <c r="BG25" i="29"/>
  <c r="BF25" i="29"/>
  <c r="BE25" i="29"/>
  <c r="BD25" i="29"/>
  <c r="BC25" i="29"/>
  <c r="BB25" i="29"/>
  <c r="BA25" i="29"/>
  <c r="AZ25" i="29"/>
  <c r="AY25" i="29"/>
  <c r="AX25" i="29"/>
  <c r="AV25" i="29"/>
  <c r="AU25" i="29"/>
  <c r="AT25" i="29"/>
  <c r="AS25" i="29"/>
  <c r="AR25" i="29"/>
  <c r="AQ25" i="29"/>
  <c r="AP25" i="29"/>
  <c r="AO25" i="29"/>
  <c r="AN25" i="29"/>
  <c r="AM25" i="29"/>
  <c r="AL25" i="29"/>
  <c r="AK25" i="29"/>
  <c r="AJ25" i="29"/>
  <c r="AI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BZ24" i="29"/>
  <c r="BZ25" i="29" s="1"/>
  <c r="BK24" i="29"/>
  <c r="AV24" i="29"/>
  <c r="AG24" i="29"/>
  <c r="AG25" i="29" s="1"/>
  <c r="AF24" i="29"/>
  <c r="AF25" i="29" s="1"/>
  <c r="R24" i="29"/>
  <c r="R25" i="29" s="1"/>
  <c r="Q24" i="29"/>
  <c r="Q25" i="29" s="1"/>
  <c r="BZ23" i="29"/>
  <c r="BK23" i="29"/>
  <c r="BK25" i="29" s="1"/>
  <c r="AV23" i="29"/>
  <c r="AG23" i="29"/>
  <c r="R23" i="29"/>
  <c r="Q23" i="29"/>
  <c r="BZ20" i="29"/>
  <c r="BX20" i="29"/>
  <c r="BW20" i="29"/>
  <c r="BV20" i="29"/>
  <c r="BU20" i="29"/>
  <c r="BT20" i="29"/>
  <c r="BS20" i="29"/>
  <c r="BR20" i="29"/>
  <c r="BQ20" i="29"/>
  <c r="BP20" i="29"/>
  <c r="BO20" i="29"/>
  <c r="BN20" i="29"/>
  <c r="BM20" i="29"/>
  <c r="BK20" i="29"/>
  <c r="BI20" i="29"/>
  <c r="BH20" i="29"/>
  <c r="BG20" i="29"/>
  <c r="BF20" i="29"/>
  <c r="BE20" i="29"/>
  <c r="BD20" i="29"/>
  <c r="BC20" i="29"/>
  <c r="BB20" i="29"/>
  <c r="BA20" i="29"/>
  <c r="AZ20" i="29"/>
  <c r="AY20" i="29"/>
  <c r="AX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BZ19" i="29"/>
  <c r="BK19" i="29"/>
  <c r="AV19" i="29"/>
  <c r="AV20" i="29" s="1"/>
  <c r="AG19" i="29"/>
  <c r="AG20" i="29" s="1"/>
  <c r="AF19" i="29"/>
  <c r="R19" i="29"/>
  <c r="Q19" i="29"/>
  <c r="BZ18" i="29"/>
  <c r="BK18" i="29"/>
  <c r="AV18" i="29"/>
  <c r="AG18" i="29"/>
  <c r="R18" i="29"/>
  <c r="R20" i="29" s="1"/>
  <c r="Q18" i="29"/>
  <c r="Q20" i="29" s="1"/>
  <c r="BX15" i="29"/>
  <c r="BW15" i="29"/>
  <c r="BV15" i="29"/>
  <c r="BU15" i="29"/>
  <c r="BT15" i="29"/>
  <c r="BS15" i="29"/>
  <c r="BR15" i="29"/>
  <c r="BQ15" i="29"/>
  <c r="BP15" i="29"/>
  <c r="BO15" i="29"/>
  <c r="BN15" i="29"/>
  <c r="BM15" i="29"/>
  <c r="BI15" i="29"/>
  <c r="BH15" i="29"/>
  <c r="BG15" i="29"/>
  <c r="BF15" i="29"/>
  <c r="BE15" i="29"/>
  <c r="BD15" i="29"/>
  <c r="BC15" i="29"/>
  <c r="BB15" i="29"/>
  <c r="BA15" i="29"/>
  <c r="AZ15" i="29"/>
  <c r="AY15" i="29"/>
  <c r="AX15" i="29"/>
  <c r="AV15" i="29"/>
  <c r="AU15" i="29"/>
  <c r="AT15" i="29"/>
  <c r="AS15" i="29"/>
  <c r="AR15" i="29"/>
  <c r="AQ15" i="29"/>
  <c r="AP15" i="29"/>
  <c r="AO15" i="29"/>
  <c r="AN15" i="29"/>
  <c r="AM15" i="29"/>
  <c r="AL15" i="29"/>
  <c r="AK15" i="29"/>
  <c r="AJ15" i="29"/>
  <c r="AI15" i="29"/>
  <c r="AG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BZ14" i="29"/>
  <c r="BK14" i="29"/>
  <c r="AV14" i="29"/>
  <c r="AG14" i="29"/>
  <c r="AF14" i="29"/>
  <c r="AF15" i="29" s="1"/>
  <c r="R14" i="29"/>
  <c r="R15" i="29" s="1"/>
  <c r="Q14" i="29"/>
  <c r="Q15" i="29" s="1"/>
  <c r="BZ13" i="29"/>
  <c r="BK13" i="29"/>
  <c r="BK15" i="29" s="1"/>
  <c r="AV13" i="29"/>
  <c r="AG13" i="29"/>
  <c r="R13" i="29"/>
  <c r="Q13" i="29"/>
  <c r="D71" i="29" s="1"/>
  <c r="BZ10" i="29"/>
  <c r="BX10" i="29"/>
  <c r="BW10" i="29"/>
  <c r="BV10" i="29"/>
  <c r="BU10" i="29"/>
  <c r="BT10" i="29"/>
  <c r="BS10" i="29"/>
  <c r="BR10" i="29"/>
  <c r="BQ10" i="29"/>
  <c r="BP10" i="29"/>
  <c r="BO10" i="29"/>
  <c r="BN10" i="29"/>
  <c r="BM10" i="29"/>
  <c r="BK10" i="29"/>
  <c r="BI10" i="29"/>
  <c r="BH10" i="29"/>
  <c r="BG10" i="29"/>
  <c r="BF10" i="29"/>
  <c r="BE10" i="29"/>
  <c r="BD10" i="29"/>
  <c r="BC10" i="29"/>
  <c r="BB10" i="29"/>
  <c r="BA10" i="29"/>
  <c r="AZ10" i="29"/>
  <c r="AY10" i="29"/>
  <c r="AX10" i="29"/>
  <c r="AV10" i="29"/>
  <c r="AT10" i="29"/>
  <c r="AS10" i="29"/>
  <c r="AR10" i="29"/>
  <c r="AQ10" i="29"/>
  <c r="AP10" i="29"/>
  <c r="AO10" i="29"/>
  <c r="AN10" i="29"/>
  <c r="AM10" i="29"/>
  <c r="AL10" i="29"/>
  <c r="AK10" i="29"/>
  <c r="AJ10" i="29"/>
  <c r="AI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BZ9" i="29"/>
  <c r="BK9" i="29"/>
  <c r="AV9" i="29"/>
  <c r="AG9" i="29"/>
  <c r="AG10" i="29" s="1"/>
  <c r="AF9" i="29"/>
  <c r="R9" i="29"/>
  <c r="BZ8" i="29"/>
  <c r="BK8" i="29"/>
  <c r="AV8" i="29"/>
  <c r="AG8" i="29"/>
  <c r="R8" i="29"/>
  <c r="BZ44" i="12"/>
  <c r="BZ45" i="12" s="1"/>
  <c r="BY44" i="12"/>
  <c r="BY45" i="12" s="1"/>
  <c r="BZ43" i="12"/>
  <c r="BY43" i="12"/>
  <c r="BZ39" i="12"/>
  <c r="BZ40" i="12" s="1"/>
  <c r="BY39" i="12"/>
  <c r="BY40" i="12" s="1"/>
  <c r="BZ38" i="12"/>
  <c r="BY38" i="12"/>
  <c r="BZ34" i="12"/>
  <c r="BZ35" i="12" s="1"/>
  <c r="BY34" i="12"/>
  <c r="BY35" i="12" s="1"/>
  <c r="BZ33" i="12"/>
  <c r="BY33" i="12"/>
  <c r="BZ29" i="12"/>
  <c r="BZ30" i="12" s="1"/>
  <c r="BY29" i="12"/>
  <c r="BY30" i="12" s="1"/>
  <c r="BZ28" i="12"/>
  <c r="BY28" i="12"/>
  <c r="BZ24" i="12"/>
  <c r="BZ25" i="12" s="1"/>
  <c r="BY24" i="12"/>
  <c r="BY25" i="12" s="1"/>
  <c r="BZ23" i="12"/>
  <c r="BY23" i="12"/>
  <c r="BZ19" i="12"/>
  <c r="BZ20" i="12" s="1"/>
  <c r="BY19" i="12"/>
  <c r="BY20" i="12" s="1"/>
  <c r="BZ18" i="12"/>
  <c r="BY18" i="12"/>
  <c r="BZ14" i="12"/>
  <c r="BZ15" i="12" s="1"/>
  <c r="BY14" i="12"/>
  <c r="BY15" i="12" s="1"/>
  <c r="BZ13" i="12"/>
  <c r="BY13" i="12"/>
  <c r="BZ9" i="12"/>
  <c r="BZ10" i="12" s="1"/>
  <c r="BY9" i="12"/>
  <c r="BY10" i="12" s="1"/>
  <c r="BZ8" i="12"/>
  <c r="BY8" i="12"/>
  <c r="BK44" i="12"/>
  <c r="BK45" i="12" s="1"/>
  <c r="BJ44" i="12"/>
  <c r="BJ45" i="12" s="1"/>
  <c r="BK43" i="12"/>
  <c r="BJ43" i="12"/>
  <c r="BK39" i="12"/>
  <c r="BK40" i="12" s="1"/>
  <c r="BJ39" i="12"/>
  <c r="BJ40" i="12" s="1"/>
  <c r="BK38" i="12"/>
  <c r="BJ38" i="12"/>
  <c r="BK34" i="12"/>
  <c r="BK35" i="12" s="1"/>
  <c r="BJ34" i="12"/>
  <c r="BJ35" i="12" s="1"/>
  <c r="BK33" i="12"/>
  <c r="BJ33" i="12"/>
  <c r="BK29" i="12"/>
  <c r="BK30" i="12" s="1"/>
  <c r="BJ29" i="12"/>
  <c r="BJ30" i="12" s="1"/>
  <c r="BK28" i="12"/>
  <c r="BJ28" i="12"/>
  <c r="BK24" i="12"/>
  <c r="BK25" i="12" s="1"/>
  <c r="BJ24" i="12"/>
  <c r="BJ25" i="12" s="1"/>
  <c r="BK23" i="12"/>
  <c r="BJ23" i="12"/>
  <c r="BK19" i="12"/>
  <c r="BK20" i="12" s="1"/>
  <c r="BJ19" i="12"/>
  <c r="BJ20" i="12" s="1"/>
  <c r="BK18" i="12"/>
  <c r="BJ18" i="12"/>
  <c r="BK14" i="12"/>
  <c r="BK15" i="12" s="1"/>
  <c r="BJ14" i="12"/>
  <c r="BJ15" i="12" s="1"/>
  <c r="BK13" i="12"/>
  <c r="BJ13" i="12"/>
  <c r="BK9" i="12"/>
  <c r="BK10" i="12" s="1"/>
  <c r="BJ9" i="12"/>
  <c r="BJ10" i="12" s="1"/>
  <c r="BK8" i="12"/>
  <c r="BJ8" i="12"/>
  <c r="AV44" i="12"/>
  <c r="AU44" i="12"/>
  <c r="AU45" i="12" s="1"/>
  <c r="AV43" i="12"/>
  <c r="AV45" i="12" s="1"/>
  <c r="AU43" i="12"/>
  <c r="AV39" i="12"/>
  <c r="AV40" i="12" s="1"/>
  <c r="AU39" i="12"/>
  <c r="AU40" i="12" s="1"/>
  <c r="AV38" i="12"/>
  <c r="AU38" i="12"/>
  <c r="AV34" i="12"/>
  <c r="AU34" i="12"/>
  <c r="AU35" i="12" s="1"/>
  <c r="AV33" i="12"/>
  <c r="AV35" i="12" s="1"/>
  <c r="AU33" i="12"/>
  <c r="AV29" i="12"/>
  <c r="AV30" i="12" s="1"/>
  <c r="AU29" i="12"/>
  <c r="AU30" i="12" s="1"/>
  <c r="AV28" i="12"/>
  <c r="AU28" i="12"/>
  <c r="AV24" i="12"/>
  <c r="AU24" i="12"/>
  <c r="AU25" i="12" s="1"/>
  <c r="AV23" i="12"/>
  <c r="AV25" i="12" s="1"/>
  <c r="AU23" i="12"/>
  <c r="AV19" i="12"/>
  <c r="AV20" i="12" s="1"/>
  <c r="AU19" i="12"/>
  <c r="AU20" i="12" s="1"/>
  <c r="AV18" i="12"/>
  <c r="AU18" i="12"/>
  <c r="AV14" i="12"/>
  <c r="AU14" i="12"/>
  <c r="AU15" i="12" s="1"/>
  <c r="AV13" i="12"/>
  <c r="AV15" i="12" s="1"/>
  <c r="AU13" i="12"/>
  <c r="AV9" i="12"/>
  <c r="AV10" i="12" s="1"/>
  <c r="AU9" i="12"/>
  <c r="AU10" i="12" s="1"/>
  <c r="AV8" i="12"/>
  <c r="AU8" i="12"/>
  <c r="AG44" i="12"/>
  <c r="AG45" i="12" s="1"/>
  <c r="AF44" i="12"/>
  <c r="AF45" i="12" s="1"/>
  <c r="AG43" i="12"/>
  <c r="AF43" i="12"/>
  <c r="AG39" i="12"/>
  <c r="AG40" i="12" s="1"/>
  <c r="AF39" i="12"/>
  <c r="AF40" i="12" s="1"/>
  <c r="AG38" i="12"/>
  <c r="AF38" i="12"/>
  <c r="AG34" i="12"/>
  <c r="AG35" i="12" s="1"/>
  <c r="AF34" i="12"/>
  <c r="AF35" i="12" s="1"/>
  <c r="AG33" i="12"/>
  <c r="AF33" i="12"/>
  <c r="AG29" i="12"/>
  <c r="AG30" i="12" s="1"/>
  <c r="AF29" i="12"/>
  <c r="AF30" i="12" s="1"/>
  <c r="AG28" i="12"/>
  <c r="AF28" i="12"/>
  <c r="AG24" i="12"/>
  <c r="AG25" i="12" s="1"/>
  <c r="AF24" i="12"/>
  <c r="AF25" i="12" s="1"/>
  <c r="AG23" i="12"/>
  <c r="AF23" i="12"/>
  <c r="AG19" i="12"/>
  <c r="AG20" i="12" s="1"/>
  <c r="AF19" i="12"/>
  <c r="AF20" i="12" s="1"/>
  <c r="AG18" i="12"/>
  <c r="AF18" i="12"/>
  <c r="AG14" i="12"/>
  <c r="AG15" i="12" s="1"/>
  <c r="AF14" i="12"/>
  <c r="AF15" i="12" s="1"/>
  <c r="AG13" i="12"/>
  <c r="AF13" i="12"/>
  <c r="AG9" i="12"/>
  <c r="AG10" i="12" s="1"/>
  <c r="AF9" i="12"/>
  <c r="AF10" i="12" s="1"/>
  <c r="AG8" i="12"/>
  <c r="AF8" i="12"/>
  <c r="BX100" i="31"/>
  <c r="BW100" i="31"/>
  <c r="BY44" i="31" s="1"/>
  <c r="BV100" i="31"/>
  <c r="BU100" i="31"/>
  <c r="BT100" i="31"/>
  <c r="BS100" i="31"/>
  <c r="BR100" i="31"/>
  <c r="BQ100" i="31"/>
  <c r="BP100" i="31"/>
  <c r="BO100" i="31"/>
  <c r="BN100" i="31"/>
  <c r="BM100" i="31"/>
  <c r="BI100" i="31"/>
  <c r="BH100" i="31"/>
  <c r="BG100" i="31"/>
  <c r="BF100" i="31"/>
  <c r="BE100" i="31"/>
  <c r="BD100" i="31"/>
  <c r="BC100" i="31"/>
  <c r="BB100" i="31"/>
  <c r="BA100" i="31"/>
  <c r="AZ100" i="31"/>
  <c r="AY100" i="31"/>
  <c r="AX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BX99" i="31"/>
  <c r="BW99" i="31"/>
  <c r="BV99" i="31"/>
  <c r="BU99" i="31"/>
  <c r="BT99" i="31"/>
  <c r="BS99" i="31"/>
  <c r="BR99" i="31"/>
  <c r="BQ99" i="31"/>
  <c r="BP99" i="31"/>
  <c r="BO99" i="31"/>
  <c r="BN99" i="31"/>
  <c r="BM99" i="31"/>
  <c r="BI99" i="31"/>
  <c r="BH99" i="31"/>
  <c r="BG99" i="31"/>
  <c r="BF99" i="31"/>
  <c r="BE99" i="31"/>
  <c r="BD99" i="31"/>
  <c r="BC99" i="31"/>
  <c r="BB99" i="31"/>
  <c r="BA99" i="31"/>
  <c r="AZ99" i="31"/>
  <c r="AY99" i="31"/>
  <c r="AX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BX98" i="31"/>
  <c r="BW98" i="31"/>
  <c r="BV98" i="31"/>
  <c r="BU98" i="31"/>
  <c r="BT98" i="31"/>
  <c r="BS98" i="31"/>
  <c r="BR98" i="31"/>
  <c r="BQ98" i="31"/>
  <c r="BP98" i="31"/>
  <c r="BO98" i="31"/>
  <c r="BN98" i="31"/>
  <c r="BM98" i="31"/>
  <c r="BI98" i="31"/>
  <c r="BH98" i="31"/>
  <c r="BG98" i="31"/>
  <c r="BF98" i="31"/>
  <c r="BE98" i="31"/>
  <c r="BD98" i="31"/>
  <c r="BC98" i="31"/>
  <c r="BB98" i="31"/>
  <c r="BA98" i="31"/>
  <c r="AZ98" i="31"/>
  <c r="AY98" i="31"/>
  <c r="AX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BX97" i="31"/>
  <c r="BW97" i="31"/>
  <c r="BV97" i="31"/>
  <c r="BU97" i="31"/>
  <c r="BT97" i="31"/>
  <c r="BS97" i="31"/>
  <c r="BR97" i="31"/>
  <c r="BQ97" i="31"/>
  <c r="BP97" i="31"/>
  <c r="BO97" i="31"/>
  <c r="BN97" i="31"/>
  <c r="BM97" i="31"/>
  <c r="BI97" i="31"/>
  <c r="BH97" i="31"/>
  <c r="BG97" i="31"/>
  <c r="BF97" i="31"/>
  <c r="BE97" i="31"/>
  <c r="BD97" i="31"/>
  <c r="BC97" i="31"/>
  <c r="BB97" i="31"/>
  <c r="BA97" i="31"/>
  <c r="AZ97" i="31"/>
  <c r="AY97" i="31"/>
  <c r="AX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BX96" i="31"/>
  <c r="BW96" i="31"/>
  <c r="BV96" i="31"/>
  <c r="BU96" i="31"/>
  <c r="BT96" i="31"/>
  <c r="BS96" i="31"/>
  <c r="BR96" i="31"/>
  <c r="BQ96" i="31"/>
  <c r="BP96" i="31"/>
  <c r="BO96" i="31"/>
  <c r="BN96" i="31"/>
  <c r="BM96" i="31"/>
  <c r="BI96" i="31"/>
  <c r="BH96" i="31"/>
  <c r="BG96" i="31"/>
  <c r="BF96" i="31"/>
  <c r="BE96" i="31"/>
  <c r="BD96" i="31"/>
  <c r="BC96" i="31"/>
  <c r="BJ33" i="31" s="1"/>
  <c r="BB96" i="31"/>
  <c r="BA96" i="31"/>
  <c r="AZ96" i="31"/>
  <c r="AY96" i="31"/>
  <c r="AX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BX95" i="31"/>
  <c r="BW95" i="31"/>
  <c r="BV95" i="31"/>
  <c r="BU95" i="31"/>
  <c r="BT95" i="31"/>
  <c r="BS95" i="31"/>
  <c r="BR95" i="31"/>
  <c r="BQ95" i="31"/>
  <c r="BP95" i="31"/>
  <c r="BO95" i="31"/>
  <c r="BN95" i="31"/>
  <c r="BM95" i="31"/>
  <c r="BI95" i="31"/>
  <c r="BH95" i="31"/>
  <c r="BG95" i="31"/>
  <c r="BF95" i="31"/>
  <c r="BE95" i="31"/>
  <c r="BD95" i="31"/>
  <c r="BC95" i="31"/>
  <c r="BB95" i="31"/>
  <c r="BA95" i="31"/>
  <c r="AZ95" i="31"/>
  <c r="AY95" i="31"/>
  <c r="AX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BX94" i="31"/>
  <c r="BW94" i="31"/>
  <c r="BV94" i="31"/>
  <c r="BU94" i="31"/>
  <c r="BT94" i="31"/>
  <c r="BS94" i="31"/>
  <c r="BR94" i="31"/>
  <c r="BQ94" i="31"/>
  <c r="BP94" i="31"/>
  <c r="BO94" i="31"/>
  <c r="BN94" i="31"/>
  <c r="BM94" i="31"/>
  <c r="BI94" i="31"/>
  <c r="BH94" i="31"/>
  <c r="BG94" i="31"/>
  <c r="BF94" i="31"/>
  <c r="BE94" i="31"/>
  <c r="BD94" i="31"/>
  <c r="BC94" i="31"/>
  <c r="BB94" i="31"/>
  <c r="BA94" i="31"/>
  <c r="AZ94" i="31"/>
  <c r="AY94" i="31"/>
  <c r="AX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BX93" i="31"/>
  <c r="BW93" i="31"/>
  <c r="BV93" i="31"/>
  <c r="BU93" i="31"/>
  <c r="BT93" i="31"/>
  <c r="BS93" i="31"/>
  <c r="BR93" i="31"/>
  <c r="BQ93" i="31"/>
  <c r="BP93" i="31"/>
  <c r="BO93" i="31"/>
  <c r="BN93" i="31"/>
  <c r="BM93" i="31"/>
  <c r="BI93" i="31"/>
  <c r="BH93" i="31"/>
  <c r="BG93" i="31"/>
  <c r="BF93" i="31"/>
  <c r="BE93" i="31"/>
  <c r="BD93" i="31"/>
  <c r="BC93" i="31"/>
  <c r="BB93" i="31"/>
  <c r="BA93" i="31"/>
  <c r="AZ93" i="31"/>
  <c r="AY93" i="31"/>
  <c r="AX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BX92" i="31"/>
  <c r="BW92" i="31"/>
  <c r="BV92" i="31"/>
  <c r="BU92" i="31"/>
  <c r="BT92" i="31"/>
  <c r="BS92" i="31"/>
  <c r="BR92" i="31"/>
  <c r="BQ92" i="31"/>
  <c r="BP92" i="31"/>
  <c r="BO92" i="31"/>
  <c r="BN92" i="31"/>
  <c r="BM92" i="31"/>
  <c r="BI92" i="31"/>
  <c r="BH92" i="31"/>
  <c r="BG92" i="31"/>
  <c r="BF92" i="31"/>
  <c r="BE92" i="31"/>
  <c r="BD92" i="31"/>
  <c r="BC92" i="31"/>
  <c r="BB92" i="31"/>
  <c r="BA92" i="31"/>
  <c r="AZ92" i="31"/>
  <c r="AY92" i="31"/>
  <c r="AX92" i="31"/>
  <c r="AT92" i="31"/>
  <c r="AS92" i="31"/>
  <c r="AR92" i="31"/>
  <c r="AQ92" i="31"/>
  <c r="AP92" i="31"/>
  <c r="AO92" i="31"/>
  <c r="AN92" i="31"/>
  <c r="AM92" i="31"/>
  <c r="AL92" i="31"/>
  <c r="AK92" i="31"/>
  <c r="AJ92" i="31"/>
  <c r="AI92" i="31"/>
  <c r="AE92" i="31"/>
  <c r="AD92" i="31"/>
  <c r="AC92" i="31"/>
  <c r="AB92" i="31"/>
  <c r="AA92" i="31"/>
  <c r="Z92" i="31"/>
  <c r="Y92" i="31"/>
  <c r="X92" i="31"/>
  <c r="W92" i="31"/>
  <c r="V92" i="31"/>
  <c r="U92" i="31"/>
  <c r="T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BX91" i="31"/>
  <c r="BW91" i="31"/>
  <c r="BV91" i="31"/>
  <c r="BU91" i="31"/>
  <c r="BT91" i="31"/>
  <c r="BS91" i="31"/>
  <c r="BR91" i="31"/>
  <c r="BQ91" i="31"/>
  <c r="BP91" i="31"/>
  <c r="BO91" i="31"/>
  <c r="BN91" i="31"/>
  <c r="BM91" i="31"/>
  <c r="BI91" i="31"/>
  <c r="BH91" i="31"/>
  <c r="BG91" i="31"/>
  <c r="BF91" i="31"/>
  <c r="BE91" i="31"/>
  <c r="BD91" i="31"/>
  <c r="BC91" i="31"/>
  <c r="BB91" i="31"/>
  <c r="BA91" i="31"/>
  <c r="AZ91" i="31"/>
  <c r="AY91" i="31"/>
  <c r="AX91" i="31"/>
  <c r="AT91" i="31"/>
  <c r="AS91" i="31"/>
  <c r="AR91" i="31"/>
  <c r="AQ91" i="31"/>
  <c r="AP91" i="31"/>
  <c r="AO91" i="31"/>
  <c r="AN91" i="31"/>
  <c r="AM91" i="31"/>
  <c r="AL91" i="31"/>
  <c r="AK91" i="31"/>
  <c r="AJ91" i="31"/>
  <c r="AI91" i="31"/>
  <c r="AE91" i="31"/>
  <c r="AD91" i="31"/>
  <c r="AC91" i="31"/>
  <c r="AB91" i="31"/>
  <c r="AA91" i="31"/>
  <c r="Z91" i="31"/>
  <c r="Y91" i="31"/>
  <c r="X91" i="31"/>
  <c r="W91" i="31"/>
  <c r="V91" i="31"/>
  <c r="U91" i="31"/>
  <c r="T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BX90" i="31"/>
  <c r="BW90" i="31"/>
  <c r="BV90" i="31"/>
  <c r="BU90" i="31"/>
  <c r="BT90" i="31"/>
  <c r="BS90" i="31"/>
  <c r="BR90" i="31"/>
  <c r="BQ90" i="31"/>
  <c r="BP90" i="31"/>
  <c r="BO90" i="31"/>
  <c r="BN90" i="31"/>
  <c r="BM90" i="31"/>
  <c r="BI90" i="31"/>
  <c r="BH90" i="31"/>
  <c r="BG90" i="31"/>
  <c r="BF90" i="31"/>
  <c r="BE90" i="31"/>
  <c r="BD90" i="31"/>
  <c r="BC90" i="31"/>
  <c r="BB90" i="31"/>
  <c r="BA90" i="31"/>
  <c r="AZ90" i="31"/>
  <c r="AY90" i="31"/>
  <c r="AX90" i="31"/>
  <c r="AT90" i="31"/>
  <c r="AS90" i="31"/>
  <c r="AR90" i="31"/>
  <c r="AQ90" i="31"/>
  <c r="AP90" i="31"/>
  <c r="AO90" i="31"/>
  <c r="AN90" i="31"/>
  <c r="AM90" i="31"/>
  <c r="AL90" i="31"/>
  <c r="AK90" i="31"/>
  <c r="AJ90" i="31"/>
  <c r="AI90" i="31"/>
  <c r="AE90" i="31"/>
  <c r="AD90" i="31"/>
  <c r="AC90" i="31"/>
  <c r="AB90" i="31"/>
  <c r="AA90" i="31"/>
  <c r="Z90" i="31"/>
  <c r="Y90" i="31"/>
  <c r="AF19" i="31" s="1"/>
  <c r="X90" i="31"/>
  <c r="W90" i="31"/>
  <c r="V90" i="31"/>
  <c r="U90" i="31"/>
  <c r="T90" i="31"/>
  <c r="P90" i="31"/>
  <c r="O90" i="31"/>
  <c r="N90" i="31"/>
  <c r="M90" i="31"/>
  <c r="L90" i="31"/>
  <c r="K90" i="31"/>
  <c r="J90" i="31"/>
  <c r="I90" i="31"/>
  <c r="H90" i="31"/>
  <c r="G90" i="31"/>
  <c r="F90" i="31"/>
  <c r="E90" i="31"/>
  <c r="BX89" i="31"/>
  <c r="BW89" i="31"/>
  <c r="BV89" i="31"/>
  <c r="BU89" i="31"/>
  <c r="BT89" i="31"/>
  <c r="BS89" i="31"/>
  <c r="BR89" i="31"/>
  <c r="BQ89" i="31"/>
  <c r="BP89" i="31"/>
  <c r="BO89" i="31"/>
  <c r="BN89" i="31"/>
  <c r="BM89" i="31"/>
  <c r="BI89" i="31"/>
  <c r="BH89" i="31"/>
  <c r="BG89" i="31"/>
  <c r="BF89" i="31"/>
  <c r="BE89" i="31"/>
  <c r="BD89" i="31"/>
  <c r="BC89" i="31"/>
  <c r="BB89" i="31"/>
  <c r="BA89" i="31"/>
  <c r="AZ89" i="31"/>
  <c r="AY89" i="31"/>
  <c r="AX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BX88" i="31"/>
  <c r="BW88" i="31"/>
  <c r="BY13" i="31" s="1"/>
  <c r="BV88" i="31"/>
  <c r="BU88" i="31"/>
  <c r="BT88" i="31"/>
  <c r="BS88" i="31"/>
  <c r="BR88" i="31"/>
  <c r="BY14" i="31" s="1"/>
  <c r="BY15" i="31" s="1"/>
  <c r="BQ88" i="31"/>
  <c r="BP88" i="31"/>
  <c r="BO88" i="31"/>
  <c r="BN88" i="31"/>
  <c r="BM88" i="31"/>
  <c r="BI88" i="31"/>
  <c r="BH88" i="31"/>
  <c r="BG88" i="31"/>
  <c r="BF88" i="31"/>
  <c r="BE88" i="31"/>
  <c r="BD88" i="31"/>
  <c r="BC88" i="31"/>
  <c r="BB88" i="31"/>
  <c r="BA88" i="31"/>
  <c r="AZ88" i="31"/>
  <c r="AY88" i="31"/>
  <c r="AX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BX87" i="31"/>
  <c r="BW87" i="31"/>
  <c r="BV87" i="31"/>
  <c r="BU87" i="31"/>
  <c r="BT87" i="31"/>
  <c r="BS87" i="31"/>
  <c r="BR87" i="31"/>
  <c r="BQ87" i="31"/>
  <c r="BP87" i="31"/>
  <c r="BO87" i="31"/>
  <c r="BN87" i="31"/>
  <c r="BM87" i="31"/>
  <c r="BI87" i="31"/>
  <c r="BH87" i="31"/>
  <c r="BG87" i="31"/>
  <c r="BF87" i="31"/>
  <c r="BE87" i="31"/>
  <c r="BD87" i="31"/>
  <c r="BC87" i="31"/>
  <c r="BB87" i="31"/>
  <c r="BA87" i="31"/>
  <c r="AZ87" i="31"/>
  <c r="AY87" i="31"/>
  <c r="AX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BX86" i="31"/>
  <c r="BW86" i="31"/>
  <c r="BV86" i="31"/>
  <c r="BU86" i="31"/>
  <c r="BT86" i="31"/>
  <c r="BS86" i="31"/>
  <c r="BR86" i="31"/>
  <c r="BQ86" i="31"/>
  <c r="BP86" i="31"/>
  <c r="BO86" i="31"/>
  <c r="BN86" i="31"/>
  <c r="BM86" i="31"/>
  <c r="BI86" i="31"/>
  <c r="BH86" i="31"/>
  <c r="BG86" i="31"/>
  <c r="BF86" i="31"/>
  <c r="BE86" i="31"/>
  <c r="BD86" i="31"/>
  <c r="BC86" i="31"/>
  <c r="BB86" i="31"/>
  <c r="BA86" i="31"/>
  <c r="AZ86" i="31"/>
  <c r="AY86" i="31"/>
  <c r="AX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AF8" i="31" s="1"/>
  <c r="F69" i="31" s="1"/>
  <c r="P86" i="31"/>
  <c r="O86" i="31"/>
  <c r="N86" i="31"/>
  <c r="M86" i="31"/>
  <c r="L86" i="31"/>
  <c r="K86" i="31"/>
  <c r="J86" i="31"/>
  <c r="I86" i="31"/>
  <c r="H86" i="31"/>
  <c r="G86" i="31"/>
  <c r="F86" i="31"/>
  <c r="E86" i="31"/>
  <c r="BX85" i="31"/>
  <c r="BW85" i="31"/>
  <c r="BV85" i="31"/>
  <c r="BU85" i="31"/>
  <c r="BT85" i="31"/>
  <c r="BS85" i="31"/>
  <c r="BR85" i="31"/>
  <c r="BQ85" i="31"/>
  <c r="BP85" i="31"/>
  <c r="BO85" i="31"/>
  <c r="BN85" i="31"/>
  <c r="BM85" i="31"/>
  <c r="BI85" i="31"/>
  <c r="BH85" i="31"/>
  <c r="BG85" i="31"/>
  <c r="BF85" i="31"/>
  <c r="BE85" i="31"/>
  <c r="BD85" i="31"/>
  <c r="BC85" i="31"/>
  <c r="BB85" i="31"/>
  <c r="BA85" i="31"/>
  <c r="AZ85" i="31"/>
  <c r="AY85" i="31"/>
  <c r="AX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K82" i="31"/>
  <c r="I82" i="31"/>
  <c r="G82" i="31"/>
  <c r="G81" i="31"/>
  <c r="G80" i="31"/>
  <c r="E80" i="31"/>
  <c r="M78" i="31"/>
  <c r="I76" i="31"/>
  <c r="I75" i="31"/>
  <c r="G75" i="31"/>
  <c r="E75" i="31"/>
  <c r="E74" i="31"/>
  <c r="G72" i="31"/>
  <c r="E71" i="31"/>
  <c r="I70" i="31"/>
  <c r="H70" i="31"/>
  <c r="D70" i="31"/>
  <c r="G69" i="31"/>
  <c r="L67" i="31"/>
  <c r="J67" i="31"/>
  <c r="H67" i="31"/>
  <c r="F67" i="31"/>
  <c r="D67" i="31"/>
  <c r="BX100" i="30"/>
  <c r="BW100" i="30"/>
  <c r="BV100" i="30"/>
  <c r="BU100" i="30"/>
  <c r="BT100" i="30"/>
  <c r="BY43" i="30" s="1"/>
  <c r="BS100" i="30"/>
  <c r="BR100" i="30"/>
  <c r="BQ100" i="30"/>
  <c r="BP100" i="30"/>
  <c r="BO100" i="30"/>
  <c r="BN100" i="30"/>
  <c r="BM100" i="30"/>
  <c r="BI100" i="30"/>
  <c r="BH100" i="30"/>
  <c r="BG100" i="30"/>
  <c r="BF100" i="30"/>
  <c r="BE100" i="30"/>
  <c r="BJ43" i="30" s="1"/>
  <c r="BD100" i="30"/>
  <c r="BC100" i="30"/>
  <c r="BB100" i="30"/>
  <c r="BA100" i="30"/>
  <c r="AZ100" i="30"/>
  <c r="AY100" i="30"/>
  <c r="AX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BX99" i="30"/>
  <c r="BW99" i="30"/>
  <c r="BV99" i="30"/>
  <c r="BU99" i="30"/>
  <c r="BT99" i="30"/>
  <c r="BS99" i="30"/>
  <c r="BR99" i="30"/>
  <c r="BQ99" i="30"/>
  <c r="BP99" i="30"/>
  <c r="BO99" i="30"/>
  <c r="BN99" i="30"/>
  <c r="BM99" i="30"/>
  <c r="BI99" i="30"/>
  <c r="BH99" i="30"/>
  <c r="BG99" i="30"/>
  <c r="BF99" i="30"/>
  <c r="BE99" i="30"/>
  <c r="BD99" i="30"/>
  <c r="BC99" i="30"/>
  <c r="BB99" i="30"/>
  <c r="BA99" i="30"/>
  <c r="AZ99" i="30"/>
  <c r="AY99" i="30"/>
  <c r="AX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BX98" i="30"/>
  <c r="BW98" i="30"/>
  <c r="BV98" i="30"/>
  <c r="BU98" i="30"/>
  <c r="BT98" i="30"/>
  <c r="BS98" i="30"/>
  <c r="BR98" i="30"/>
  <c r="BQ98" i="30"/>
  <c r="BP98" i="30"/>
  <c r="BO98" i="30"/>
  <c r="BN98" i="30"/>
  <c r="BM98" i="30"/>
  <c r="BI98" i="30"/>
  <c r="BJ39" i="30" s="1"/>
  <c r="BH98" i="30"/>
  <c r="BG98" i="30"/>
  <c r="BF98" i="30"/>
  <c r="BE98" i="30"/>
  <c r="BD98" i="30"/>
  <c r="BC98" i="30"/>
  <c r="BB98" i="30"/>
  <c r="BA98" i="30"/>
  <c r="AZ98" i="30"/>
  <c r="AY98" i="30"/>
  <c r="AX98" i="30"/>
  <c r="AT98" i="30"/>
  <c r="AS98" i="30"/>
  <c r="AR98" i="30"/>
  <c r="AQ98" i="30"/>
  <c r="AP98" i="30"/>
  <c r="AU38" i="30" s="1"/>
  <c r="AO98" i="30"/>
  <c r="AN98" i="30"/>
  <c r="AM98" i="30"/>
  <c r="AL98" i="30"/>
  <c r="AK98" i="30"/>
  <c r="AJ98" i="30"/>
  <c r="AI98" i="30"/>
  <c r="AE98" i="30"/>
  <c r="AF38" i="30" s="1"/>
  <c r="AD98" i="30"/>
  <c r="AC98" i="30"/>
  <c r="AB98" i="30"/>
  <c r="AA98" i="30"/>
  <c r="Z98" i="30"/>
  <c r="Y98" i="30"/>
  <c r="X98" i="30"/>
  <c r="W98" i="30"/>
  <c r="V98" i="30"/>
  <c r="U98" i="30"/>
  <c r="T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BX97" i="30"/>
  <c r="BW97" i="30"/>
  <c r="BV97" i="30"/>
  <c r="BU97" i="30"/>
  <c r="BT97" i="30"/>
  <c r="BS97" i="30"/>
  <c r="BR97" i="30"/>
  <c r="BQ97" i="30"/>
  <c r="BP97" i="30"/>
  <c r="BO97" i="30"/>
  <c r="BN97" i="30"/>
  <c r="BM97" i="30"/>
  <c r="BI97" i="30"/>
  <c r="BH97" i="30"/>
  <c r="BG97" i="30"/>
  <c r="BF97" i="30"/>
  <c r="BE97" i="30"/>
  <c r="BD97" i="30"/>
  <c r="BC97" i="30"/>
  <c r="BB97" i="30"/>
  <c r="BA97" i="30"/>
  <c r="AZ97" i="30"/>
  <c r="AY97" i="30"/>
  <c r="AX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BX96" i="30"/>
  <c r="BY33" i="30" s="1"/>
  <c r="BW96" i="30"/>
  <c r="BV96" i="30"/>
  <c r="BU96" i="30"/>
  <c r="BT96" i="30"/>
  <c r="BY34" i="30" s="1"/>
  <c r="BY35" i="30" s="1"/>
  <c r="BS96" i="30"/>
  <c r="BR96" i="30"/>
  <c r="BQ96" i="30"/>
  <c r="BP96" i="30"/>
  <c r="BO96" i="30"/>
  <c r="BN96" i="30"/>
  <c r="BM96" i="30"/>
  <c r="BI96" i="30"/>
  <c r="BJ33" i="30" s="1"/>
  <c r="BH96" i="30"/>
  <c r="BG96" i="30"/>
  <c r="BF96" i="30"/>
  <c r="BE96" i="30"/>
  <c r="BD96" i="30"/>
  <c r="BC96" i="30"/>
  <c r="BB96" i="30"/>
  <c r="BA96" i="30"/>
  <c r="AZ96" i="30"/>
  <c r="AY96" i="30"/>
  <c r="AX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BX95" i="30"/>
  <c r="BW95" i="30"/>
  <c r="BV95" i="30"/>
  <c r="BU95" i="30"/>
  <c r="BT95" i="30"/>
  <c r="BS95" i="30"/>
  <c r="BR95" i="30"/>
  <c r="BQ95" i="30"/>
  <c r="BP95" i="30"/>
  <c r="BO95" i="30"/>
  <c r="BN95" i="30"/>
  <c r="BM95" i="30"/>
  <c r="BI95" i="30"/>
  <c r="BH95" i="30"/>
  <c r="BG95" i="30"/>
  <c r="BF95" i="30"/>
  <c r="BE95" i="30"/>
  <c r="BD95" i="30"/>
  <c r="BC95" i="30"/>
  <c r="BB95" i="30"/>
  <c r="BA95" i="30"/>
  <c r="AZ95" i="30"/>
  <c r="AY95" i="30"/>
  <c r="AX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BX94" i="30"/>
  <c r="BW94" i="30"/>
  <c r="BV94" i="30"/>
  <c r="BU94" i="30"/>
  <c r="BT94" i="30"/>
  <c r="BS94" i="30"/>
  <c r="BR94" i="30"/>
  <c r="BQ94" i="30"/>
  <c r="BP94" i="30"/>
  <c r="BO94" i="30"/>
  <c r="BN94" i="30"/>
  <c r="BM94" i="30"/>
  <c r="BI94" i="30"/>
  <c r="BJ29" i="30" s="1"/>
  <c r="BH94" i="30"/>
  <c r="BG94" i="30"/>
  <c r="BF94" i="30"/>
  <c r="BE94" i="30"/>
  <c r="BD94" i="30"/>
  <c r="BC94" i="30"/>
  <c r="BB94" i="30"/>
  <c r="BA94" i="30"/>
  <c r="AZ94" i="30"/>
  <c r="AY94" i="30"/>
  <c r="AX94" i="30"/>
  <c r="AT94" i="30"/>
  <c r="AU28" i="30" s="1"/>
  <c r="AS94" i="30"/>
  <c r="AR94" i="30"/>
  <c r="AQ94" i="30"/>
  <c r="AP94" i="30"/>
  <c r="AU29" i="30" s="1"/>
  <c r="AU30" i="30" s="1"/>
  <c r="AO94" i="30"/>
  <c r="AN94" i="30"/>
  <c r="AM94" i="30"/>
  <c r="AL94" i="30"/>
  <c r="AK94" i="30"/>
  <c r="AJ94" i="30"/>
  <c r="AI94" i="30"/>
  <c r="AE94" i="30"/>
  <c r="AF28" i="30" s="1"/>
  <c r="AD94" i="30"/>
  <c r="AC94" i="30"/>
  <c r="AB94" i="30"/>
  <c r="AA94" i="30"/>
  <c r="AF29" i="30" s="1"/>
  <c r="AF30" i="30" s="1"/>
  <c r="Z94" i="30"/>
  <c r="Y94" i="30"/>
  <c r="X94" i="30"/>
  <c r="W94" i="30"/>
  <c r="V94" i="30"/>
  <c r="U94" i="30"/>
  <c r="T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BX93" i="30"/>
  <c r="BW93" i="30"/>
  <c r="BV93" i="30"/>
  <c r="BU93" i="30"/>
  <c r="BT93" i="30"/>
  <c r="BS93" i="30"/>
  <c r="BR93" i="30"/>
  <c r="BQ93" i="30"/>
  <c r="BP93" i="30"/>
  <c r="BO93" i="30"/>
  <c r="BN93" i="30"/>
  <c r="BM93" i="30"/>
  <c r="BI93" i="30"/>
  <c r="BH93" i="30"/>
  <c r="BG93" i="30"/>
  <c r="BF93" i="30"/>
  <c r="BE93" i="30"/>
  <c r="BD93" i="30"/>
  <c r="BC93" i="30"/>
  <c r="BB93" i="30"/>
  <c r="BA93" i="30"/>
  <c r="AZ93" i="30"/>
  <c r="AY93" i="30"/>
  <c r="AX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BX92" i="30"/>
  <c r="BY24" i="30" s="1"/>
  <c r="BW92" i="30"/>
  <c r="BV92" i="30"/>
  <c r="BU92" i="30"/>
  <c r="BT92" i="30"/>
  <c r="BY23" i="30" s="1"/>
  <c r="BS92" i="30"/>
  <c r="BR92" i="30"/>
  <c r="BQ92" i="30"/>
  <c r="BP92" i="30"/>
  <c r="BO92" i="30"/>
  <c r="BN92" i="30"/>
  <c r="BM92" i="30"/>
  <c r="BI92" i="30"/>
  <c r="BH92" i="30"/>
  <c r="BG92" i="30"/>
  <c r="BF92" i="30"/>
  <c r="BE92" i="30"/>
  <c r="BJ23" i="30" s="1"/>
  <c r="BD92" i="30"/>
  <c r="BC92" i="30"/>
  <c r="BB92" i="30"/>
  <c r="BA92" i="30"/>
  <c r="AZ92" i="30"/>
  <c r="AY92" i="30"/>
  <c r="AX92" i="30"/>
  <c r="AT92" i="30"/>
  <c r="AS92" i="30"/>
  <c r="AR92" i="30"/>
  <c r="AQ92" i="30"/>
  <c r="AP92" i="30"/>
  <c r="AO92" i="30"/>
  <c r="AN92" i="30"/>
  <c r="AM92" i="30"/>
  <c r="AL92" i="30"/>
  <c r="AK92" i="30"/>
  <c r="AJ92" i="30"/>
  <c r="AI92" i="30"/>
  <c r="AE92" i="30"/>
  <c r="AD92" i="30"/>
  <c r="AC92" i="30"/>
  <c r="AB92" i="30"/>
  <c r="AA92" i="30"/>
  <c r="Z92" i="30"/>
  <c r="Y92" i="30"/>
  <c r="X92" i="30"/>
  <c r="W92" i="30"/>
  <c r="V92" i="30"/>
  <c r="U92" i="30"/>
  <c r="T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BX91" i="30"/>
  <c r="BW91" i="30"/>
  <c r="BV91" i="30"/>
  <c r="BU91" i="30"/>
  <c r="BT91" i="30"/>
  <c r="BS91" i="30"/>
  <c r="BR91" i="30"/>
  <c r="BQ91" i="30"/>
  <c r="BP91" i="30"/>
  <c r="BO91" i="30"/>
  <c r="BN91" i="30"/>
  <c r="BM91" i="30"/>
  <c r="BI91" i="30"/>
  <c r="BH91" i="30"/>
  <c r="BG91" i="30"/>
  <c r="BF91" i="30"/>
  <c r="BE91" i="30"/>
  <c r="BD91" i="30"/>
  <c r="BC91" i="30"/>
  <c r="BB91" i="30"/>
  <c r="BA91" i="30"/>
  <c r="AZ91" i="30"/>
  <c r="AY91" i="30"/>
  <c r="AX91" i="30"/>
  <c r="AT91" i="30"/>
  <c r="AS91" i="30"/>
  <c r="AR91" i="30"/>
  <c r="AQ91" i="30"/>
  <c r="AP91" i="30"/>
  <c r="AO91" i="30"/>
  <c r="AN91" i="30"/>
  <c r="AM91" i="30"/>
  <c r="AL91" i="30"/>
  <c r="AK91" i="30"/>
  <c r="AJ91" i="30"/>
  <c r="AI91" i="30"/>
  <c r="AE91" i="30"/>
  <c r="AD91" i="30"/>
  <c r="AC91" i="30"/>
  <c r="AB91" i="30"/>
  <c r="AA91" i="30"/>
  <c r="Z91" i="30"/>
  <c r="Y91" i="30"/>
  <c r="X91" i="30"/>
  <c r="W91" i="30"/>
  <c r="V91" i="30"/>
  <c r="U91" i="30"/>
  <c r="T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BX90" i="30"/>
  <c r="BW90" i="30"/>
  <c r="BV90" i="30"/>
  <c r="BU90" i="30"/>
  <c r="BT90" i="30"/>
  <c r="BS90" i="30"/>
  <c r="BR90" i="30"/>
  <c r="BQ90" i="30"/>
  <c r="BP90" i="30"/>
  <c r="BO90" i="30"/>
  <c r="BN90" i="30"/>
  <c r="BM90" i="30"/>
  <c r="BI90" i="30"/>
  <c r="BH90" i="30"/>
  <c r="BG90" i="30"/>
  <c r="BF90" i="30"/>
  <c r="BE90" i="30"/>
  <c r="BJ19" i="30" s="1"/>
  <c r="BD90" i="30"/>
  <c r="BC90" i="30"/>
  <c r="BB90" i="30"/>
  <c r="BA90" i="30"/>
  <c r="AZ90" i="30"/>
  <c r="AY90" i="30"/>
  <c r="AX90" i="30"/>
  <c r="AT90" i="30"/>
  <c r="AU18" i="30" s="1"/>
  <c r="AS90" i="30"/>
  <c r="AR90" i="30"/>
  <c r="AQ90" i="30"/>
  <c r="AP90" i="30"/>
  <c r="AO90" i="30"/>
  <c r="AN90" i="30"/>
  <c r="AM90" i="30"/>
  <c r="AL90" i="30"/>
  <c r="AK90" i="30"/>
  <c r="AJ90" i="30"/>
  <c r="AI90" i="30"/>
  <c r="AE90" i="30"/>
  <c r="AF19" i="30" s="1"/>
  <c r="AD90" i="30"/>
  <c r="AC90" i="30"/>
  <c r="AB90" i="30"/>
  <c r="AA90" i="30"/>
  <c r="AF18" i="30" s="1"/>
  <c r="Z90" i="30"/>
  <c r="Y90" i="30"/>
  <c r="X90" i="30"/>
  <c r="W90" i="30"/>
  <c r="V90" i="30"/>
  <c r="U90" i="30"/>
  <c r="T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BX89" i="30"/>
  <c r="BW89" i="30"/>
  <c r="BV89" i="30"/>
  <c r="BU89" i="30"/>
  <c r="BT89" i="30"/>
  <c r="BS89" i="30"/>
  <c r="BR89" i="30"/>
  <c r="BQ89" i="30"/>
  <c r="BP89" i="30"/>
  <c r="BO89" i="30"/>
  <c r="BN89" i="30"/>
  <c r="BM89" i="30"/>
  <c r="BI89" i="30"/>
  <c r="BH89" i="30"/>
  <c r="BG89" i="30"/>
  <c r="BF89" i="30"/>
  <c r="BE89" i="30"/>
  <c r="BD89" i="30"/>
  <c r="BC89" i="30"/>
  <c r="BB89" i="30"/>
  <c r="BA89" i="30"/>
  <c r="AZ89" i="30"/>
  <c r="AY89" i="30"/>
  <c r="AX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BX88" i="30"/>
  <c r="BY13" i="30" s="1"/>
  <c r="BW88" i="30"/>
  <c r="BV88" i="30"/>
  <c r="BU88" i="30"/>
  <c r="BT88" i="30"/>
  <c r="BY14" i="30" s="1"/>
  <c r="BY15" i="30" s="1"/>
  <c r="BS88" i="30"/>
  <c r="BR88" i="30"/>
  <c r="BQ88" i="30"/>
  <c r="BP88" i="30"/>
  <c r="BO88" i="30"/>
  <c r="BN88" i="30"/>
  <c r="BM88" i="30"/>
  <c r="BI88" i="30"/>
  <c r="BH88" i="30"/>
  <c r="BG88" i="30"/>
  <c r="BF88" i="30"/>
  <c r="BE88" i="30"/>
  <c r="BJ13" i="30" s="1"/>
  <c r="BD88" i="30"/>
  <c r="BC88" i="30"/>
  <c r="BB88" i="30"/>
  <c r="BA88" i="30"/>
  <c r="AZ88" i="30"/>
  <c r="AY88" i="30"/>
  <c r="AX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BX87" i="30"/>
  <c r="BW87" i="30"/>
  <c r="BV87" i="30"/>
  <c r="BU87" i="30"/>
  <c r="BT87" i="30"/>
  <c r="BS87" i="30"/>
  <c r="BR87" i="30"/>
  <c r="BQ87" i="30"/>
  <c r="BP87" i="30"/>
  <c r="BO87" i="30"/>
  <c r="BN87" i="30"/>
  <c r="BM87" i="30"/>
  <c r="BI87" i="30"/>
  <c r="BH87" i="30"/>
  <c r="BG87" i="30"/>
  <c r="BF87" i="30"/>
  <c r="BE87" i="30"/>
  <c r="BD87" i="30"/>
  <c r="BC87" i="30"/>
  <c r="BB87" i="30"/>
  <c r="BA87" i="30"/>
  <c r="AZ87" i="30"/>
  <c r="AY87" i="30"/>
  <c r="AX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BX86" i="30"/>
  <c r="BW86" i="30"/>
  <c r="BV86" i="30"/>
  <c r="BU86" i="30"/>
  <c r="BT86" i="30"/>
  <c r="BS86" i="30"/>
  <c r="BR86" i="30"/>
  <c r="BQ86" i="30"/>
  <c r="BP86" i="30"/>
  <c r="BO86" i="30"/>
  <c r="BN86" i="30"/>
  <c r="BM86" i="30"/>
  <c r="BI86" i="30"/>
  <c r="BH86" i="30"/>
  <c r="BG86" i="30"/>
  <c r="BF86" i="30"/>
  <c r="BE86" i="30"/>
  <c r="BJ9" i="30" s="1"/>
  <c r="BD86" i="30"/>
  <c r="BC86" i="30"/>
  <c r="BB86" i="30"/>
  <c r="BA86" i="30"/>
  <c r="AZ86" i="30"/>
  <c r="AY86" i="30"/>
  <c r="AX86" i="30"/>
  <c r="AT86" i="30"/>
  <c r="AU8" i="30" s="1"/>
  <c r="H69" i="30" s="1"/>
  <c r="AS86" i="30"/>
  <c r="AR86" i="30"/>
  <c r="AQ86" i="30"/>
  <c r="AP86" i="30"/>
  <c r="AU9" i="30" s="1"/>
  <c r="AO86" i="30"/>
  <c r="AN86" i="30"/>
  <c r="AM86" i="30"/>
  <c r="AL86" i="30"/>
  <c r="AK86" i="30"/>
  <c r="AJ86" i="30"/>
  <c r="AI86" i="30"/>
  <c r="AE86" i="30"/>
  <c r="AD86" i="30"/>
  <c r="AC86" i="30"/>
  <c r="AB86" i="30"/>
  <c r="AA86" i="30"/>
  <c r="AF8" i="30" s="1"/>
  <c r="F69" i="30" s="1"/>
  <c r="Z86" i="30"/>
  <c r="Y86" i="30"/>
  <c r="X86" i="30"/>
  <c r="W86" i="30"/>
  <c r="V86" i="30"/>
  <c r="U86" i="30"/>
  <c r="T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BX85" i="30"/>
  <c r="BW85" i="30"/>
  <c r="BV85" i="30"/>
  <c r="BU85" i="30"/>
  <c r="BT85" i="30"/>
  <c r="BS85" i="30"/>
  <c r="BR85" i="30"/>
  <c r="BQ85" i="30"/>
  <c r="BP85" i="30"/>
  <c r="BO85" i="30"/>
  <c r="BN85" i="30"/>
  <c r="BM85" i="30"/>
  <c r="BI85" i="30"/>
  <c r="BH85" i="30"/>
  <c r="BG85" i="30"/>
  <c r="BF85" i="30"/>
  <c r="BE85" i="30"/>
  <c r="BD85" i="30"/>
  <c r="BC85" i="30"/>
  <c r="BB85" i="30"/>
  <c r="BA85" i="30"/>
  <c r="AZ85" i="30"/>
  <c r="AY85" i="30"/>
  <c r="AX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M84" i="30"/>
  <c r="G84" i="30"/>
  <c r="E84" i="30"/>
  <c r="E82" i="30"/>
  <c r="G80" i="30"/>
  <c r="E80" i="30"/>
  <c r="M79" i="30"/>
  <c r="G79" i="30"/>
  <c r="E78" i="30"/>
  <c r="E77" i="30"/>
  <c r="G75" i="30"/>
  <c r="E75" i="30"/>
  <c r="M74" i="30"/>
  <c r="G71" i="30"/>
  <c r="E70" i="30"/>
  <c r="G69" i="30"/>
  <c r="E69" i="30"/>
  <c r="D69" i="30"/>
  <c r="L67" i="30"/>
  <c r="J67" i="30"/>
  <c r="H67" i="30"/>
  <c r="F67" i="30"/>
  <c r="D67" i="30"/>
  <c r="BX100" i="29"/>
  <c r="BW100" i="29"/>
  <c r="BV100" i="29"/>
  <c r="BU100" i="29"/>
  <c r="BT100" i="29"/>
  <c r="BS100" i="29"/>
  <c r="BR100" i="29"/>
  <c r="BQ100" i="29"/>
  <c r="BP100" i="29"/>
  <c r="BO100" i="29"/>
  <c r="BY43" i="29" s="1"/>
  <c r="BN100" i="29"/>
  <c r="BM100" i="29"/>
  <c r="BI100" i="29"/>
  <c r="BH100" i="29"/>
  <c r="BG100" i="29"/>
  <c r="BF100" i="29"/>
  <c r="BE100" i="29"/>
  <c r="BD100" i="29"/>
  <c r="BC100" i="29"/>
  <c r="BB100" i="29"/>
  <c r="BA100" i="29"/>
  <c r="AZ100" i="29"/>
  <c r="BJ43" i="29" s="1"/>
  <c r="AY100" i="29"/>
  <c r="AX100" i="29"/>
  <c r="BJ44" i="29" s="1"/>
  <c r="AT100" i="29"/>
  <c r="AS100" i="29"/>
  <c r="AR100" i="29"/>
  <c r="AQ100" i="29"/>
  <c r="AP100" i="29"/>
  <c r="AO100" i="29"/>
  <c r="AN100" i="29"/>
  <c r="AM100" i="29"/>
  <c r="AL100" i="29"/>
  <c r="AK100" i="29"/>
  <c r="AU44" i="29" s="1"/>
  <c r="AU45" i="29" s="1"/>
  <c r="AJ100" i="29"/>
  <c r="AI100" i="29"/>
  <c r="AU43" i="29" s="1"/>
  <c r="AE100" i="29"/>
  <c r="AD100" i="29"/>
  <c r="AC100" i="29"/>
  <c r="AB100" i="29"/>
  <c r="AA100" i="29"/>
  <c r="Z100" i="29"/>
  <c r="Y100" i="29"/>
  <c r="X100" i="29"/>
  <c r="W100" i="29"/>
  <c r="V100" i="29"/>
  <c r="AF43" i="29" s="1"/>
  <c r="U100" i="29"/>
  <c r="T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BX99" i="29"/>
  <c r="BW99" i="29"/>
  <c r="BV99" i="29"/>
  <c r="BU99" i="29"/>
  <c r="BT99" i="29"/>
  <c r="BS99" i="29"/>
  <c r="BR99" i="29"/>
  <c r="BQ99" i="29"/>
  <c r="BP99" i="29"/>
  <c r="BO99" i="29"/>
  <c r="BN99" i="29"/>
  <c r="BM99" i="29"/>
  <c r="BI99" i="29"/>
  <c r="BH99" i="29"/>
  <c r="BG99" i="29"/>
  <c r="BF99" i="29"/>
  <c r="BE99" i="29"/>
  <c r="BD99" i="29"/>
  <c r="BC99" i="29"/>
  <c r="BB99" i="29"/>
  <c r="BA99" i="29"/>
  <c r="AZ99" i="29"/>
  <c r="AY99" i="29"/>
  <c r="AX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BX98" i="29"/>
  <c r="BW98" i="29"/>
  <c r="BV98" i="29"/>
  <c r="BU98" i="29"/>
  <c r="BT98" i="29"/>
  <c r="BS98" i="29"/>
  <c r="BR98" i="29"/>
  <c r="BQ98" i="29"/>
  <c r="BP98" i="29"/>
  <c r="BO98" i="29"/>
  <c r="BY38" i="29" s="1"/>
  <c r="BN98" i="29"/>
  <c r="BM98" i="29"/>
  <c r="BI98" i="29"/>
  <c r="BH98" i="29"/>
  <c r="BG98" i="29"/>
  <c r="BF98" i="29"/>
  <c r="BE98" i="29"/>
  <c r="BD98" i="29"/>
  <c r="BC98" i="29"/>
  <c r="BB98" i="29"/>
  <c r="BA98" i="29"/>
  <c r="AZ98" i="29"/>
  <c r="BJ39" i="29" s="1"/>
  <c r="AY98" i="29"/>
  <c r="AX98" i="29"/>
  <c r="AT98" i="29"/>
  <c r="AS98" i="29"/>
  <c r="AR98" i="29"/>
  <c r="AQ98" i="29"/>
  <c r="AP98" i="29"/>
  <c r="AO98" i="29"/>
  <c r="AN98" i="29"/>
  <c r="AM98" i="29"/>
  <c r="AL98" i="29"/>
  <c r="AK98" i="29"/>
  <c r="AU38" i="29" s="1"/>
  <c r="AJ98" i="29"/>
  <c r="AI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BX97" i="29"/>
  <c r="BW97" i="29"/>
  <c r="BV97" i="29"/>
  <c r="BU97" i="29"/>
  <c r="BT97" i="29"/>
  <c r="BS97" i="29"/>
  <c r="BR97" i="29"/>
  <c r="BQ97" i="29"/>
  <c r="BP97" i="29"/>
  <c r="BO97" i="29"/>
  <c r="BN97" i="29"/>
  <c r="BM97" i="29"/>
  <c r="BI97" i="29"/>
  <c r="BH97" i="29"/>
  <c r="BG97" i="29"/>
  <c r="BF97" i="29"/>
  <c r="BE97" i="29"/>
  <c r="BD97" i="29"/>
  <c r="BC97" i="29"/>
  <c r="BB97" i="29"/>
  <c r="BA97" i="29"/>
  <c r="AZ97" i="29"/>
  <c r="AY97" i="29"/>
  <c r="AX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BX96" i="29"/>
  <c r="BW96" i="29"/>
  <c r="BV96" i="29"/>
  <c r="BU96" i="29"/>
  <c r="BT96" i="29"/>
  <c r="BS96" i="29"/>
  <c r="BR96" i="29"/>
  <c r="BQ96" i="29"/>
  <c r="BP96" i="29"/>
  <c r="BO96" i="29"/>
  <c r="BY33" i="29" s="1"/>
  <c r="BN96" i="29"/>
  <c r="BM96" i="29"/>
  <c r="BI96" i="29"/>
  <c r="BH96" i="29"/>
  <c r="BG96" i="29"/>
  <c r="BF96" i="29"/>
  <c r="BE96" i="29"/>
  <c r="BD96" i="29"/>
  <c r="BC96" i="29"/>
  <c r="BB96" i="29"/>
  <c r="BA96" i="29"/>
  <c r="AZ96" i="29"/>
  <c r="BJ33" i="29" s="1"/>
  <c r="AY96" i="29"/>
  <c r="AX96" i="29"/>
  <c r="BJ34" i="29" s="1"/>
  <c r="AT96" i="29"/>
  <c r="AS96" i="29"/>
  <c r="AR96" i="29"/>
  <c r="AQ96" i="29"/>
  <c r="AP96" i="29"/>
  <c r="AO96" i="29"/>
  <c r="AN96" i="29"/>
  <c r="AM96" i="29"/>
  <c r="AL96" i="29"/>
  <c r="AK96" i="29"/>
  <c r="AU34" i="29" s="1"/>
  <c r="AU35" i="29" s="1"/>
  <c r="AJ96" i="29"/>
  <c r="AI96" i="29"/>
  <c r="AU33" i="29" s="1"/>
  <c r="AE96" i="29"/>
  <c r="AD96" i="29"/>
  <c r="AC96" i="29"/>
  <c r="AB96" i="29"/>
  <c r="AA96" i="29"/>
  <c r="Z96" i="29"/>
  <c r="Y96" i="29"/>
  <c r="X96" i="29"/>
  <c r="W96" i="29"/>
  <c r="V96" i="29"/>
  <c r="AF33" i="29" s="1"/>
  <c r="U96" i="29"/>
  <c r="T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BX95" i="29"/>
  <c r="BW95" i="29"/>
  <c r="BV95" i="29"/>
  <c r="BU95" i="29"/>
  <c r="BT95" i="29"/>
  <c r="BS95" i="29"/>
  <c r="BR95" i="29"/>
  <c r="BQ95" i="29"/>
  <c r="BP95" i="29"/>
  <c r="BO95" i="29"/>
  <c r="BN95" i="29"/>
  <c r="BM95" i="29"/>
  <c r="BI95" i="29"/>
  <c r="BH95" i="29"/>
  <c r="BG95" i="29"/>
  <c r="BF95" i="29"/>
  <c r="BE95" i="29"/>
  <c r="BD95" i="29"/>
  <c r="BC95" i="29"/>
  <c r="BB95" i="29"/>
  <c r="BA95" i="29"/>
  <c r="AZ95" i="29"/>
  <c r="AY95" i="29"/>
  <c r="AX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BX94" i="29"/>
  <c r="BW94" i="29"/>
  <c r="BV94" i="29"/>
  <c r="BU94" i="29"/>
  <c r="BT94" i="29"/>
  <c r="BS94" i="29"/>
  <c r="BR94" i="29"/>
  <c r="BQ94" i="29"/>
  <c r="BP94" i="29"/>
  <c r="BO94" i="29"/>
  <c r="BY28" i="29" s="1"/>
  <c r="BN94" i="29"/>
  <c r="BM94" i="29"/>
  <c r="BI94" i="29"/>
  <c r="BH94" i="29"/>
  <c r="BG94" i="29"/>
  <c r="BF94" i="29"/>
  <c r="BE94" i="29"/>
  <c r="BD94" i="29"/>
  <c r="BC94" i="29"/>
  <c r="BB94" i="29"/>
  <c r="BA94" i="29"/>
  <c r="AZ94" i="29"/>
  <c r="BJ28" i="29" s="1"/>
  <c r="AY94" i="29"/>
  <c r="AX94" i="29"/>
  <c r="AT94" i="29"/>
  <c r="AS94" i="29"/>
  <c r="AR94" i="29"/>
  <c r="AQ94" i="29"/>
  <c r="AP94" i="29"/>
  <c r="AO94" i="29"/>
  <c r="AN94" i="29"/>
  <c r="AM94" i="29"/>
  <c r="AL94" i="29"/>
  <c r="AK94" i="29"/>
  <c r="AU28" i="29" s="1"/>
  <c r="AJ94" i="29"/>
  <c r="AI94" i="29"/>
  <c r="AE94" i="29"/>
  <c r="AD94" i="29"/>
  <c r="AC94" i="29"/>
  <c r="AB94" i="29"/>
  <c r="AA94" i="29"/>
  <c r="Z94" i="29"/>
  <c r="Y94" i="29"/>
  <c r="X94" i="29"/>
  <c r="W94" i="29"/>
  <c r="V94" i="29"/>
  <c r="AF28" i="29" s="1"/>
  <c r="U94" i="29"/>
  <c r="T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BX93" i="29"/>
  <c r="BW93" i="29"/>
  <c r="BV93" i="29"/>
  <c r="BU93" i="29"/>
  <c r="BT93" i="29"/>
  <c r="BS93" i="29"/>
  <c r="BR93" i="29"/>
  <c r="BQ93" i="29"/>
  <c r="BP93" i="29"/>
  <c r="BO93" i="29"/>
  <c r="BN93" i="29"/>
  <c r="BM93" i="29"/>
  <c r="BI93" i="29"/>
  <c r="BH93" i="29"/>
  <c r="BG93" i="29"/>
  <c r="BF93" i="29"/>
  <c r="BE93" i="29"/>
  <c r="BD93" i="29"/>
  <c r="BC93" i="29"/>
  <c r="BB93" i="29"/>
  <c r="BA93" i="29"/>
  <c r="AZ93" i="29"/>
  <c r="AY93" i="29"/>
  <c r="AX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BX92" i="29"/>
  <c r="BW92" i="29"/>
  <c r="BV92" i="29"/>
  <c r="BU92" i="29"/>
  <c r="BT92" i="29"/>
  <c r="BS92" i="29"/>
  <c r="BR92" i="29"/>
  <c r="BQ92" i="29"/>
  <c r="BP92" i="29"/>
  <c r="BO92" i="29"/>
  <c r="BY23" i="29" s="1"/>
  <c r="BN92" i="29"/>
  <c r="BM92" i="29"/>
  <c r="BI92" i="29"/>
  <c r="BH92" i="29"/>
  <c r="BG92" i="29"/>
  <c r="BF92" i="29"/>
  <c r="BE92" i="29"/>
  <c r="BD92" i="29"/>
  <c r="BC92" i="29"/>
  <c r="BB92" i="29"/>
  <c r="BA92" i="29"/>
  <c r="AZ92" i="29"/>
  <c r="BJ23" i="29" s="1"/>
  <c r="AY92" i="29"/>
  <c r="AX92" i="29"/>
  <c r="BJ24" i="29" s="1"/>
  <c r="AT92" i="29"/>
  <c r="AS92" i="29"/>
  <c r="AR92" i="29"/>
  <c r="AQ92" i="29"/>
  <c r="AP92" i="29"/>
  <c r="AO92" i="29"/>
  <c r="AN92" i="29"/>
  <c r="AM92" i="29"/>
  <c r="AL92" i="29"/>
  <c r="AK92" i="29"/>
  <c r="AU24" i="29" s="1"/>
  <c r="AJ92" i="29"/>
  <c r="AI92" i="29"/>
  <c r="AU23" i="29" s="1"/>
  <c r="AE92" i="29"/>
  <c r="AD92" i="29"/>
  <c r="AC92" i="29"/>
  <c r="AB92" i="29"/>
  <c r="AA92" i="29"/>
  <c r="Z92" i="29"/>
  <c r="Y92" i="29"/>
  <c r="X92" i="29"/>
  <c r="W92" i="29"/>
  <c r="V92" i="29"/>
  <c r="AF23" i="29" s="1"/>
  <c r="U92" i="29"/>
  <c r="T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BX91" i="29"/>
  <c r="BW91" i="29"/>
  <c r="BV91" i="29"/>
  <c r="BU91" i="29"/>
  <c r="BT91" i="29"/>
  <c r="BS91" i="29"/>
  <c r="BR91" i="29"/>
  <c r="BQ91" i="29"/>
  <c r="BP91" i="29"/>
  <c r="BO91" i="29"/>
  <c r="BN91" i="29"/>
  <c r="BM91" i="29"/>
  <c r="BI91" i="29"/>
  <c r="BH91" i="29"/>
  <c r="BG91" i="29"/>
  <c r="BF91" i="29"/>
  <c r="BE91" i="29"/>
  <c r="BD91" i="29"/>
  <c r="BC91" i="29"/>
  <c r="BB91" i="29"/>
  <c r="BA91" i="29"/>
  <c r="AZ91" i="29"/>
  <c r="AY91" i="29"/>
  <c r="AX91" i="29"/>
  <c r="AT91" i="29"/>
  <c r="AS91" i="29"/>
  <c r="AR91" i="29"/>
  <c r="AQ91" i="29"/>
  <c r="AP91" i="29"/>
  <c r="AO91" i="29"/>
  <c r="AN91" i="29"/>
  <c r="AM91" i="29"/>
  <c r="AL91" i="29"/>
  <c r="AK91" i="29"/>
  <c r="AJ91" i="29"/>
  <c r="AI91" i="29"/>
  <c r="AE91" i="29"/>
  <c r="AD91" i="29"/>
  <c r="AC91" i="29"/>
  <c r="AB91" i="29"/>
  <c r="AA91" i="29"/>
  <c r="Z91" i="29"/>
  <c r="Y91" i="29"/>
  <c r="X91" i="29"/>
  <c r="W91" i="29"/>
  <c r="V91" i="29"/>
  <c r="U91" i="29"/>
  <c r="T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BX90" i="29"/>
  <c r="BW90" i="29"/>
  <c r="BV90" i="29"/>
  <c r="BU90" i="29"/>
  <c r="BT90" i="29"/>
  <c r="BS90" i="29"/>
  <c r="BR90" i="29"/>
  <c r="BQ90" i="29"/>
  <c r="BP90" i="29"/>
  <c r="BO90" i="29"/>
  <c r="BY18" i="29" s="1"/>
  <c r="BN90" i="29"/>
  <c r="BM90" i="29"/>
  <c r="BI90" i="29"/>
  <c r="BH90" i="29"/>
  <c r="BG90" i="29"/>
  <c r="BF90" i="29"/>
  <c r="BE90" i="29"/>
  <c r="BD90" i="29"/>
  <c r="BC90" i="29"/>
  <c r="BB90" i="29"/>
  <c r="BA90" i="29"/>
  <c r="AZ90" i="29"/>
  <c r="BJ18" i="29" s="1"/>
  <c r="AY90" i="29"/>
  <c r="AX90" i="29"/>
  <c r="AT90" i="29"/>
  <c r="AS90" i="29"/>
  <c r="AR90" i="29"/>
  <c r="AQ90" i="29"/>
  <c r="AP90" i="29"/>
  <c r="AO90" i="29"/>
  <c r="AN90" i="29"/>
  <c r="AM90" i="29"/>
  <c r="AL90" i="29"/>
  <c r="AK90" i="29"/>
  <c r="AU18" i="29" s="1"/>
  <c r="AJ90" i="29"/>
  <c r="AI90" i="29"/>
  <c r="AE90" i="29"/>
  <c r="AD90" i="29"/>
  <c r="AC90" i="29"/>
  <c r="AB90" i="29"/>
  <c r="AA90" i="29"/>
  <c r="Z90" i="29"/>
  <c r="Y90" i="29"/>
  <c r="X90" i="29"/>
  <c r="W90" i="29"/>
  <c r="V90" i="29"/>
  <c r="AF18" i="29" s="1"/>
  <c r="U90" i="29"/>
  <c r="T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BX89" i="29"/>
  <c r="BW89" i="29"/>
  <c r="BV89" i="29"/>
  <c r="BU89" i="29"/>
  <c r="BT89" i="29"/>
  <c r="BS89" i="29"/>
  <c r="BR89" i="29"/>
  <c r="BQ89" i="29"/>
  <c r="BP89" i="29"/>
  <c r="BO89" i="29"/>
  <c r="BN89" i="29"/>
  <c r="BM89" i="29"/>
  <c r="BI89" i="29"/>
  <c r="BH89" i="29"/>
  <c r="BG89" i="29"/>
  <c r="BF89" i="29"/>
  <c r="BE89" i="29"/>
  <c r="BD89" i="29"/>
  <c r="BC89" i="29"/>
  <c r="BB89" i="29"/>
  <c r="BA89" i="29"/>
  <c r="AZ89" i="29"/>
  <c r="AY89" i="29"/>
  <c r="AX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BX88" i="29"/>
  <c r="BW88" i="29"/>
  <c r="BV88" i="29"/>
  <c r="BU88" i="29"/>
  <c r="BT88" i="29"/>
  <c r="BS88" i="29"/>
  <c r="BR88" i="29"/>
  <c r="BQ88" i="29"/>
  <c r="BP88" i="29"/>
  <c r="BO88" i="29"/>
  <c r="BY13" i="29" s="1"/>
  <c r="BN88" i="29"/>
  <c r="BM88" i="29"/>
  <c r="BI88" i="29"/>
  <c r="BH88" i="29"/>
  <c r="BG88" i="29"/>
  <c r="BF88" i="29"/>
  <c r="BE88" i="29"/>
  <c r="BD88" i="29"/>
  <c r="BC88" i="29"/>
  <c r="BB88" i="29"/>
  <c r="BA88" i="29"/>
  <c r="AZ88" i="29"/>
  <c r="BJ13" i="29" s="1"/>
  <c r="AY88" i="29"/>
  <c r="AX88" i="29"/>
  <c r="BJ14" i="29" s="1"/>
  <c r="AT88" i="29"/>
  <c r="AS88" i="29"/>
  <c r="AR88" i="29"/>
  <c r="AQ88" i="29"/>
  <c r="AP88" i="29"/>
  <c r="AO88" i="29"/>
  <c r="AN88" i="29"/>
  <c r="AM88" i="29"/>
  <c r="AL88" i="29"/>
  <c r="AK88" i="29"/>
  <c r="AU14" i="29" s="1"/>
  <c r="AJ88" i="29"/>
  <c r="AI88" i="29"/>
  <c r="AU13" i="29" s="1"/>
  <c r="AE88" i="29"/>
  <c r="AD88" i="29"/>
  <c r="AC88" i="29"/>
  <c r="AB88" i="29"/>
  <c r="AA88" i="29"/>
  <c r="Z88" i="29"/>
  <c r="Y88" i="29"/>
  <c r="X88" i="29"/>
  <c r="W88" i="29"/>
  <c r="V88" i="29"/>
  <c r="AF13" i="29" s="1"/>
  <c r="U88" i="29"/>
  <c r="T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BX87" i="29"/>
  <c r="BW87" i="29"/>
  <c r="BV87" i="29"/>
  <c r="BU87" i="29"/>
  <c r="BT87" i="29"/>
  <c r="BS87" i="29"/>
  <c r="BR87" i="29"/>
  <c r="BQ87" i="29"/>
  <c r="BP87" i="29"/>
  <c r="BO87" i="29"/>
  <c r="BN87" i="29"/>
  <c r="BM87" i="29"/>
  <c r="BI87" i="29"/>
  <c r="BH87" i="29"/>
  <c r="BG87" i="29"/>
  <c r="BF87" i="29"/>
  <c r="BE87" i="29"/>
  <c r="BD87" i="29"/>
  <c r="BC87" i="29"/>
  <c r="BB87" i="29"/>
  <c r="BA87" i="29"/>
  <c r="AZ87" i="29"/>
  <c r="AY87" i="29"/>
  <c r="AX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BX86" i="29"/>
  <c r="BW86" i="29"/>
  <c r="BV86" i="29"/>
  <c r="BU86" i="29"/>
  <c r="BT86" i="29"/>
  <c r="BS86" i="29"/>
  <c r="BR86" i="29"/>
  <c r="BQ86" i="29"/>
  <c r="BP86" i="29"/>
  <c r="BO86" i="29"/>
  <c r="BY8" i="29" s="1"/>
  <c r="BN86" i="29"/>
  <c r="BM86" i="29"/>
  <c r="BI86" i="29"/>
  <c r="BH86" i="29"/>
  <c r="BG86" i="29"/>
  <c r="BF86" i="29"/>
  <c r="BE86" i="29"/>
  <c r="BD86" i="29"/>
  <c r="BC86" i="29"/>
  <c r="BB86" i="29"/>
  <c r="BA86" i="29"/>
  <c r="AZ86" i="29"/>
  <c r="BJ8" i="29" s="1"/>
  <c r="AY86" i="29"/>
  <c r="AX86" i="29"/>
  <c r="AT86" i="29"/>
  <c r="AS86" i="29"/>
  <c r="AR86" i="29"/>
  <c r="AQ86" i="29"/>
  <c r="AP86" i="29"/>
  <c r="AO86" i="29"/>
  <c r="AN86" i="29"/>
  <c r="AM86" i="29"/>
  <c r="AL86" i="29"/>
  <c r="AK86" i="29"/>
  <c r="AU8" i="29" s="1"/>
  <c r="AJ86" i="29"/>
  <c r="AI86" i="29"/>
  <c r="AE86" i="29"/>
  <c r="AD86" i="29"/>
  <c r="AC86" i="29"/>
  <c r="AB86" i="29"/>
  <c r="AA86" i="29"/>
  <c r="Z86" i="29"/>
  <c r="Y86" i="29"/>
  <c r="X86" i="29"/>
  <c r="W86" i="29"/>
  <c r="V86" i="29"/>
  <c r="AF8" i="29" s="1"/>
  <c r="U86" i="29"/>
  <c r="T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BX85" i="29"/>
  <c r="BW85" i="29"/>
  <c r="BV85" i="29"/>
  <c r="BU85" i="29"/>
  <c r="BT85" i="29"/>
  <c r="BS85" i="29"/>
  <c r="BR85" i="29"/>
  <c r="BQ85" i="29"/>
  <c r="BP85" i="29"/>
  <c r="BO85" i="29"/>
  <c r="BN85" i="29"/>
  <c r="BM85" i="29"/>
  <c r="BI85" i="29"/>
  <c r="BH85" i="29"/>
  <c r="BG85" i="29"/>
  <c r="BF85" i="29"/>
  <c r="BE85" i="29"/>
  <c r="BD85" i="29"/>
  <c r="BC85" i="29"/>
  <c r="BB85" i="29"/>
  <c r="BA85" i="29"/>
  <c r="AZ85" i="29"/>
  <c r="AY85" i="29"/>
  <c r="AX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M73" i="29"/>
  <c r="I71" i="29"/>
  <c r="H71" i="29"/>
  <c r="L67" i="29"/>
  <c r="J67" i="29"/>
  <c r="H67" i="29"/>
  <c r="F67" i="29"/>
  <c r="D67" i="29"/>
  <c r="B42" i="31"/>
  <c r="A44" i="31" s="1"/>
  <c r="B37" i="31"/>
  <c r="A39" i="31" s="1"/>
  <c r="B32" i="31"/>
  <c r="A34" i="31" s="1"/>
  <c r="B27" i="31"/>
  <c r="A29" i="31" s="1"/>
  <c r="B22" i="31"/>
  <c r="A24" i="31" s="1"/>
  <c r="B17" i="31"/>
  <c r="A19" i="31" s="1"/>
  <c r="B12" i="31"/>
  <c r="A14" i="31" s="1"/>
  <c r="B7" i="31"/>
  <c r="A9" i="31" s="1"/>
  <c r="B42" i="30"/>
  <c r="A44" i="30" s="1"/>
  <c r="A39" i="30"/>
  <c r="A38" i="30"/>
  <c r="B37" i="30"/>
  <c r="B32" i="30"/>
  <c r="A34" i="30" s="1"/>
  <c r="B27" i="30"/>
  <c r="A28" i="30" s="1"/>
  <c r="B22" i="30"/>
  <c r="A24" i="30" s="1"/>
  <c r="A19" i="30"/>
  <c r="A18" i="30"/>
  <c r="B17" i="30"/>
  <c r="B12" i="30"/>
  <c r="A14" i="30" s="1"/>
  <c r="B7" i="30"/>
  <c r="A9" i="30" s="1"/>
  <c r="B42" i="29"/>
  <c r="A44" i="29" s="1"/>
  <c r="A39" i="29"/>
  <c r="A38" i="29"/>
  <c r="B37" i="29"/>
  <c r="B32" i="29"/>
  <c r="A34" i="29" s="1"/>
  <c r="B27" i="29"/>
  <c r="A28" i="29" s="1"/>
  <c r="B22" i="29"/>
  <c r="A24" i="29" s="1"/>
  <c r="A19" i="29"/>
  <c r="A18" i="29"/>
  <c r="B17" i="29"/>
  <c r="B12" i="29"/>
  <c r="A14" i="29" s="1"/>
  <c r="B7" i="29"/>
  <c r="A9" i="29" s="1"/>
  <c r="BZ5" i="31"/>
  <c r="BY5" i="31"/>
  <c r="BK5" i="31"/>
  <c r="BJ5" i="31"/>
  <c r="AV5" i="31"/>
  <c r="AU5" i="31"/>
  <c r="M84" i="31" s="1"/>
  <c r="AG5" i="31"/>
  <c r="AF5" i="31"/>
  <c r="R5" i="31"/>
  <c r="Q5" i="31"/>
  <c r="I84" i="31" s="1"/>
  <c r="BZ5" i="30"/>
  <c r="BY5" i="30"/>
  <c r="BK5" i="30"/>
  <c r="BJ5" i="30"/>
  <c r="AV5" i="30"/>
  <c r="I72" i="30" s="1"/>
  <c r="AU5" i="30"/>
  <c r="AG5" i="30"/>
  <c r="AF5" i="30"/>
  <c r="R5" i="30"/>
  <c r="Q5" i="30"/>
  <c r="BZ5" i="29"/>
  <c r="BY5" i="29"/>
  <c r="BK5" i="29"/>
  <c r="BJ5" i="29"/>
  <c r="AV5" i="29"/>
  <c r="AU5" i="29"/>
  <c r="AG5" i="29"/>
  <c r="AF5" i="29"/>
  <c r="R5" i="29"/>
  <c r="Q5" i="29"/>
  <c r="M82" i="29" s="1"/>
  <c r="BX100" i="12"/>
  <c r="BW100" i="12"/>
  <c r="BV100" i="12"/>
  <c r="BU100" i="12"/>
  <c r="BT100" i="12"/>
  <c r="BS100" i="12"/>
  <c r="BR100" i="12"/>
  <c r="BQ100" i="12"/>
  <c r="BP100" i="12"/>
  <c r="BO100" i="12"/>
  <c r="BN100" i="12"/>
  <c r="BM100" i="12"/>
  <c r="BX99" i="12"/>
  <c r="BW99" i="12"/>
  <c r="BV99" i="12"/>
  <c r="BU99" i="12"/>
  <c r="BT99" i="12"/>
  <c r="BS99" i="12"/>
  <c r="BR99" i="12"/>
  <c r="BQ99" i="12"/>
  <c r="BP99" i="12"/>
  <c r="BO99" i="12"/>
  <c r="BN99" i="12"/>
  <c r="BM99" i="12"/>
  <c r="BX98" i="12"/>
  <c r="BW98" i="12"/>
  <c r="BV98" i="12"/>
  <c r="BU98" i="12"/>
  <c r="BT98" i="12"/>
  <c r="BS98" i="12"/>
  <c r="BR98" i="12"/>
  <c r="BQ98" i="12"/>
  <c r="BP98" i="12"/>
  <c r="BO98" i="12"/>
  <c r="BN98" i="12"/>
  <c r="BM98" i="12"/>
  <c r="BX97" i="12"/>
  <c r="BW97" i="12"/>
  <c r="BV97" i="12"/>
  <c r="BU97" i="12"/>
  <c r="BT97" i="12"/>
  <c r="BS97" i="12"/>
  <c r="BR97" i="12"/>
  <c r="BQ97" i="12"/>
  <c r="BP97" i="12"/>
  <c r="BO97" i="12"/>
  <c r="BN97" i="12"/>
  <c r="BM97" i="12"/>
  <c r="BX96" i="12"/>
  <c r="BW96" i="12"/>
  <c r="BV96" i="12"/>
  <c r="BU96" i="12"/>
  <c r="BT96" i="12"/>
  <c r="BS96" i="12"/>
  <c r="BR96" i="12"/>
  <c r="BQ96" i="12"/>
  <c r="BP96" i="12"/>
  <c r="BO96" i="12"/>
  <c r="BN96" i="12"/>
  <c r="BM96" i="12"/>
  <c r="BX95" i="12"/>
  <c r="BW95" i="12"/>
  <c r="BV95" i="12"/>
  <c r="BU95" i="12"/>
  <c r="BT95" i="12"/>
  <c r="BS95" i="12"/>
  <c r="BR95" i="12"/>
  <c r="BQ95" i="12"/>
  <c r="BP95" i="12"/>
  <c r="BO95" i="12"/>
  <c r="BN95" i="12"/>
  <c r="BM95" i="12"/>
  <c r="BX94" i="12"/>
  <c r="BW94" i="12"/>
  <c r="BV94" i="12"/>
  <c r="BU94" i="12"/>
  <c r="BT94" i="12"/>
  <c r="BS94" i="12"/>
  <c r="BR94" i="12"/>
  <c r="BQ94" i="12"/>
  <c r="BP94" i="12"/>
  <c r="BO94" i="12"/>
  <c r="BN94" i="12"/>
  <c r="BM94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X92" i="12"/>
  <c r="BW92" i="12"/>
  <c r="BV92" i="12"/>
  <c r="BU92" i="12"/>
  <c r="BT92" i="12"/>
  <c r="BS92" i="12"/>
  <c r="BR92" i="12"/>
  <c r="BQ92" i="12"/>
  <c r="BP92" i="12"/>
  <c r="BO92" i="12"/>
  <c r="BN92" i="12"/>
  <c r="BM92" i="12"/>
  <c r="BX91" i="12"/>
  <c r="BW91" i="12"/>
  <c r="BV91" i="12"/>
  <c r="BU91" i="12"/>
  <c r="BT91" i="12"/>
  <c r="BS91" i="12"/>
  <c r="BR91" i="12"/>
  <c r="BQ91" i="12"/>
  <c r="BP91" i="12"/>
  <c r="BO91" i="12"/>
  <c r="BN91" i="12"/>
  <c r="BM91" i="12"/>
  <c r="BX90" i="12"/>
  <c r="BW90" i="12"/>
  <c r="BV90" i="12"/>
  <c r="BU90" i="12"/>
  <c r="BT90" i="12"/>
  <c r="BS90" i="12"/>
  <c r="BR90" i="12"/>
  <c r="BQ90" i="12"/>
  <c r="BP90" i="12"/>
  <c r="BO90" i="12"/>
  <c r="BN90" i="12"/>
  <c r="BM90" i="12"/>
  <c r="BX89" i="12"/>
  <c r="BW89" i="12"/>
  <c r="BV89" i="12"/>
  <c r="BU89" i="12"/>
  <c r="BT89" i="12"/>
  <c r="BS89" i="12"/>
  <c r="BR89" i="12"/>
  <c r="BQ89" i="12"/>
  <c r="BP89" i="12"/>
  <c r="BO89" i="12"/>
  <c r="BN89" i="12"/>
  <c r="BM89" i="12"/>
  <c r="BX88" i="12"/>
  <c r="BW88" i="12"/>
  <c r="BV88" i="12"/>
  <c r="BU88" i="12"/>
  <c r="BT88" i="12"/>
  <c r="BS88" i="12"/>
  <c r="BR88" i="12"/>
  <c r="BQ88" i="12"/>
  <c r="BP88" i="12"/>
  <c r="BO88" i="12"/>
  <c r="BN88" i="12"/>
  <c r="BM88" i="12"/>
  <c r="BX87" i="12"/>
  <c r="BW87" i="12"/>
  <c r="BV87" i="12"/>
  <c r="BU87" i="12"/>
  <c r="BT87" i="12"/>
  <c r="BS87" i="12"/>
  <c r="BR87" i="12"/>
  <c r="BQ87" i="12"/>
  <c r="BP87" i="12"/>
  <c r="BO87" i="12"/>
  <c r="BN87" i="12"/>
  <c r="BM87" i="12"/>
  <c r="BX86" i="12"/>
  <c r="BW86" i="12"/>
  <c r="BV86" i="12"/>
  <c r="BU86" i="12"/>
  <c r="BT86" i="12"/>
  <c r="BS86" i="12"/>
  <c r="BR86" i="12"/>
  <c r="BQ86" i="12"/>
  <c r="BP86" i="12"/>
  <c r="BO86" i="12"/>
  <c r="BN86" i="12"/>
  <c r="BM86" i="12"/>
  <c r="BX85" i="12"/>
  <c r="BW85" i="12"/>
  <c r="BV85" i="12"/>
  <c r="BU85" i="12"/>
  <c r="BT85" i="12"/>
  <c r="BS85" i="12"/>
  <c r="BR85" i="12"/>
  <c r="BQ85" i="12"/>
  <c r="BP85" i="12"/>
  <c r="BO85" i="12"/>
  <c r="BN85" i="12"/>
  <c r="BM85" i="12"/>
  <c r="BI100" i="12"/>
  <c r="BH100" i="12"/>
  <c r="BG100" i="12"/>
  <c r="BF100" i="12"/>
  <c r="BE100" i="12"/>
  <c r="BD100" i="12"/>
  <c r="BC100" i="12"/>
  <c r="BB100" i="12"/>
  <c r="BA100" i="12"/>
  <c r="AZ100" i="12"/>
  <c r="AY100" i="12"/>
  <c r="AX100" i="12"/>
  <c r="BI99" i="12"/>
  <c r="BH99" i="12"/>
  <c r="BG99" i="12"/>
  <c r="BF99" i="12"/>
  <c r="BE99" i="12"/>
  <c r="BD99" i="12"/>
  <c r="BC99" i="12"/>
  <c r="BB99" i="12"/>
  <c r="BA99" i="12"/>
  <c r="AZ99" i="12"/>
  <c r="AY99" i="12"/>
  <c r="AX99" i="12"/>
  <c r="BI98" i="12"/>
  <c r="BH98" i="12"/>
  <c r="BG98" i="12"/>
  <c r="BF98" i="12"/>
  <c r="BE98" i="12"/>
  <c r="BD98" i="12"/>
  <c r="BC98" i="12"/>
  <c r="BB98" i="12"/>
  <c r="BA98" i="12"/>
  <c r="AZ98" i="12"/>
  <c r="AY98" i="12"/>
  <c r="AX98" i="12"/>
  <c r="BI97" i="12"/>
  <c r="BH97" i="12"/>
  <c r="BG97" i="12"/>
  <c r="BF97" i="12"/>
  <c r="BE97" i="12"/>
  <c r="BD97" i="12"/>
  <c r="BC97" i="12"/>
  <c r="BB97" i="12"/>
  <c r="BA97" i="12"/>
  <c r="AZ97" i="12"/>
  <c r="AY97" i="12"/>
  <c r="AX97" i="12"/>
  <c r="BI96" i="12"/>
  <c r="BH96" i="12"/>
  <c r="BG96" i="12"/>
  <c r="BF96" i="12"/>
  <c r="BE96" i="12"/>
  <c r="BD96" i="12"/>
  <c r="BC96" i="12"/>
  <c r="BB96" i="12"/>
  <c r="BA96" i="12"/>
  <c r="AZ96" i="12"/>
  <c r="AY96" i="12"/>
  <c r="AX96" i="12"/>
  <c r="BI95" i="12"/>
  <c r="BH95" i="12"/>
  <c r="BG95" i="12"/>
  <c r="BF95" i="12"/>
  <c r="BE95" i="12"/>
  <c r="BD95" i="12"/>
  <c r="BC95" i="12"/>
  <c r="BB95" i="12"/>
  <c r="BA95" i="12"/>
  <c r="AZ95" i="12"/>
  <c r="AY95" i="12"/>
  <c r="AX95" i="12"/>
  <c r="BI94" i="12"/>
  <c r="BH94" i="12"/>
  <c r="BG94" i="12"/>
  <c r="BF94" i="12"/>
  <c r="BE94" i="12"/>
  <c r="BD94" i="12"/>
  <c r="BC94" i="12"/>
  <c r="BB94" i="12"/>
  <c r="BA94" i="12"/>
  <c r="AZ94" i="12"/>
  <c r="AY94" i="12"/>
  <c r="AX94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BI87" i="12"/>
  <c r="BH87" i="12"/>
  <c r="BG87" i="12"/>
  <c r="BF87" i="12"/>
  <c r="BE87" i="12"/>
  <c r="BD87" i="12"/>
  <c r="BC87" i="12"/>
  <c r="BB87" i="12"/>
  <c r="BA87" i="12"/>
  <c r="AZ87" i="12"/>
  <c r="AY87" i="12"/>
  <c r="AX87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BI85" i="12"/>
  <c r="BH85" i="12"/>
  <c r="BG85" i="12"/>
  <c r="BF85" i="12"/>
  <c r="BE85" i="12"/>
  <c r="BD85" i="12"/>
  <c r="BC85" i="12"/>
  <c r="BB85" i="12"/>
  <c r="BA85" i="12"/>
  <c r="AZ85" i="12"/>
  <c r="AY85" i="12"/>
  <c r="AX85" i="12"/>
  <c r="AT100" i="12"/>
  <c r="AS100" i="12"/>
  <c r="AR100" i="12"/>
  <c r="AQ100" i="12"/>
  <c r="AP100" i="12"/>
  <c r="AO100" i="12"/>
  <c r="AN100" i="12"/>
  <c r="AM100" i="12"/>
  <c r="AL100" i="12"/>
  <c r="AK100" i="12"/>
  <c r="AJ100" i="12"/>
  <c r="AI100" i="12"/>
  <c r="AT99" i="12"/>
  <c r="AS99" i="12"/>
  <c r="AR99" i="12"/>
  <c r="AQ99" i="12"/>
  <c r="AP99" i="12"/>
  <c r="AO99" i="12"/>
  <c r="AN99" i="12"/>
  <c r="AM99" i="12"/>
  <c r="AL99" i="12"/>
  <c r="AK99" i="12"/>
  <c r="AJ99" i="12"/>
  <c r="AI99" i="12"/>
  <c r="AT98" i="12"/>
  <c r="AS98" i="12"/>
  <c r="AR98" i="12"/>
  <c r="AQ98" i="12"/>
  <c r="AP98" i="12"/>
  <c r="AO98" i="12"/>
  <c r="AN98" i="12"/>
  <c r="AM98" i="12"/>
  <c r="AL98" i="12"/>
  <c r="AK98" i="12"/>
  <c r="AJ98" i="12"/>
  <c r="AI98" i="12"/>
  <c r="AT97" i="12"/>
  <c r="AS97" i="12"/>
  <c r="AR97" i="12"/>
  <c r="AQ97" i="12"/>
  <c r="AP97" i="12"/>
  <c r="AO97" i="12"/>
  <c r="AN97" i="12"/>
  <c r="AM97" i="12"/>
  <c r="AL97" i="12"/>
  <c r="AK97" i="12"/>
  <c r="AJ97" i="12"/>
  <c r="AI97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T95" i="12"/>
  <c r="AS95" i="12"/>
  <c r="AR95" i="12"/>
  <c r="AQ95" i="12"/>
  <c r="AP95" i="12"/>
  <c r="AO95" i="12"/>
  <c r="AN95" i="12"/>
  <c r="AM95" i="12"/>
  <c r="AL95" i="12"/>
  <c r="AK95" i="12"/>
  <c r="AJ95" i="12"/>
  <c r="AI95" i="12"/>
  <c r="AT94" i="12"/>
  <c r="AS94" i="12"/>
  <c r="AR94" i="12"/>
  <c r="AQ94" i="12"/>
  <c r="AP94" i="12"/>
  <c r="AO94" i="12"/>
  <c r="AN94" i="12"/>
  <c r="AM94" i="12"/>
  <c r="AL94" i="12"/>
  <c r="AK94" i="12"/>
  <c r="AJ94" i="12"/>
  <c r="AI94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AT91" i="12"/>
  <c r="AS91" i="12"/>
  <c r="AR91" i="12"/>
  <c r="AQ91" i="12"/>
  <c r="AP91" i="12"/>
  <c r="AO91" i="12"/>
  <c r="AN91" i="12"/>
  <c r="AM91" i="12"/>
  <c r="AL91" i="12"/>
  <c r="AK91" i="12"/>
  <c r="AJ91" i="12"/>
  <c r="AI91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T87" i="12"/>
  <c r="AS87" i="12"/>
  <c r="AR87" i="12"/>
  <c r="AQ87" i="12"/>
  <c r="AP87" i="12"/>
  <c r="AO87" i="12"/>
  <c r="AN87" i="12"/>
  <c r="AM87" i="12"/>
  <c r="AL87" i="12"/>
  <c r="AK87" i="12"/>
  <c r="AJ87" i="12"/>
  <c r="AI87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T85" i="12"/>
  <c r="AS85" i="12"/>
  <c r="AR85" i="12"/>
  <c r="AQ85" i="12"/>
  <c r="AP85" i="12"/>
  <c r="AO85" i="12"/>
  <c r="AN85" i="12"/>
  <c r="AM85" i="12"/>
  <c r="AL85" i="12"/>
  <c r="AK85" i="12"/>
  <c r="AJ85" i="12"/>
  <c r="AI85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P99" i="12"/>
  <c r="O99" i="12"/>
  <c r="N99" i="12"/>
  <c r="M99" i="12"/>
  <c r="L99" i="12"/>
  <c r="K99" i="12"/>
  <c r="J99" i="12"/>
  <c r="I99" i="12"/>
  <c r="H99" i="12"/>
  <c r="G99" i="12"/>
  <c r="F99" i="12"/>
  <c r="P98" i="12"/>
  <c r="O98" i="12"/>
  <c r="N98" i="12"/>
  <c r="M98" i="12"/>
  <c r="L98" i="12"/>
  <c r="K98" i="12"/>
  <c r="J98" i="12"/>
  <c r="I98" i="12"/>
  <c r="H98" i="12"/>
  <c r="G98" i="12"/>
  <c r="F98" i="12"/>
  <c r="P97" i="12"/>
  <c r="O97" i="12"/>
  <c r="N97" i="12"/>
  <c r="M97" i="12"/>
  <c r="L97" i="12"/>
  <c r="K97" i="12"/>
  <c r="J97" i="12"/>
  <c r="I97" i="12"/>
  <c r="H97" i="12"/>
  <c r="G97" i="12"/>
  <c r="F97" i="12"/>
  <c r="P96" i="12"/>
  <c r="O96" i="12"/>
  <c r="N96" i="12"/>
  <c r="M96" i="12"/>
  <c r="L96" i="12"/>
  <c r="K96" i="12"/>
  <c r="J96" i="12"/>
  <c r="I96" i="12"/>
  <c r="H96" i="12"/>
  <c r="G96" i="12"/>
  <c r="F96" i="12"/>
  <c r="P95" i="12"/>
  <c r="O95" i="12"/>
  <c r="N95" i="12"/>
  <c r="M95" i="12"/>
  <c r="L95" i="12"/>
  <c r="K95" i="12"/>
  <c r="J95" i="12"/>
  <c r="I95" i="12"/>
  <c r="H95" i="12"/>
  <c r="G95" i="12"/>
  <c r="F95" i="12"/>
  <c r="P94" i="12"/>
  <c r="O94" i="12"/>
  <c r="N94" i="12"/>
  <c r="M94" i="12"/>
  <c r="L94" i="12"/>
  <c r="K94" i="12"/>
  <c r="J94" i="12"/>
  <c r="I94" i="12"/>
  <c r="H94" i="12"/>
  <c r="G94" i="12"/>
  <c r="F94" i="12"/>
  <c r="P93" i="12"/>
  <c r="O93" i="12"/>
  <c r="N93" i="12"/>
  <c r="M93" i="12"/>
  <c r="L93" i="12"/>
  <c r="K93" i="12"/>
  <c r="J93" i="12"/>
  <c r="I93" i="12"/>
  <c r="H93" i="12"/>
  <c r="G93" i="12"/>
  <c r="F93" i="12"/>
  <c r="P92" i="12"/>
  <c r="O92" i="12"/>
  <c r="N92" i="12"/>
  <c r="M92" i="12"/>
  <c r="L92" i="12"/>
  <c r="K92" i="12"/>
  <c r="J92" i="12"/>
  <c r="I92" i="12"/>
  <c r="H92" i="12"/>
  <c r="G92" i="12"/>
  <c r="F92" i="12"/>
  <c r="P91" i="12"/>
  <c r="O91" i="12"/>
  <c r="N91" i="12"/>
  <c r="M91" i="12"/>
  <c r="L91" i="12"/>
  <c r="K91" i="12"/>
  <c r="J91" i="12"/>
  <c r="I91" i="12"/>
  <c r="H91" i="12"/>
  <c r="G91" i="12"/>
  <c r="F91" i="12"/>
  <c r="P90" i="12"/>
  <c r="O90" i="12"/>
  <c r="N90" i="12"/>
  <c r="M90" i="12"/>
  <c r="L90" i="12"/>
  <c r="K90" i="12"/>
  <c r="J90" i="12"/>
  <c r="Q19" i="12" s="1"/>
  <c r="D74" i="12" s="1"/>
  <c r="I90" i="12"/>
  <c r="H90" i="12"/>
  <c r="G90" i="12"/>
  <c r="F90" i="12"/>
  <c r="P89" i="12"/>
  <c r="O89" i="12"/>
  <c r="N89" i="12"/>
  <c r="M89" i="12"/>
  <c r="L89" i="12"/>
  <c r="K89" i="12"/>
  <c r="J89" i="12"/>
  <c r="I89" i="12"/>
  <c r="H89" i="12"/>
  <c r="G89" i="12"/>
  <c r="F89" i="12"/>
  <c r="E98" i="12"/>
  <c r="Q38" i="12" s="1"/>
  <c r="D81" i="12" s="1"/>
  <c r="E96" i="12"/>
  <c r="Q34" i="12" s="1"/>
  <c r="D80" i="12" s="1"/>
  <c r="E94" i="12"/>
  <c r="Q28" i="12" s="1"/>
  <c r="D77" i="12" s="1"/>
  <c r="E92" i="12"/>
  <c r="Q24" i="12" s="1"/>
  <c r="D76" i="12" s="1"/>
  <c r="E90" i="12"/>
  <c r="E99" i="12"/>
  <c r="E97" i="12"/>
  <c r="E95" i="12"/>
  <c r="E93" i="12"/>
  <c r="E91" i="12"/>
  <c r="E89" i="12"/>
  <c r="P88" i="12"/>
  <c r="O88" i="12"/>
  <c r="N88" i="12"/>
  <c r="M88" i="12"/>
  <c r="L88" i="12"/>
  <c r="K88" i="12"/>
  <c r="J88" i="12"/>
  <c r="I88" i="12"/>
  <c r="H88" i="12"/>
  <c r="G88" i="12"/>
  <c r="Q14" i="12" s="1"/>
  <c r="D72" i="12" s="1"/>
  <c r="F88" i="12"/>
  <c r="E88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B42" i="12"/>
  <c r="A44" i="12" s="1"/>
  <c r="B37" i="12"/>
  <c r="A39" i="12" s="1"/>
  <c r="B32" i="12"/>
  <c r="B27" i="12"/>
  <c r="A28" i="12" s="1"/>
  <c r="B22" i="12"/>
  <c r="A23" i="12" s="1"/>
  <c r="B17" i="12"/>
  <c r="A18" i="12" s="1"/>
  <c r="B12" i="12"/>
  <c r="A13" i="12" s="1"/>
  <c r="B7" i="12"/>
  <c r="A8" i="12" s="1"/>
  <c r="D67" i="12"/>
  <c r="F67" i="12"/>
  <c r="H67" i="12"/>
  <c r="J67" i="12"/>
  <c r="L67" i="12"/>
  <c r="A29" i="12"/>
  <c r="A33" i="12"/>
  <c r="A34" i="12"/>
  <c r="BZ5" i="12"/>
  <c r="BY5" i="12"/>
  <c r="BK5" i="12"/>
  <c r="BJ5" i="12"/>
  <c r="AV5" i="12"/>
  <c r="AU5" i="12"/>
  <c r="I83" i="12" s="1"/>
  <c r="AG5" i="12"/>
  <c r="AF5" i="12"/>
  <c r="G83" i="12" s="1"/>
  <c r="R5" i="12"/>
  <c r="Q5" i="12"/>
  <c r="X32" i="23"/>
  <c r="U32" i="23"/>
  <c r="R32" i="23"/>
  <c r="O32" i="23"/>
  <c r="L32" i="23"/>
  <c r="I32" i="23"/>
  <c r="F32" i="23"/>
  <c r="C32" i="23"/>
  <c r="X21" i="23"/>
  <c r="U21" i="23"/>
  <c r="R21" i="23"/>
  <c r="O21" i="23"/>
  <c r="L21" i="23"/>
  <c r="I21" i="23"/>
  <c r="F21" i="23"/>
  <c r="C21" i="23"/>
  <c r="X43" i="23"/>
  <c r="U43" i="23"/>
  <c r="R43" i="23"/>
  <c r="O43" i="23"/>
  <c r="L43" i="23"/>
  <c r="I43" i="23"/>
  <c r="F43" i="23"/>
  <c r="C43" i="23"/>
  <c r="X10" i="23"/>
  <c r="U10" i="23"/>
  <c r="R10" i="23"/>
  <c r="O10" i="23"/>
  <c r="L10" i="23"/>
  <c r="I10" i="23"/>
  <c r="F10" i="23"/>
  <c r="C10" i="23"/>
  <c r="P85" i="12"/>
  <c r="O85" i="12"/>
  <c r="N85" i="12"/>
  <c r="M85" i="12"/>
  <c r="L85" i="12"/>
  <c r="K85" i="12"/>
  <c r="J85" i="12"/>
  <c r="I85" i="12"/>
  <c r="H85" i="12"/>
  <c r="G85" i="12"/>
  <c r="F85" i="12"/>
  <c r="E85" i="12"/>
  <c r="G9" i="38"/>
  <c r="G8" i="38"/>
  <c r="A7" i="38" s="1"/>
  <c r="F10" i="38" s="1"/>
  <c r="AF10" i="7"/>
  <c r="AF9" i="7"/>
  <c r="AF8" i="7"/>
  <c r="AF7" i="7"/>
  <c r="AF6" i="7"/>
  <c r="AF5" i="7"/>
  <c r="AF4" i="7"/>
  <c r="AF3" i="7"/>
  <c r="AF2" i="7"/>
  <c r="AD10" i="7"/>
  <c r="AD9" i="7"/>
  <c r="AD8" i="7"/>
  <c r="AD7" i="7"/>
  <c r="AD6" i="7"/>
  <c r="AD5" i="7"/>
  <c r="AD4" i="7"/>
  <c r="AD3" i="7"/>
  <c r="AD2" i="7"/>
  <c r="AB10" i="7"/>
  <c r="AB9" i="7"/>
  <c r="AB8" i="7"/>
  <c r="AB7" i="7"/>
  <c r="AB6" i="7"/>
  <c r="AB5" i="7"/>
  <c r="AB4" i="7"/>
  <c r="AB3" i="7"/>
  <c r="AB2" i="7"/>
  <c r="A19" i="21"/>
  <c r="A18" i="21"/>
  <c r="A17" i="21"/>
  <c r="A16" i="21"/>
  <c r="Q9" i="29" l="1"/>
  <c r="D70" i="29" s="1"/>
  <c r="Q8" i="29"/>
  <c r="Q9" i="12"/>
  <c r="D70" i="12" s="1"/>
  <c r="S45" i="23"/>
  <c r="M44" i="23"/>
  <c r="J45" i="23"/>
  <c r="G44" i="23"/>
  <c r="Y34" i="23"/>
  <c r="V34" i="23"/>
  <c r="S34" i="23"/>
  <c r="P34" i="23"/>
  <c r="P33" i="23"/>
  <c r="M33" i="23"/>
  <c r="D34" i="23"/>
  <c r="D33" i="23"/>
  <c r="C36" i="23" s="1"/>
  <c r="AU10" i="31"/>
  <c r="BY45" i="31"/>
  <c r="K83" i="31"/>
  <c r="K84" i="31"/>
  <c r="K71" i="31"/>
  <c r="K77" i="31"/>
  <c r="AF40" i="31"/>
  <c r="E79" i="31"/>
  <c r="R35" i="31"/>
  <c r="M83" i="31"/>
  <c r="I81" i="31"/>
  <c r="K76" i="31"/>
  <c r="J71" i="31"/>
  <c r="I77" i="31"/>
  <c r="L71" i="31"/>
  <c r="M77" i="31"/>
  <c r="AU8" i="31"/>
  <c r="BJ8" i="31"/>
  <c r="J69" i="31" s="1"/>
  <c r="BJ9" i="31"/>
  <c r="BY8" i="31"/>
  <c r="L69" i="31" s="1"/>
  <c r="BY9" i="31"/>
  <c r="BY10" i="31" s="1"/>
  <c r="AF13" i="31"/>
  <c r="F71" i="31" s="1"/>
  <c r="AF14" i="31"/>
  <c r="AU13" i="31"/>
  <c r="AU14" i="31"/>
  <c r="AU15" i="31" s="1"/>
  <c r="BJ14" i="31"/>
  <c r="BJ15" i="31" s="1"/>
  <c r="AF18" i="31"/>
  <c r="AF20" i="31" s="1"/>
  <c r="AU19" i="31"/>
  <c r="AU20" i="31" s="1"/>
  <c r="AU18" i="31"/>
  <c r="BJ18" i="31"/>
  <c r="BJ19" i="31"/>
  <c r="BJ20" i="31" s="1"/>
  <c r="BY18" i="31"/>
  <c r="BY19" i="31"/>
  <c r="BY20" i="31" s="1"/>
  <c r="AF23" i="31"/>
  <c r="AF24" i="31"/>
  <c r="AU23" i="31"/>
  <c r="AU24" i="31"/>
  <c r="AU25" i="31" s="1"/>
  <c r="BJ24" i="31"/>
  <c r="BJ25" i="31" s="1"/>
  <c r="BY23" i="31"/>
  <c r="AF28" i="31"/>
  <c r="AU28" i="31"/>
  <c r="AU29" i="31"/>
  <c r="AU30" i="31" s="1"/>
  <c r="BJ28" i="31"/>
  <c r="BJ29" i="31"/>
  <c r="BJ30" i="31" s="1"/>
  <c r="BY28" i="31"/>
  <c r="BY29" i="31"/>
  <c r="BY30" i="31" s="1"/>
  <c r="AF33" i="31"/>
  <c r="AF34" i="31"/>
  <c r="AF35" i="31" s="1"/>
  <c r="AU33" i="31"/>
  <c r="AU34" i="31"/>
  <c r="AU35" i="31" s="1"/>
  <c r="BJ34" i="31"/>
  <c r="BJ35" i="31" s="1"/>
  <c r="BY33" i="31"/>
  <c r="AF38" i="31"/>
  <c r="AU38" i="31"/>
  <c r="AU39" i="31"/>
  <c r="AU40" i="31" s="1"/>
  <c r="BJ38" i="31"/>
  <c r="BJ39" i="31"/>
  <c r="BJ40" i="31" s="1"/>
  <c r="BY38" i="31"/>
  <c r="BY39" i="31"/>
  <c r="AF43" i="31"/>
  <c r="AF44" i="31"/>
  <c r="AF45" i="31" s="1"/>
  <c r="AU43" i="31"/>
  <c r="AU44" i="31"/>
  <c r="BJ44" i="31"/>
  <c r="BJ45" i="31" s="1"/>
  <c r="BY43" i="31"/>
  <c r="BY24" i="31"/>
  <c r="BY25" i="31" s="1"/>
  <c r="AF29" i="31"/>
  <c r="AF30" i="31" s="1"/>
  <c r="AG20" i="31"/>
  <c r="G74" i="31"/>
  <c r="BY35" i="31"/>
  <c r="L72" i="31"/>
  <c r="H69" i="31"/>
  <c r="M72" i="31"/>
  <c r="AF10" i="31"/>
  <c r="M79" i="31"/>
  <c r="M69" i="31"/>
  <c r="E73" i="31"/>
  <c r="BJ23" i="31"/>
  <c r="K70" i="31"/>
  <c r="G73" i="31"/>
  <c r="E78" i="31"/>
  <c r="M82" i="31"/>
  <c r="D72" i="31"/>
  <c r="M75" i="31"/>
  <c r="G78" i="31"/>
  <c r="K80" i="31"/>
  <c r="K69" i="31"/>
  <c r="M70" i="31"/>
  <c r="E72" i="31"/>
  <c r="K73" i="31"/>
  <c r="E76" i="31"/>
  <c r="I78" i="31"/>
  <c r="M80" i="31"/>
  <c r="G83" i="31"/>
  <c r="I69" i="31"/>
  <c r="M71" i="31"/>
  <c r="K75" i="31"/>
  <c r="I80" i="31"/>
  <c r="I73" i="31"/>
  <c r="E83" i="31"/>
  <c r="D71" i="31"/>
  <c r="F72" i="31"/>
  <c r="M73" i="31"/>
  <c r="G76" i="31"/>
  <c r="K78" i="31"/>
  <c r="E81" i="31"/>
  <c r="I83" i="31"/>
  <c r="E70" i="31"/>
  <c r="G71" i="31"/>
  <c r="I72" i="31"/>
  <c r="I74" i="31"/>
  <c r="M76" i="31"/>
  <c r="G79" i="31"/>
  <c r="K81" i="31"/>
  <c r="E84" i="31"/>
  <c r="D69" i="31"/>
  <c r="F70" i="31"/>
  <c r="H71" i="31"/>
  <c r="J72" i="31"/>
  <c r="K74" i="31"/>
  <c r="E77" i="31"/>
  <c r="I79" i="31"/>
  <c r="M81" i="31"/>
  <c r="G84" i="31"/>
  <c r="E69" i="31"/>
  <c r="G70" i="31"/>
  <c r="I71" i="31"/>
  <c r="K72" i="31"/>
  <c r="M74" i="31"/>
  <c r="G77" i="31"/>
  <c r="K79" i="31"/>
  <c r="E82" i="31"/>
  <c r="H70" i="30"/>
  <c r="AU10" i="30"/>
  <c r="AF20" i="30"/>
  <c r="BY25" i="30"/>
  <c r="BJ40" i="30"/>
  <c r="BJ8" i="30"/>
  <c r="BJ10" i="30" s="1"/>
  <c r="AF14" i="30"/>
  <c r="AU13" i="30"/>
  <c r="H71" i="30" s="1"/>
  <c r="BY18" i="30"/>
  <c r="AU23" i="30"/>
  <c r="BY29" i="30"/>
  <c r="AU33" i="30"/>
  <c r="BJ38" i="30"/>
  <c r="AF44" i="30"/>
  <c r="AF45" i="30" s="1"/>
  <c r="AU43" i="30"/>
  <c r="BY8" i="30"/>
  <c r="BJ14" i="30"/>
  <c r="BJ15" i="30" s="1"/>
  <c r="AF23" i="30"/>
  <c r="BJ24" i="30"/>
  <c r="BJ25" i="30" s="1"/>
  <c r="BJ28" i="30"/>
  <c r="BJ30" i="30" s="1"/>
  <c r="AF34" i="30"/>
  <c r="AF35" i="30" s="1"/>
  <c r="BJ34" i="30"/>
  <c r="BJ35" i="30" s="1"/>
  <c r="BY38" i="30"/>
  <c r="BJ44" i="30"/>
  <c r="BJ45" i="30" s="1"/>
  <c r="I80" i="30"/>
  <c r="M71" i="30"/>
  <c r="K70" i="30"/>
  <c r="K82" i="30"/>
  <c r="M77" i="30"/>
  <c r="J70" i="30"/>
  <c r="M82" i="30"/>
  <c r="K75" i="30"/>
  <c r="I69" i="30"/>
  <c r="I75" i="30"/>
  <c r="L71" i="30"/>
  <c r="I71" i="30"/>
  <c r="J71" i="30"/>
  <c r="M76" i="30"/>
  <c r="K81" i="30"/>
  <c r="AU19" i="30"/>
  <c r="AU20" i="30" s="1"/>
  <c r="AF39" i="30"/>
  <c r="AF40" i="30" s="1"/>
  <c r="K71" i="30"/>
  <c r="M81" i="30"/>
  <c r="R20" i="30"/>
  <c r="E73" i="30"/>
  <c r="AG40" i="30"/>
  <c r="AU39" i="30"/>
  <c r="AU40" i="30" s="1"/>
  <c r="BY44" i="30"/>
  <c r="BY45" i="30" s="1"/>
  <c r="I77" i="30"/>
  <c r="G82" i="30"/>
  <c r="AF9" i="30"/>
  <c r="BJ18" i="30"/>
  <c r="BJ20" i="30" s="1"/>
  <c r="K72" i="30"/>
  <c r="K77" i="30"/>
  <c r="I82" i="30"/>
  <c r="L72" i="30"/>
  <c r="M83" i="30"/>
  <c r="G70" i="30"/>
  <c r="M72" i="30"/>
  <c r="BZ15" i="30"/>
  <c r="AG30" i="30"/>
  <c r="I74" i="30"/>
  <c r="I79" i="30"/>
  <c r="I84" i="30"/>
  <c r="I70" i="30"/>
  <c r="K74" i="30"/>
  <c r="K79" i="30"/>
  <c r="K84" i="30"/>
  <c r="BZ35" i="30"/>
  <c r="BY9" i="30"/>
  <c r="BY19" i="30"/>
  <c r="I73" i="30"/>
  <c r="G78" i="30"/>
  <c r="K80" i="30"/>
  <c r="M70" i="30"/>
  <c r="K73" i="30"/>
  <c r="E76" i="30"/>
  <c r="M80" i="30"/>
  <c r="AF13" i="30"/>
  <c r="F71" i="30" s="1"/>
  <c r="AU24" i="30"/>
  <c r="AU25" i="30" s="1"/>
  <c r="BY28" i="30"/>
  <c r="AF33" i="30"/>
  <c r="AF43" i="30"/>
  <c r="G76" i="30"/>
  <c r="E81" i="30"/>
  <c r="I76" i="30"/>
  <c r="AF24" i="30"/>
  <c r="AF25" i="30" s="1"/>
  <c r="BY39" i="30"/>
  <c r="BY40" i="30" s="1"/>
  <c r="L70" i="30"/>
  <c r="D72" i="30"/>
  <c r="M75" i="30"/>
  <c r="E83" i="30"/>
  <c r="K69" i="30"/>
  <c r="E72" i="30"/>
  <c r="I78" i="30"/>
  <c r="G83" i="30"/>
  <c r="AU14" i="30"/>
  <c r="AU34" i="30"/>
  <c r="AU35" i="30" s="1"/>
  <c r="AU44" i="30"/>
  <c r="AU45" i="30" s="1"/>
  <c r="L69" i="30"/>
  <c r="D71" i="30"/>
  <c r="N71" i="30" s="1"/>
  <c r="M73" i="30"/>
  <c r="K78" i="30"/>
  <c r="I83" i="30"/>
  <c r="M69" i="30"/>
  <c r="E71" i="30"/>
  <c r="G72" i="30"/>
  <c r="E74" i="30"/>
  <c r="M78" i="30"/>
  <c r="G81" i="30"/>
  <c r="K83" i="30"/>
  <c r="D70" i="30"/>
  <c r="H72" i="30"/>
  <c r="G74" i="30"/>
  <c r="K76" i="30"/>
  <c r="E79" i="30"/>
  <c r="I81" i="30"/>
  <c r="K82" i="29"/>
  <c r="G80" i="29"/>
  <c r="M77" i="29"/>
  <c r="I75" i="29"/>
  <c r="E73" i="29"/>
  <c r="L71" i="29"/>
  <c r="J70" i="29"/>
  <c r="H69" i="29"/>
  <c r="M84" i="29"/>
  <c r="I82" i="29"/>
  <c r="E80" i="29"/>
  <c r="K77" i="29"/>
  <c r="G75" i="29"/>
  <c r="M72" i="29"/>
  <c r="K71" i="29"/>
  <c r="I70" i="29"/>
  <c r="G69" i="29"/>
  <c r="K84" i="29"/>
  <c r="G82" i="29"/>
  <c r="M79" i="29"/>
  <c r="I77" i="29"/>
  <c r="E75" i="29"/>
  <c r="J71" i="29"/>
  <c r="E84" i="29"/>
  <c r="M80" i="29"/>
  <c r="M76" i="29"/>
  <c r="K73" i="29"/>
  <c r="G71" i="29"/>
  <c r="K69" i="29"/>
  <c r="K83" i="29"/>
  <c r="K72" i="29"/>
  <c r="I83" i="29"/>
  <c r="E69" i="29"/>
  <c r="G83" i="29"/>
  <c r="E79" i="29"/>
  <c r="H72" i="29"/>
  <c r="M78" i="29"/>
  <c r="G70" i="29"/>
  <c r="K78" i="29"/>
  <c r="F70" i="29"/>
  <c r="K81" i="29"/>
  <c r="I74" i="29"/>
  <c r="E72" i="29"/>
  <c r="I81" i="29"/>
  <c r="I84" i="29"/>
  <c r="E74" i="29"/>
  <c r="M83" i="29"/>
  <c r="K80" i="29"/>
  <c r="K76" i="29"/>
  <c r="I73" i="29"/>
  <c r="F71" i="29"/>
  <c r="J69" i="29"/>
  <c r="K79" i="29"/>
  <c r="I76" i="29"/>
  <c r="E71" i="29"/>
  <c r="F69" i="29"/>
  <c r="I79" i="29"/>
  <c r="G76" i="29"/>
  <c r="J72" i="29"/>
  <c r="G79" i="29"/>
  <c r="E76" i="29"/>
  <c r="I72" i="29"/>
  <c r="M70" i="29"/>
  <c r="E83" i="29"/>
  <c r="M75" i="29"/>
  <c r="L70" i="29"/>
  <c r="E82" i="29"/>
  <c r="M74" i="29"/>
  <c r="G72" i="29"/>
  <c r="M81" i="29"/>
  <c r="K74" i="29"/>
  <c r="F72" i="29"/>
  <c r="I78" i="29"/>
  <c r="E70" i="29"/>
  <c r="G78" i="29"/>
  <c r="G74" i="29"/>
  <c r="G81" i="29"/>
  <c r="G77" i="29"/>
  <c r="E77" i="29"/>
  <c r="E81" i="29"/>
  <c r="G84" i="29"/>
  <c r="BJ40" i="29"/>
  <c r="AU30" i="29"/>
  <c r="M69" i="29"/>
  <c r="L69" i="29"/>
  <c r="AF30" i="29"/>
  <c r="D72" i="29"/>
  <c r="BJ15" i="29"/>
  <c r="AF20" i="29"/>
  <c r="AF10" i="29"/>
  <c r="AU19" i="29"/>
  <c r="AU20" i="29" s="1"/>
  <c r="BY44" i="29"/>
  <c r="BY45" i="29" s="1"/>
  <c r="AU9" i="29"/>
  <c r="AU10" i="29" s="1"/>
  <c r="BJ29" i="29"/>
  <c r="BJ30" i="29" s="1"/>
  <c r="BY34" i="29"/>
  <c r="BY35" i="29" s="1"/>
  <c r="BJ19" i="29"/>
  <c r="BJ20" i="29" s="1"/>
  <c r="BY24" i="29"/>
  <c r="BY25" i="29" s="1"/>
  <c r="BJ9" i="29"/>
  <c r="BJ10" i="29" s="1"/>
  <c r="BJ38" i="29"/>
  <c r="BZ15" i="29"/>
  <c r="BJ25" i="29"/>
  <c r="BJ35" i="29"/>
  <c r="BJ45" i="29"/>
  <c r="BY39" i="29"/>
  <c r="BY40" i="29" s="1"/>
  <c r="BY14" i="29"/>
  <c r="BY15" i="29" s="1"/>
  <c r="BY29" i="29"/>
  <c r="BY30" i="29" s="1"/>
  <c r="BY19" i="29"/>
  <c r="BY20" i="29" s="1"/>
  <c r="BY9" i="29"/>
  <c r="BY10" i="29" s="1"/>
  <c r="I69" i="29"/>
  <c r="K70" i="29"/>
  <c r="M71" i="29"/>
  <c r="G73" i="29"/>
  <c r="K75" i="29"/>
  <c r="E78" i="29"/>
  <c r="I80" i="29"/>
  <c r="I77" i="12"/>
  <c r="I80" i="12"/>
  <c r="M71" i="12"/>
  <c r="I74" i="12"/>
  <c r="I70" i="12"/>
  <c r="I75" i="12"/>
  <c r="I78" i="12"/>
  <c r="I84" i="12"/>
  <c r="K70" i="12"/>
  <c r="K72" i="12"/>
  <c r="K75" i="12"/>
  <c r="K78" i="12"/>
  <c r="K81" i="12"/>
  <c r="K84" i="12"/>
  <c r="I72" i="12"/>
  <c r="I81" i="12"/>
  <c r="M70" i="12"/>
  <c r="M72" i="12"/>
  <c r="M75" i="12"/>
  <c r="M78" i="12"/>
  <c r="M81" i="12"/>
  <c r="M84" i="12"/>
  <c r="K74" i="12"/>
  <c r="K77" i="12"/>
  <c r="K80" i="12"/>
  <c r="K83" i="12"/>
  <c r="M74" i="12"/>
  <c r="M77" i="12"/>
  <c r="M80" i="12"/>
  <c r="M83" i="12"/>
  <c r="G70" i="12"/>
  <c r="G72" i="12"/>
  <c r="G75" i="12"/>
  <c r="G78" i="12"/>
  <c r="G81" i="12"/>
  <c r="G84" i="12"/>
  <c r="G73" i="12"/>
  <c r="G76" i="12"/>
  <c r="G79" i="12"/>
  <c r="G82" i="12"/>
  <c r="I73" i="12"/>
  <c r="I76" i="12"/>
  <c r="I79" i="12"/>
  <c r="I82" i="12"/>
  <c r="G71" i="12"/>
  <c r="K73" i="12"/>
  <c r="K76" i="12"/>
  <c r="K79" i="12"/>
  <c r="K82" i="12"/>
  <c r="I71" i="12"/>
  <c r="M73" i="12"/>
  <c r="M76" i="12"/>
  <c r="M79" i="12"/>
  <c r="M82" i="12"/>
  <c r="K71" i="12"/>
  <c r="G74" i="12"/>
  <c r="G77" i="12"/>
  <c r="G80" i="12"/>
  <c r="A8" i="31"/>
  <c r="A28" i="31"/>
  <c r="A13" i="31"/>
  <c r="A33" i="31"/>
  <c r="A18" i="31"/>
  <c r="A38" i="31"/>
  <c r="A23" i="31"/>
  <c r="A43" i="31"/>
  <c r="A8" i="30"/>
  <c r="A29" i="30"/>
  <c r="A13" i="30"/>
  <c r="A33" i="30"/>
  <c r="A23" i="30"/>
  <c r="A43" i="30"/>
  <c r="A8" i="29"/>
  <c r="A29" i="29"/>
  <c r="A13" i="29"/>
  <c r="A33" i="29"/>
  <c r="A23" i="29"/>
  <c r="A43" i="29"/>
  <c r="Q44" i="12"/>
  <c r="D84" i="12" s="1"/>
  <c r="Q29" i="12"/>
  <c r="D78" i="12" s="1"/>
  <c r="Q23" i="12"/>
  <c r="D75" i="12" s="1"/>
  <c r="Q43" i="12"/>
  <c r="D83" i="12" s="1"/>
  <c r="Q13" i="12"/>
  <c r="D71" i="12" s="1"/>
  <c r="Q18" i="12"/>
  <c r="D73" i="12" s="1"/>
  <c r="Q33" i="12"/>
  <c r="D79" i="12" s="1"/>
  <c r="Q8" i="12"/>
  <c r="D69" i="12" s="1"/>
  <c r="Q39" i="12"/>
  <c r="D82" i="12" s="1"/>
  <c r="A38" i="12"/>
  <c r="A19" i="12"/>
  <c r="A14" i="12"/>
  <c r="A9" i="12"/>
  <c r="A43" i="12"/>
  <c r="A24" i="12"/>
  <c r="AE10" i="7"/>
  <c r="AE3" i="7"/>
  <c r="AE2" i="7"/>
  <c r="AE8" i="7"/>
  <c r="AE9" i="7"/>
  <c r="AE5" i="7"/>
  <c r="AE6" i="7"/>
  <c r="AE4" i="7"/>
  <c r="AE7" i="7"/>
  <c r="O75" i="31" l="1"/>
  <c r="O80" i="31"/>
  <c r="O71" i="31"/>
  <c r="N71" i="31"/>
  <c r="O74" i="31"/>
  <c r="O36" i="23"/>
  <c r="N69" i="31"/>
  <c r="O77" i="30"/>
  <c r="O82" i="30"/>
  <c r="O80" i="30"/>
  <c r="O75" i="30"/>
  <c r="O70" i="30"/>
  <c r="O69" i="30"/>
  <c r="O84" i="30"/>
  <c r="O78" i="30"/>
  <c r="Q10" i="29"/>
  <c r="D69" i="29"/>
  <c r="N69" i="29" s="1"/>
  <c r="N71" i="29"/>
  <c r="S44" i="23"/>
  <c r="R47" i="23" s="1"/>
  <c r="O79" i="31"/>
  <c r="J44" i="23"/>
  <c r="I47" i="23" s="1"/>
  <c r="O73" i="31"/>
  <c r="P45" i="23"/>
  <c r="O78" i="31"/>
  <c r="G45" i="23"/>
  <c r="F47" i="23" s="1"/>
  <c r="O72" i="31"/>
  <c r="M45" i="23"/>
  <c r="L47" i="23" s="1"/>
  <c r="O76" i="31"/>
  <c r="Y44" i="23"/>
  <c r="O83" i="31"/>
  <c r="V44" i="23"/>
  <c r="O81" i="31"/>
  <c r="D45" i="23"/>
  <c r="O70" i="31"/>
  <c r="O84" i="31"/>
  <c r="Y45" i="23"/>
  <c r="P44" i="23"/>
  <c r="O77" i="31"/>
  <c r="O69" i="31"/>
  <c r="D44" i="23"/>
  <c r="V45" i="23"/>
  <c r="O82" i="31"/>
  <c r="O73" i="30"/>
  <c r="J33" i="23"/>
  <c r="O76" i="30"/>
  <c r="M34" i="23"/>
  <c r="L36" i="23" s="1"/>
  <c r="O81" i="30"/>
  <c r="V33" i="23"/>
  <c r="U36" i="23" s="1"/>
  <c r="O83" i="30"/>
  <c r="Y33" i="23"/>
  <c r="X36" i="23" s="1"/>
  <c r="O72" i="30"/>
  <c r="G34" i="23"/>
  <c r="O71" i="30"/>
  <c r="P71" i="30" s="1"/>
  <c r="G33" i="23"/>
  <c r="O74" i="30"/>
  <c r="J34" i="23"/>
  <c r="O79" i="30"/>
  <c r="S33" i="23"/>
  <c r="R36" i="23" s="1"/>
  <c r="O73" i="29"/>
  <c r="J22" i="23"/>
  <c r="O80" i="29"/>
  <c r="S23" i="23"/>
  <c r="O75" i="29"/>
  <c r="M22" i="23"/>
  <c r="O84" i="29"/>
  <c r="Y23" i="23"/>
  <c r="O69" i="29"/>
  <c r="D22" i="23"/>
  <c r="S22" i="23"/>
  <c r="O79" i="29"/>
  <c r="G23" i="23"/>
  <c r="O72" i="29"/>
  <c r="O74" i="29"/>
  <c r="J23" i="23"/>
  <c r="O71" i="29"/>
  <c r="G22" i="23"/>
  <c r="O76" i="29"/>
  <c r="M23" i="23"/>
  <c r="O83" i="29"/>
  <c r="Y22" i="23"/>
  <c r="O82" i="29"/>
  <c r="V23" i="23"/>
  <c r="O70" i="29"/>
  <c r="D23" i="23"/>
  <c r="O77" i="29"/>
  <c r="P22" i="23"/>
  <c r="O81" i="29"/>
  <c r="V22" i="23"/>
  <c r="O78" i="29"/>
  <c r="P23" i="23"/>
  <c r="BJ10" i="31"/>
  <c r="J70" i="31"/>
  <c r="L70" i="31"/>
  <c r="AU45" i="31"/>
  <c r="H72" i="31"/>
  <c r="N72" i="31" s="1"/>
  <c r="BY40" i="31"/>
  <c r="AF25" i="31"/>
  <c r="AF15" i="31"/>
  <c r="AF15" i="30"/>
  <c r="AU15" i="30"/>
  <c r="AF10" i="30"/>
  <c r="F70" i="30"/>
  <c r="N70" i="30" s="1"/>
  <c r="F72" i="30"/>
  <c r="J69" i="30"/>
  <c r="N69" i="30" s="1"/>
  <c r="J72" i="30"/>
  <c r="BY20" i="30"/>
  <c r="BY10" i="30"/>
  <c r="BY30" i="30"/>
  <c r="L72" i="29"/>
  <c r="N72" i="29" s="1"/>
  <c r="H70" i="29"/>
  <c r="N70" i="29" s="1"/>
  <c r="P72" i="31" l="1"/>
  <c r="P69" i="31"/>
  <c r="P71" i="31"/>
  <c r="C47" i="23"/>
  <c r="X25" i="23"/>
  <c r="F36" i="23"/>
  <c r="O47" i="23"/>
  <c r="N70" i="31"/>
  <c r="P70" i="31" s="1"/>
  <c r="N72" i="30"/>
  <c r="P72" i="30" s="1"/>
  <c r="P69" i="30"/>
  <c r="P70" i="30"/>
  <c r="R25" i="23"/>
  <c r="F25" i="23"/>
  <c r="P69" i="29"/>
  <c r="U25" i="23"/>
  <c r="P70" i="29"/>
  <c r="P72" i="29"/>
  <c r="P71" i="29"/>
  <c r="X47" i="23"/>
  <c r="U47" i="23"/>
  <c r="I36" i="23"/>
  <c r="I25" i="23"/>
  <c r="L25" i="23"/>
  <c r="C25" i="23"/>
  <c r="O25" i="23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B66" i="31" l="1"/>
  <c r="B65" i="31"/>
  <c r="B64" i="31"/>
  <c r="B63" i="31"/>
  <c r="B62" i="31"/>
  <c r="B61" i="31"/>
  <c r="B60" i="31"/>
  <c r="B59" i="31"/>
  <c r="B66" i="30"/>
  <c r="B65" i="30"/>
  <c r="B64" i="30"/>
  <c r="B63" i="30"/>
  <c r="B62" i="30"/>
  <c r="B61" i="30"/>
  <c r="B60" i="30"/>
  <c r="B59" i="30"/>
  <c r="B66" i="29"/>
  <c r="B65" i="29"/>
  <c r="B64" i="29"/>
  <c r="B63" i="29"/>
  <c r="B62" i="29"/>
  <c r="B61" i="29"/>
  <c r="B60" i="29"/>
  <c r="B59" i="29"/>
  <c r="B66" i="12"/>
  <c r="B65" i="12"/>
  <c r="B64" i="12"/>
  <c r="B63" i="12"/>
  <c r="B62" i="12"/>
  <c r="B61" i="12"/>
  <c r="B60" i="12"/>
  <c r="B59" i="12"/>
  <c r="P45" i="31"/>
  <c r="O45" i="31"/>
  <c r="N45" i="31"/>
  <c r="M45" i="31"/>
  <c r="L45" i="31"/>
  <c r="K45" i="31"/>
  <c r="J45" i="31"/>
  <c r="I45" i="31"/>
  <c r="H45" i="31"/>
  <c r="G45" i="31"/>
  <c r="F45" i="31"/>
  <c r="E45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P45" i="30"/>
  <c r="O45" i="30"/>
  <c r="N45" i="30"/>
  <c r="M45" i="30"/>
  <c r="L45" i="30"/>
  <c r="K45" i="30"/>
  <c r="J45" i="30"/>
  <c r="I45" i="30"/>
  <c r="H45" i="30"/>
  <c r="G45" i="30"/>
  <c r="F45" i="30"/>
  <c r="E45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A66" i="31"/>
  <c r="A65" i="31"/>
  <c r="A64" i="31"/>
  <c r="A63" i="31"/>
  <c r="A62" i="31"/>
  <c r="A61" i="31"/>
  <c r="A60" i="31"/>
  <c r="A59" i="31"/>
  <c r="A66" i="30"/>
  <c r="A65" i="30"/>
  <c r="A64" i="30"/>
  <c r="A63" i="30"/>
  <c r="A62" i="30"/>
  <c r="A61" i="30"/>
  <c r="A60" i="30"/>
  <c r="A59" i="30"/>
  <c r="A66" i="12"/>
  <c r="A65" i="12"/>
  <c r="A64" i="12"/>
  <c r="A63" i="12"/>
  <c r="A62" i="12"/>
  <c r="A61" i="12"/>
  <c r="A60" i="12"/>
  <c r="A59" i="12"/>
  <c r="J10" i="12" s="1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P10" i="12"/>
  <c r="O10" i="12"/>
  <c r="N10" i="12"/>
  <c r="M10" i="12"/>
  <c r="P45" i="29"/>
  <c r="O45" i="29"/>
  <c r="N45" i="29"/>
  <c r="M45" i="29"/>
  <c r="L45" i="29"/>
  <c r="K45" i="29"/>
  <c r="J45" i="29"/>
  <c r="I45" i="29"/>
  <c r="H45" i="29"/>
  <c r="G45" i="29"/>
  <c r="F45" i="29"/>
  <c r="E45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P10" i="29"/>
  <c r="O10" i="29"/>
  <c r="N10" i="29"/>
  <c r="M10" i="29"/>
  <c r="L10" i="29"/>
  <c r="K10" i="29"/>
  <c r="I10" i="29"/>
  <c r="H10" i="29"/>
  <c r="G10" i="29"/>
  <c r="F10" i="29"/>
  <c r="A66" i="29"/>
  <c r="A65" i="29"/>
  <c r="A64" i="29"/>
  <c r="A63" i="29"/>
  <c r="A62" i="29"/>
  <c r="A61" i="29"/>
  <c r="A60" i="29"/>
  <c r="A59" i="29"/>
  <c r="E10" i="29" l="1"/>
  <c r="R10" i="29"/>
  <c r="K10" i="12"/>
  <c r="J10" i="29"/>
  <c r="E10" i="12"/>
  <c r="L10" i="12"/>
  <c r="F10" i="12"/>
  <c r="G10" i="12"/>
  <c r="H10" i="12"/>
  <c r="I10" i="12"/>
  <c r="G34" i="24"/>
  <c r="L34" i="24" s="1"/>
  <c r="F34" i="24"/>
  <c r="K34" i="24" s="1"/>
  <c r="G33" i="24"/>
  <c r="L33" i="24" s="1"/>
  <c r="F33" i="24"/>
  <c r="K33" i="24" s="1"/>
  <c r="O31" i="24"/>
  <c r="N31" i="24"/>
  <c r="M31" i="24"/>
  <c r="L31" i="24"/>
  <c r="K31" i="24"/>
  <c r="J31" i="24"/>
  <c r="I31" i="24"/>
  <c r="H31" i="24"/>
  <c r="G31" i="24"/>
  <c r="F31" i="24"/>
  <c r="P30" i="24"/>
  <c r="P29" i="24"/>
  <c r="P28" i="24"/>
  <c r="P27" i="24"/>
  <c r="P26" i="24"/>
  <c r="P25" i="24"/>
  <c r="P24" i="24"/>
  <c r="P23" i="24"/>
  <c r="P22" i="24"/>
  <c r="P21" i="24"/>
  <c r="K40" i="24" l="1"/>
  <c r="I33" i="24"/>
  <c r="K39" i="24"/>
  <c r="K38" i="24"/>
  <c r="K37" i="24"/>
  <c r="I34" i="24"/>
  <c r="I35" i="24" l="1"/>
  <c r="C10" i="36" l="1"/>
  <c r="A10" i="36" s="1"/>
  <c r="C9" i="36"/>
  <c r="A9" i="36" s="1"/>
  <c r="C8" i="36"/>
  <c r="C7" i="36"/>
  <c r="C6" i="36"/>
  <c r="C5" i="36"/>
  <c r="D11" i="38"/>
  <c r="D10" i="38"/>
  <c r="D8" i="38"/>
  <c r="D9" i="38"/>
  <c r="V23" i="35"/>
  <c r="V22" i="35"/>
  <c r="V21" i="35"/>
  <c r="V20" i="35"/>
  <c r="V19" i="35"/>
  <c r="V18" i="35"/>
  <c r="V17" i="35"/>
  <c r="V16" i="35"/>
  <c r="V15" i="35"/>
  <c r="V14" i="35"/>
  <c r="S14" i="35"/>
  <c r="V13" i="35"/>
  <c r="V12" i="35"/>
  <c r="V11" i="35"/>
  <c r="V10" i="35"/>
  <c r="V9" i="35"/>
  <c r="V8" i="35"/>
  <c r="V7" i="35"/>
  <c r="V6" i="35"/>
  <c r="V5" i="35"/>
  <c r="V23" i="34"/>
  <c r="V22" i="34"/>
  <c r="V21" i="34"/>
  <c r="V20" i="34"/>
  <c r="V19" i="34"/>
  <c r="V18" i="34"/>
  <c r="V17" i="34"/>
  <c r="V16" i="34"/>
  <c r="V15" i="34"/>
  <c r="S15" i="34"/>
  <c r="R15" i="34"/>
  <c r="T15" i="34" s="1"/>
  <c r="V14" i="34"/>
  <c r="V13" i="34"/>
  <c r="V12" i="34"/>
  <c r="V11" i="34"/>
  <c r="V10" i="34"/>
  <c r="V9" i="34"/>
  <c r="S9" i="34"/>
  <c r="R9" i="34"/>
  <c r="T9" i="34" s="1"/>
  <c r="V8" i="34"/>
  <c r="V7" i="34"/>
  <c r="V6" i="34"/>
  <c r="V5" i="34"/>
  <c r="V23" i="33"/>
  <c r="V22" i="33"/>
  <c r="V21" i="33"/>
  <c r="V20" i="33"/>
  <c r="V19" i="33"/>
  <c r="V18" i="33"/>
  <c r="V17" i="33"/>
  <c r="V16" i="33"/>
  <c r="V15" i="33"/>
  <c r="V14" i="33"/>
  <c r="V13" i="33"/>
  <c r="V12" i="33"/>
  <c r="V11" i="33"/>
  <c r="V10" i="33"/>
  <c r="V9" i="33"/>
  <c r="R9" i="33"/>
  <c r="T9" i="33" s="1"/>
  <c r="V8" i="33"/>
  <c r="V7" i="33"/>
  <c r="V6" i="33"/>
  <c r="V5" i="33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5" i="35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23" i="33"/>
  <c r="N22" i="33"/>
  <c r="N21" i="33"/>
  <c r="N20" i="33"/>
  <c r="N19" i="33"/>
  <c r="N18" i="33"/>
  <c r="N17" i="33"/>
  <c r="N16" i="33"/>
  <c r="N15" i="33"/>
  <c r="N14" i="33"/>
  <c r="N13" i="33"/>
  <c r="N12" i="33"/>
  <c r="N11" i="33"/>
  <c r="N10" i="33"/>
  <c r="N9" i="33"/>
  <c r="N8" i="33"/>
  <c r="N7" i="33"/>
  <c r="N6" i="33"/>
  <c r="N5" i="33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J23" i="35"/>
  <c r="R23" i="35" s="1"/>
  <c r="T23" i="35" s="1"/>
  <c r="J22" i="35"/>
  <c r="S22" i="35" s="1"/>
  <c r="J21" i="35"/>
  <c r="S21" i="35" s="1"/>
  <c r="J20" i="35"/>
  <c r="R20" i="35" s="1"/>
  <c r="T20" i="35" s="1"/>
  <c r="J19" i="35"/>
  <c r="S19" i="35" s="1"/>
  <c r="J18" i="35"/>
  <c r="S18" i="35" s="1"/>
  <c r="J17" i="35"/>
  <c r="S17" i="35" s="1"/>
  <c r="J16" i="35"/>
  <c r="S16" i="35" s="1"/>
  <c r="J15" i="35"/>
  <c r="S15" i="35" s="1"/>
  <c r="J14" i="35"/>
  <c r="R14" i="35" s="1"/>
  <c r="T14" i="35" s="1"/>
  <c r="J13" i="35"/>
  <c r="S13" i="35" s="1"/>
  <c r="J12" i="35"/>
  <c r="S12" i="35" s="1"/>
  <c r="J11" i="35"/>
  <c r="S11" i="35" s="1"/>
  <c r="J10" i="35"/>
  <c r="R10" i="35" s="1"/>
  <c r="T10" i="35" s="1"/>
  <c r="J9" i="35"/>
  <c r="S9" i="35" s="1"/>
  <c r="J8" i="35"/>
  <c r="S8" i="35" s="1"/>
  <c r="J7" i="35"/>
  <c r="S7" i="35" s="1"/>
  <c r="J6" i="35"/>
  <c r="S6" i="35" s="1"/>
  <c r="J23" i="34"/>
  <c r="S23" i="34" s="1"/>
  <c r="J22" i="34"/>
  <c r="S22" i="34" s="1"/>
  <c r="J21" i="34"/>
  <c r="R21" i="34" s="1"/>
  <c r="T21" i="34" s="1"/>
  <c r="J20" i="34"/>
  <c r="R20" i="34" s="1"/>
  <c r="T20" i="34" s="1"/>
  <c r="J19" i="34"/>
  <c r="S19" i="34" s="1"/>
  <c r="J18" i="34"/>
  <c r="S18" i="34" s="1"/>
  <c r="J17" i="34"/>
  <c r="S17" i="34" s="1"/>
  <c r="J16" i="34"/>
  <c r="S16" i="34" s="1"/>
  <c r="J15" i="34"/>
  <c r="J14" i="34"/>
  <c r="S14" i="34" s="1"/>
  <c r="J13" i="34"/>
  <c r="S13" i="34" s="1"/>
  <c r="J12" i="34"/>
  <c r="S12" i="34" s="1"/>
  <c r="J11" i="34"/>
  <c r="R11" i="34" s="1"/>
  <c r="T11" i="34" s="1"/>
  <c r="J10" i="34"/>
  <c r="S10" i="34" s="1"/>
  <c r="J9" i="34"/>
  <c r="J8" i="34"/>
  <c r="S8" i="34" s="1"/>
  <c r="J7" i="34"/>
  <c r="S7" i="34" s="1"/>
  <c r="J6" i="34"/>
  <c r="S6" i="34" s="1"/>
  <c r="J23" i="33"/>
  <c r="S23" i="33" s="1"/>
  <c r="J22" i="33"/>
  <c r="S22" i="33" s="1"/>
  <c r="J21" i="33"/>
  <c r="R21" i="33" s="1"/>
  <c r="T21" i="33" s="1"/>
  <c r="J20" i="33"/>
  <c r="S20" i="33" s="1"/>
  <c r="J19" i="33"/>
  <c r="S19" i="33" s="1"/>
  <c r="J18" i="33"/>
  <c r="S18" i="33" s="1"/>
  <c r="J17" i="33"/>
  <c r="R17" i="33" s="1"/>
  <c r="T17" i="33" s="1"/>
  <c r="J16" i="33"/>
  <c r="S16" i="33" s="1"/>
  <c r="J15" i="33"/>
  <c r="S15" i="33" s="1"/>
  <c r="J14" i="33"/>
  <c r="S14" i="33" s="1"/>
  <c r="J13" i="33"/>
  <c r="S13" i="33" s="1"/>
  <c r="J12" i="33"/>
  <c r="S12" i="33" s="1"/>
  <c r="J11" i="33"/>
  <c r="S11" i="33" s="1"/>
  <c r="J10" i="33"/>
  <c r="R10" i="33" s="1"/>
  <c r="T10" i="33" s="1"/>
  <c r="J9" i="33"/>
  <c r="S9" i="33" s="1"/>
  <c r="J8" i="33"/>
  <c r="S8" i="33" s="1"/>
  <c r="J7" i="33"/>
  <c r="S7" i="33" s="1"/>
  <c r="J6" i="33"/>
  <c r="R6" i="33" s="1"/>
  <c r="T6" i="33" s="1"/>
  <c r="J23" i="17"/>
  <c r="S23" i="17" s="1"/>
  <c r="J22" i="17"/>
  <c r="S22" i="17" s="1"/>
  <c r="J21" i="17"/>
  <c r="S21" i="17" s="1"/>
  <c r="J20" i="17"/>
  <c r="R20" i="17" s="1"/>
  <c r="T20" i="17" s="1"/>
  <c r="J19" i="17"/>
  <c r="R19" i="17" s="1"/>
  <c r="T19" i="17" s="1"/>
  <c r="J18" i="17"/>
  <c r="S18" i="17" s="1"/>
  <c r="J17" i="17"/>
  <c r="J16" i="17"/>
  <c r="S16" i="17" s="1"/>
  <c r="J15" i="17"/>
  <c r="R15" i="17" s="1"/>
  <c r="T15" i="17" s="1"/>
  <c r="J14" i="17"/>
  <c r="R14" i="17" s="1"/>
  <c r="T14" i="17" s="1"/>
  <c r="J13" i="17"/>
  <c r="S13" i="17" s="1"/>
  <c r="J12" i="17"/>
  <c r="S12" i="17" s="1"/>
  <c r="J11" i="17"/>
  <c r="S11" i="17" s="1"/>
  <c r="J10" i="17"/>
  <c r="S10" i="17" s="1"/>
  <c r="J9" i="17"/>
  <c r="S9" i="17" s="1"/>
  <c r="J8" i="17"/>
  <c r="R8" i="17" s="1"/>
  <c r="T8" i="17" s="1"/>
  <c r="J7" i="17"/>
  <c r="S7" i="17" s="1"/>
  <c r="J6" i="17"/>
  <c r="S6" i="17" s="1"/>
  <c r="C66" i="29"/>
  <c r="X20" i="23" s="1"/>
  <c r="C65" i="29"/>
  <c r="U20" i="23" s="1"/>
  <c r="C64" i="29"/>
  <c r="R20" i="23" s="1"/>
  <c r="C63" i="29"/>
  <c r="O20" i="23" s="1"/>
  <c r="C62" i="29"/>
  <c r="L20" i="23" s="1"/>
  <c r="C61" i="29"/>
  <c r="I20" i="23" s="1"/>
  <c r="C60" i="29"/>
  <c r="F20" i="23" s="1"/>
  <c r="C59" i="29"/>
  <c r="C20" i="23" s="1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J5" i="35"/>
  <c r="S5" i="35" s="1"/>
  <c r="U5" i="35" s="1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J5" i="34"/>
  <c r="S5" i="34" s="1"/>
  <c r="U5" i="34" s="1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J5" i="33"/>
  <c r="S5" i="33" s="1"/>
  <c r="U5" i="33" s="1"/>
  <c r="K23" i="17"/>
  <c r="K22" i="17"/>
  <c r="K21" i="17"/>
  <c r="K20" i="17"/>
  <c r="K19" i="17"/>
  <c r="K18" i="17"/>
  <c r="K17" i="17"/>
  <c r="J5" i="17"/>
  <c r="R5" i="17" s="1"/>
  <c r="T5" i="17" s="1"/>
  <c r="S17" i="17" l="1"/>
  <c r="R17" i="17"/>
  <c r="T17" i="17" s="1"/>
  <c r="R16" i="17"/>
  <c r="T16" i="17" s="1"/>
  <c r="R10" i="17"/>
  <c r="T10" i="17" s="1"/>
  <c r="S10" i="33"/>
  <c r="S21" i="33"/>
  <c r="R19" i="34"/>
  <c r="T19" i="34" s="1"/>
  <c r="S10" i="35"/>
  <c r="S20" i="35"/>
  <c r="R21" i="17"/>
  <c r="T21" i="17" s="1"/>
  <c r="R22" i="17"/>
  <c r="T22" i="17" s="1"/>
  <c r="R14" i="33"/>
  <c r="T14" i="33" s="1"/>
  <c r="R22" i="33"/>
  <c r="T22" i="33" s="1"/>
  <c r="S21" i="34"/>
  <c r="R22" i="35"/>
  <c r="T22" i="35" s="1"/>
  <c r="R17" i="35"/>
  <c r="T17" i="35" s="1"/>
  <c r="R10" i="34"/>
  <c r="T10" i="34" s="1"/>
  <c r="R23" i="34"/>
  <c r="T23" i="34" s="1"/>
  <c r="R16" i="33"/>
  <c r="T16" i="33" s="1"/>
  <c r="R12" i="35"/>
  <c r="T12" i="35" s="1"/>
  <c r="S14" i="17"/>
  <c r="S11" i="34"/>
  <c r="S15" i="17"/>
  <c r="S17" i="33"/>
  <c r="S19" i="17"/>
  <c r="R13" i="34"/>
  <c r="T13" i="34" s="1"/>
  <c r="S20" i="34"/>
  <c r="R21" i="35"/>
  <c r="T21" i="35" s="1"/>
  <c r="S20" i="17"/>
  <c r="R9" i="35"/>
  <c r="T9" i="35" s="1"/>
  <c r="R16" i="35"/>
  <c r="T16" i="35" s="1"/>
  <c r="R20" i="33"/>
  <c r="T20" i="33" s="1"/>
  <c r="R18" i="33"/>
  <c r="T18" i="33" s="1"/>
  <c r="R17" i="34"/>
  <c r="T17" i="34" s="1"/>
  <c r="R11" i="17"/>
  <c r="T11" i="17" s="1"/>
  <c r="R23" i="17"/>
  <c r="T23" i="17" s="1"/>
  <c r="R12" i="17"/>
  <c r="T12" i="17" s="1"/>
  <c r="S23" i="35"/>
  <c r="R11" i="33"/>
  <c r="T11" i="33" s="1"/>
  <c r="R14" i="34"/>
  <c r="T14" i="34" s="1"/>
  <c r="R13" i="35"/>
  <c r="T13" i="35" s="1"/>
  <c r="R13" i="17"/>
  <c r="T13" i="17" s="1"/>
  <c r="R15" i="33"/>
  <c r="T15" i="33" s="1"/>
  <c r="R19" i="33"/>
  <c r="T19" i="33" s="1"/>
  <c r="R18" i="34"/>
  <c r="T18" i="34" s="1"/>
  <c r="R23" i="33"/>
  <c r="T23" i="33" s="1"/>
  <c r="R22" i="34"/>
  <c r="T22" i="34" s="1"/>
  <c r="R12" i="33"/>
  <c r="T12" i="33" s="1"/>
  <c r="R18" i="35"/>
  <c r="T18" i="35" s="1"/>
  <c r="R13" i="33"/>
  <c r="T13" i="33" s="1"/>
  <c r="R12" i="34"/>
  <c r="T12" i="34" s="1"/>
  <c r="R11" i="35"/>
  <c r="T11" i="35" s="1"/>
  <c r="R18" i="17"/>
  <c r="T18" i="17" s="1"/>
  <c r="R16" i="34"/>
  <c r="T16" i="34" s="1"/>
  <c r="R15" i="35"/>
  <c r="T15" i="35" s="1"/>
  <c r="R19" i="35"/>
  <c r="T19" i="35" s="1"/>
  <c r="X19" i="33"/>
  <c r="W19" i="33" s="1"/>
  <c r="X7" i="33"/>
  <c r="W7" i="33" s="1"/>
  <c r="X18" i="33"/>
  <c r="W18" i="33" s="1"/>
  <c r="X6" i="33"/>
  <c r="W6" i="33" s="1"/>
  <c r="X16" i="33"/>
  <c r="W16" i="33" s="1"/>
  <c r="X17" i="33"/>
  <c r="W17" i="33" s="1"/>
  <c r="X5" i="33"/>
  <c r="W5" i="33" s="1"/>
  <c r="X15" i="33"/>
  <c r="W15" i="33" s="1"/>
  <c r="X14" i="33"/>
  <c r="W14" i="33" s="1"/>
  <c r="X13" i="33"/>
  <c r="W13" i="33" s="1"/>
  <c r="X12" i="33"/>
  <c r="W12" i="33" s="1"/>
  <c r="X20" i="33"/>
  <c r="W20" i="33" s="1"/>
  <c r="X23" i="33"/>
  <c r="W23" i="33" s="1"/>
  <c r="X11" i="33"/>
  <c r="W11" i="33" s="1"/>
  <c r="X8" i="33"/>
  <c r="W8" i="33" s="1"/>
  <c r="X22" i="33"/>
  <c r="W22" i="33" s="1"/>
  <c r="X10" i="33"/>
  <c r="W10" i="33" s="1"/>
  <c r="X21" i="33"/>
  <c r="W21" i="33" s="1"/>
  <c r="X9" i="33"/>
  <c r="W9" i="33" s="1"/>
  <c r="R9" i="17"/>
  <c r="T9" i="17" s="1"/>
  <c r="R6" i="34"/>
  <c r="T6" i="34" s="1"/>
  <c r="R6" i="35"/>
  <c r="T6" i="35" s="1"/>
  <c r="R7" i="35"/>
  <c r="T7" i="35" s="1"/>
  <c r="R8" i="35"/>
  <c r="T8" i="35" s="1"/>
  <c r="R5" i="35"/>
  <c r="T5" i="35" s="1"/>
  <c r="R7" i="34"/>
  <c r="T7" i="34" s="1"/>
  <c r="R8" i="34"/>
  <c r="T8" i="34" s="1"/>
  <c r="R5" i="34"/>
  <c r="T5" i="34" s="1"/>
  <c r="R7" i="33"/>
  <c r="T7" i="33" s="1"/>
  <c r="S6" i="33"/>
  <c r="R8" i="33"/>
  <c r="T8" i="33" s="1"/>
  <c r="R5" i="33"/>
  <c r="T5" i="33" s="1"/>
  <c r="S8" i="17"/>
  <c r="R7" i="17"/>
  <c r="T7" i="17" s="1"/>
  <c r="R6" i="17"/>
  <c r="T6" i="17" s="1"/>
  <c r="S5" i="17"/>
  <c r="A12" i="21"/>
  <c r="A13" i="21"/>
  <c r="A15" i="21"/>
  <c r="A14" i="21"/>
  <c r="E7" i="42" l="1" a="1"/>
  <c r="AK11" i="42" a="1"/>
  <c r="AL11" i="42" a="1"/>
  <c r="AA12" i="42" a="1"/>
  <c r="AF11" i="42" a="1"/>
  <c r="AF12" i="42" a="1"/>
  <c r="AG11" i="42" a="1"/>
  <c r="AA11" i="42" a="1"/>
  <c r="AE11" i="42" a="1"/>
  <c r="AG12" i="42" a="1"/>
  <c r="AH11" i="42" a="1"/>
  <c r="AC12" i="42" a="1"/>
  <c r="AI12" i="42" a="1"/>
  <c r="AC11" i="42" a="1"/>
  <c r="AI11" i="42" a="1"/>
  <c r="AD12" i="42" a="1"/>
  <c r="AJ12" i="42" a="1"/>
  <c r="AD11" i="42" a="1"/>
  <c r="AK12" i="42" a="1"/>
  <c r="AB12" i="42" a="1"/>
  <c r="AH12" i="42" a="1"/>
  <c r="AB11" i="42" a="1"/>
  <c r="C7" i="42" a="1"/>
  <c r="AJ11" i="42" a="1"/>
  <c r="AE12" i="42" a="1"/>
  <c r="AL12" i="42" a="1"/>
  <c r="C13" i="21" a="1"/>
  <c r="A2" i="7"/>
  <c r="K545" i="32"/>
  <c r="K563" i="32" s="1"/>
  <c r="K581" i="32" s="1"/>
  <c r="K599" i="32" s="1"/>
  <c r="K617" i="32" s="1"/>
  <c r="K635" i="32" s="1"/>
  <c r="K653" i="32" s="1"/>
  <c r="K671" i="32" s="1"/>
  <c r="K689" i="32" s="1"/>
  <c r="K707" i="32" s="1"/>
  <c r="K725" i="32" s="1"/>
  <c r="K743" i="32" s="1"/>
  <c r="K761" i="32" s="1"/>
  <c r="K779" i="32" s="1"/>
  <c r="K797" i="32" s="1"/>
  <c r="K815" i="32" s="1"/>
  <c r="K833" i="32" s="1"/>
  <c r="K851" i="32" s="1"/>
  <c r="K869" i="32" s="1"/>
  <c r="K887" i="32" s="1"/>
  <c r="K905" i="32" s="1"/>
  <c r="K923" i="32" s="1"/>
  <c r="K941" i="32" s="1"/>
  <c r="K959" i="32" s="1"/>
  <c r="K977" i="32" s="1"/>
  <c r="K995" i="32" s="1"/>
  <c r="K1013" i="32" s="1"/>
  <c r="K1031" i="32" s="1"/>
  <c r="K1049" i="32" s="1"/>
  <c r="K1067" i="32" s="1"/>
  <c r="K1085" i="32" s="1"/>
  <c r="K1103" i="32" s="1"/>
  <c r="K1121" i="32" s="1"/>
  <c r="K1139" i="32" s="1"/>
  <c r="K1157" i="32" s="1"/>
  <c r="K1175" i="32" s="1"/>
  <c r="K1193" i="32" s="1"/>
  <c r="K1211" i="32" s="1"/>
  <c r="K1229" i="32" s="1"/>
  <c r="K1247" i="32" s="1"/>
  <c r="K1265" i="32" s="1"/>
  <c r="K1283" i="32" s="1"/>
  <c r="K1301" i="32" s="1"/>
  <c r="K1319" i="32" s="1"/>
  <c r="K1337" i="32" s="1"/>
  <c r="K1355" i="32" s="1"/>
  <c r="K1373" i="32" s="1"/>
  <c r="K1391" i="32" s="1"/>
  <c r="K1409" i="32" s="1"/>
  <c r="K1427" i="32" s="1"/>
  <c r="K1445" i="32" s="1"/>
  <c r="K1463" i="32" s="1"/>
  <c r="K1481" i="32" s="1"/>
  <c r="K1499" i="32" s="1"/>
  <c r="K1517" i="32" s="1"/>
  <c r="K1535" i="32" s="1"/>
  <c r="K1553" i="32" s="1"/>
  <c r="K1571" i="32" s="1"/>
  <c r="K1589" i="32" s="1"/>
  <c r="K1607" i="32" s="1"/>
  <c r="K1625" i="32" s="1"/>
  <c r="K1643" i="32" s="1"/>
  <c r="K1661" i="32" s="1"/>
  <c r="K1679" i="32" s="1"/>
  <c r="K1697" i="32" s="1"/>
  <c r="K1715" i="32" s="1"/>
  <c r="K1733" i="32" s="1"/>
  <c r="K348" i="32"/>
  <c r="K366" i="32" s="1"/>
  <c r="K384" i="32" s="1"/>
  <c r="K402" i="32" s="1"/>
  <c r="K420" i="32" s="1"/>
  <c r="K438" i="32" s="1"/>
  <c r="K456" i="32" s="1"/>
  <c r="K474" i="32" s="1"/>
  <c r="K492" i="32" s="1"/>
  <c r="K510" i="32" s="1"/>
  <c r="K528" i="32" s="1"/>
  <c r="K546" i="32" s="1"/>
  <c r="K564" i="32" s="1"/>
  <c r="K582" i="32" s="1"/>
  <c r="K600" i="32" s="1"/>
  <c r="K618" i="32" s="1"/>
  <c r="K636" i="32" s="1"/>
  <c r="K654" i="32" s="1"/>
  <c r="K672" i="32" s="1"/>
  <c r="K690" i="32" s="1"/>
  <c r="K708" i="32" s="1"/>
  <c r="K726" i="32" s="1"/>
  <c r="K744" i="32" s="1"/>
  <c r="K762" i="32" s="1"/>
  <c r="K780" i="32" s="1"/>
  <c r="K798" i="32" s="1"/>
  <c r="K816" i="32" s="1"/>
  <c r="K834" i="32" s="1"/>
  <c r="K852" i="32" s="1"/>
  <c r="K870" i="32" s="1"/>
  <c r="K888" i="32" s="1"/>
  <c r="K906" i="32" s="1"/>
  <c r="K924" i="32" s="1"/>
  <c r="K942" i="32" s="1"/>
  <c r="K960" i="32" s="1"/>
  <c r="K978" i="32" s="1"/>
  <c r="K996" i="32" s="1"/>
  <c r="K1014" i="32" s="1"/>
  <c r="K1032" i="32" s="1"/>
  <c r="K1050" i="32" s="1"/>
  <c r="K1068" i="32" s="1"/>
  <c r="K1086" i="32" s="1"/>
  <c r="K1104" i="32" s="1"/>
  <c r="K1122" i="32" s="1"/>
  <c r="K1140" i="32" s="1"/>
  <c r="K1158" i="32" s="1"/>
  <c r="K1176" i="32" s="1"/>
  <c r="K1194" i="32" s="1"/>
  <c r="K1212" i="32" s="1"/>
  <c r="K1230" i="32" s="1"/>
  <c r="K1248" i="32" s="1"/>
  <c r="K1266" i="32" s="1"/>
  <c r="K1284" i="32" s="1"/>
  <c r="K1302" i="32" s="1"/>
  <c r="K1320" i="32" s="1"/>
  <c r="K1338" i="32" s="1"/>
  <c r="K1356" i="32" s="1"/>
  <c r="K1374" i="32" s="1"/>
  <c r="K1392" i="32" s="1"/>
  <c r="K1410" i="32" s="1"/>
  <c r="K1428" i="32" s="1"/>
  <c r="K1446" i="32" s="1"/>
  <c r="K1464" i="32" s="1"/>
  <c r="K1482" i="32" s="1"/>
  <c r="K1500" i="32" s="1"/>
  <c r="K1518" i="32" s="1"/>
  <c r="K1536" i="32" s="1"/>
  <c r="K1554" i="32" s="1"/>
  <c r="K1572" i="32" s="1"/>
  <c r="K1590" i="32" s="1"/>
  <c r="K1608" i="32" s="1"/>
  <c r="K1626" i="32" s="1"/>
  <c r="K1644" i="32" s="1"/>
  <c r="K1662" i="32" s="1"/>
  <c r="K1680" i="32" s="1"/>
  <c r="K1698" i="32" s="1"/>
  <c r="K1716" i="32" s="1"/>
  <c r="K1734" i="32" s="1"/>
  <c r="K306" i="32"/>
  <c r="K298" i="32"/>
  <c r="D291" i="32"/>
  <c r="D310" i="32" s="1"/>
  <c r="D329" i="32" s="1"/>
  <c r="D348" i="32" s="1"/>
  <c r="D367" i="32" s="1"/>
  <c r="D386" i="32" s="1"/>
  <c r="D405" i="32" s="1"/>
  <c r="D424" i="32" s="1"/>
  <c r="D443" i="32" s="1"/>
  <c r="D462" i="32" s="1"/>
  <c r="D481" i="32" s="1"/>
  <c r="D500" i="32" s="1"/>
  <c r="D519" i="32" s="1"/>
  <c r="D538" i="32" s="1"/>
  <c r="D557" i="32" s="1"/>
  <c r="D576" i="32" s="1"/>
  <c r="D595" i="32" s="1"/>
  <c r="D614" i="32" s="1"/>
  <c r="D633" i="32" s="1"/>
  <c r="D652" i="32" s="1"/>
  <c r="D671" i="32" s="1"/>
  <c r="D690" i="32" s="1"/>
  <c r="D709" i="32" s="1"/>
  <c r="D728" i="32" s="1"/>
  <c r="D747" i="32" s="1"/>
  <c r="D766" i="32" s="1"/>
  <c r="D785" i="32" s="1"/>
  <c r="D804" i="32" s="1"/>
  <c r="D823" i="32" s="1"/>
  <c r="D842" i="32" s="1"/>
  <c r="D861" i="32" s="1"/>
  <c r="D880" i="32" s="1"/>
  <c r="D899" i="32" s="1"/>
  <c r="D918" i="32" s="1"/>
  <c r="D937" i="32" s="1"/>
  <c r="D956" i="32" s="1"/>
  <c r="D975" i="32" s="1"/>
  <c r="D994" i="32" s="1"/>
  <c r="D1013" i="32" s="1"/>
  <c r="D1032" i="32" s="1"/>
  <c r="D1051" i="32" s="1"/>
  <c r="D1070" i="32" s="1"/>
  <c r="D1089" i="32" s="1"/>
  <c r="D1108" i="32" s="1"/>
  <c r="D1127" i="32" s="1"/>
  <c r="D1146" i="32" s="1"/>
  <c r="D1165" i="32" s="1"/>
  <c r="D1184" i="32" s="1"/>
  <c r="D1203" i="32" s="1"/>
  <c r="D1222" i="32" s="1"/>
  <c r="D1241" i="32" s="1"/>
  <c r="D1260" i="32" s="1"/>
  <c r="D1279" i="32" s="1"/>
  <c r="D1298" i="32" s="1"/>
  <c r="D1317" i="32" s="1"/>
  <c r="D1336" i="32" s="1"/>
  <c r="D1355" i="32" s="1"/>
  <c r="D1374" i="32" s="1"/>
  <c r="D1393" i="32" s="1"/>
  <c r="D1412" i="32" s="1"/>
  <c r="D1431" i="32" s="1"/>
  <c r="D1450" i="32" s="1"/>
  <c r="D1469" i="32" s="1"/>
  <c r="D1488" i="32" s="1"/>
  <c r="D1507" i="32" s="1"/>
  <c r="D1526" i="32" s="1"/>
  <c r="D1545" i="32" s="1"/>
  <c r="D1564" i="32" s="1"/>
  <c r="D1583" i="32" s="1"/>
  <c r="D1602" i="32" s="1"/>
  <c r="D1621" i="32" s="1"/>
  <c r="D1640" i="32" s="1"/>
  <c r="D1659" i="32" s="1"/>
  <c r="D1678" i="32" s="1"/>
  <c r="D1697" i="32" s="1"/>
  <c r="D1716" i="32" s="1"/>
  <c r="D1735" i="32" s="1"/>
  <c r="D1754" i="32" s="1"/>
  <c r="D1773" i="32" s="1"/>
  <c r="D1792" i="32" s="1"/>
  <c r="D1811" i="32" s="1"/>
  <c r="D1830" i="32" s="1"/>
  <c r="K286" i="32"/>
  <c r="K272" i="32"/>
  <c r="K270" i="32"/>
  <c r="K288" i="32" s="1"/>
  <c r="H288" i="32" s="1"/>
  <c r="I288" i="32" s="1"/>
  <c r="H270" i="32"/>
  <c r="I270" i="32" s="1"/>
  <c r="K268" i="32"/>
  <c r="H268" i="32"/>
  <c r="I268" i="32" s="1"/>
  <c r="H262" i="32"/>
  <c r="I262" i="32" s="1"/>
  <c r="H250" i="32"/>
  <c r="I250" i="32" s="1"/>
  <c r="H244" i="32"/>
  <c r="I244" i="32" s="1"/>
  <c r="H236" i="32"/>
  <c r="I236" i="32" s="1"/>
  <c r="H234" i="32"/>
  <c r="I234" i="32" s="1"/>
  <c r="H232" i="32"/>
  <c r="I232" i="32" s="1"/>
  <c r="H226" i="32"/>
  <c r="I226" i="32" s="1"/>
  <c r="H214" i="32"/>
  <c r="I214" i="32" s="1"/>
  <c r="D213" i="32"/>
  <c r="D232" i="32" s="1"/>
  <c r="D251" i="32" s="1"/>
  <c r="D270" i="32" s="1"/>
  <c r="D289" i="32" s="1"/>
  <c r="D308" i="32" s="1"/>
  <c r="D327" i="32" s="1"/>
  <c r="D346" i="32" s="1"/>
  <c r="D365" i="32" s="1"/>
  <c r="D384" i="32" s="1"/>
  <c r="D403" i="32" s="1"/>
  <c r="D422" i="32" s="1"/>
  <c r="D441" i="32" s="1"/>
  <c r="D460" i="32" s="1"/>
  <c r="D479" i="32" s="1"/>
  <c r="D498" i="32" s="1"/>
  <c r="D517" i="32" s="1"/>
  <c r="D536" i="32" s="1"/>
  <c r="D555" i="32" s="1"/>
  <c r="D574" i="32" s="1"/>
  <c r="D593" i="32" s="1"/>
  <c r="D612" i="32" s="1"/>
  <c r="D631" i="32" s="1"/>
  <c r="D650" i="32" s="1"/>
  <c r="D669" i="32" s="1"/>
  <c r="D688" i="32" s="1"/>
  <c r="D707" i="32" s="1"/>
  <c r="D726" i="32" s="1"/>
  <c r="D745" i="32" s="1"/>
  <c r="D764" i="32" s="1"/>
  <c r="D783" i="32" s="1"/>
  <c r="D802" i="32" s="1"/>
  <c r="D821" i="32" s="1"/>
  <c r="D840" i="32" s="1"/>
  <c r="D859" i="32" s="1"/>
  <c r="D878" i="32" s="1"/>
  <c r="D897" i="32" s="1"/>
  <c r="D916" i="32" s="1"/>
  <c r="D935" i="32" s="1"/>
  <c r="D954" i="32" s="1"/>
  <c r="D973" i="32" s="1"/>
  <c r="D992" i="32" s="1"/>
  <c r="D1011" i="32" s="1"/>
  <c r="D1030" i="32" s="1"/>
  <c r="D1049" i="32" s="1"/>
  <c r="D1068" i="32" s="1"/>
  <c r="D1087" i="32" s="1"/>
  <c r="D1106" i="32" s="1"/>
  <c r="D1125" i="32" s="1"/>
  <c r="D1144" i="32" s="1"/>
  <c r="D1163" i="32" s="1"/>
  <c r="D1182" i="32" s="1"/>
  <c r="D1201" i="32" s="1"/>
  <c r="D1220" i="32" s="1"/>
  <c r="D1239" i="32" s="1"/>
  <c r="D1258" i="32" s="1"/>
  <c r="D1277" i="32" s="1"/>
  <c r="D1296" i="32" s="1"/>
  <c r="D1315" i="32" s="1"/>
  <c r="D1334" i="32" s="1"/>
  <c r="D1353" i="32" s="1"/>
  <c r="D1372" i="32" s="1"/>
  <c r="D1391" i="32" s="1"/>
  <c r="D1410" i="32" s="1"/>
  <c r="D1429" i="32" s="1"/>
  <c r="D1448" i="32" s="1"/>
  <c r="D1467" i="32" s="1"/>
  <c r="D1486" i="32" s="1"/>
  <c r="D1505" i="32" s="1"/>
  <c r="D1524" i="32" s="1"/>
  <c r="D1543" i="32" s="1"/>
  <c r="D1562" i="32" s="1"/>
  <c r="D1581" i="32" s="1"/>
  <c r="D1600" i="32" s="1"/>
  <c r="D1619" i="32" s="1"/>
  <c r="D1638" i="32" s="1"/>
  <c r="D1657" i="32" s="1"/>
  <c r="D1676" i="32" s="1"/>
  <c r="D1695" i="32" s="1"/>
  <c r="D1714" i="32" s="1"/>
  <c r="D1733" i="32" s="1"/>
  <c r="D1752" i="32" s="1"/>
  <c r="D1771" i="32" s="1"/>
  <c r="D1790" i="32" s="1"/>
  <c r="D1809" i="32" s="1"/>
  <c r="D1828" i="32" s="1"/>
  <c r="H208" i="32"/>
  <c r="I208" i="32" s="1"/>
  <c r="H200" i="32"/>
  <c r="I200" i="32" s="1"/>
  <c r="H198" i="32"/>
  <c r="I198" i="32" s="1"/>
  <c r="H196" i="32"/>
  <c r="I196" i="32" s="1"/>
  <c r="H190" i="32"/>
  <c r="I190" i="32" s="1"/>
  <c r="H178" i="32"/>
  <c r="I178" i="32" s="1"/>
  <c r="H172" i="32"/>
  <c r="I172" i="32" s="1"/>
  <c r="H164" i="32"/>
  <c r="I164" i="32" s="1"/>
  <c r="H162" i="32"/>
  <c r="I162" i="32" s="1"/>
  <c r="H160" i="32"/>
  <c r="I160" i="32" s="1"/>
  <c r="H154" i="32"/>
  <c r="I154" i="32" s="1"/>
  <c r="D145" i="32"/>
  <c r="D164" i="32" s="1"/>
  <c r="D183" i="32" s="1"/>
  <c r="D202" i="32" s="1"/>
  <c r="D221" i="32" s="1"/>
  <c r="D240" i="32" s="1"/>
  <c r="D259" i="32" s="1"/>
  <c r="D278" i="32" s="1"/>
  <c r="D297" i="32" s="1"/>
  <c r="D316" i="32" s="1"/>
  <c r="D335" i="32" s="1"/>
  <c r="D354" i="32" s="1"/>
  <c r="D373" i="32" s="1"/>
  <c r="D392" i="32" s="1"/>
  <c r="D411" i="32" s="1"/>
  <c r="D430" i="32" s="1"/>
  <c r="D449" i="32" s="1"/>
  <c r="D468" i="32" s="1"/>
  <c r="D487" i="32" s="1"/>
  <c r="D506" i="32" s="1"/>
  <c r="D525" i="32" s="1"/>
  <c r="D544" i="32" s="1"/>
  <c r="D563" i="32" s="1"/>
  <c r="D582" i="32" s="1"/>
  <c r="D601" i="32" s="1"/>
  <c r="D620" i="32" s="1"/>
  <c r="D639" i="32" s="1"/>
  <c r="D658" i="32" s="1"/>
  <c r="D677" i="32" s="1"/>
  <c r="D696" i="32" s="1"/>
  <c r="D715" i="32" s="1"/>
  <c r="D734" i="32" s="1"/>
  <c r="D753" i="32" s="1"/>
  <c r="D772" i="32" s="1"/>
  <c r="D791" i="32" s="1"/>
  <c r="D810" i="32" s="1"/>
  <c r="D829" i="32" s="1"/>
  <c r="D848" i="32" s="1"/>
  <c r="D867" i="32" s="1"/>
  <c r="D886" i="32" s="1"/>
  <c r="D905" i="32" s="1"/>
  <c r="D924" i="32" s="1"/>
  <c r="D943" i="32" s="1"/>
  <c r="D962" i="32" s="1"/>
  <c r="D981" i="32" s="1"/>
  <c r="D1000" i="32" s="1"/>
  <c r="D1019" i="32" s="1"/>
  <c r="D1038" i="32" s="1"/>
  <c r="D1057" i="32" s="1"/>
  <c r="D1076" i="32" s="1"/>
  <c r="D1095" i="32" s="1"/>
  <c r="D1114" i="32" s="1"/>
  <c r="D1133" i="32" s="1"/>
  <c r="D1152" i="32" s="1"/>
  <c r="D1171" i="32" s="1"/>
  <c r="D1190" i="32" s="1"/>
  <c r="D1209" i="32" s="1"/>
  <c r="D1228" i="32" s="1"/>
  <c r="D1247" i="32" s="1"/>
  <c r="D1266" i="32" s="1"/>
  <c r="D1285" i="32" s="1"/>
  <c r="D1304" i="32" s="1"/>
  <c r="D1323" i="32" s="1"/>
  <c r="D1342" i="32" s="1"/>
  <c r="D1361" i="32" s="1"/>
  <c r="D1380" i="32" s="1"/>
  <c r="D1399" i="32" s="1"/>
  <c r="D1418" i="32" s="1"/>
  <c r="D1437" i="32" s="1"/>
  <c r="D1456" i="32" s="1"/>
  <c r="D1475" i="32" s="1"/>
  <c r="D1494" i="32" s="1"/>
  <c r="D1513" i="32" s="1"/>
  <c r="D1532" i="32" s="1"/>
  <c r="D1551" i="32" s="1"/>
  <c r="D1570" i="32" s="1"/>
  <c r="D1589" i="32" s="1"/>
  <c r="D1608" i="32" s="1"/>
  <c r="D1627" i="32" s="1"/>
  <c r="D1646" i="32" s="1"/>
  <c r="D1665" i="32" s="1"/>
  <c r="D1684" i="32" s="1"/>
  <c r="D1703" i="32" s="1"/>
  <c r="D1722" i="32" s="1"/>
  <c r="D1741" i="32" s="1"/>
  <c r="D1760" i="32" s="1"/>
  <c r="D1779" i="32" s="1"/>
  <c r="D1798" i="32" s="1"/>
  <c r="D1817" i="32" s="1"/>
  <c r="D1836" i="32" s="1"/>
  <c r="H142" i="32"/>
  <c r="I142" i="32" s="1"/>
  <c r="H136" i="32"/>
  <c r="I136" i="32" s="1"/>
  <c r="H128" i="32"/>
  <c r="I128" i="32" s="1"/>
  <c r="H126" i="32"/>
  <c r="I126" i="32" s="1"/>
  <c r="D126" i="32"/>
  <c r="H124" i="32"/>
  <c r="I124" i="32" s="1"/>
  <c r="K123" i="32"/>
  <c r="D119" i="32"/>
  <c r="D138" i="32" s="1"/>
  <c r="D157" i="32" s="1"/>
  <c r="D176" i="32" s="1"/>
  <c r="D195" i="32" s="1"/>
  <c r="D214" i="32" s="1"/>
  <c r="D233" i="32" s="1"/>
  <c r="D252" i="32" s="1"/>
  <c r="D271" i="32" s="1"/>
  <c r="D290" i="32" s="1"/>
  <c r="D309" i="32" s="1"/>
  <c r="D328" i="32" s="1"/>
  <c r="D347" i="32" s="1"/>
  <c r="D366" i="32" s="1"/>
  <c r="D385" i="32" s="1"/>
  <c r="D404" i="32" s="1"/>
  <c r="D423" i="32" s="1"/>
  <c r="D442" i="32" s="1"/>
  <c r="D461" i="32" s="1"/>
  <c r="D480" i="32" s="1"/>
  <c r="D499" i="32" s="1"/>
  <c r="D518" i="32" s="1"/>
  <c r="D537" i="32" s="1"/>
  <c r="D556" i="32" s="1"/>
  <c r="D575" i="32" s="1"/>
  <c r="D594" i="32" s="1"/>
  <c r="D613" i="32" s="1"/>
  <c r="D632" i="32" s="1"/>
  <c r="D651" i="32" s="1"/>
  <c r="D670" i="32" s="1"/>
  <c r="D689" i="32" s="1"/>
  <c r="D708" i="32" s="1"/>
  <c r="D727" i="32" s="1"/>
  <c r="D746" i="32" s="1"/>
  <c r="D765" i="32" s="1"/>
  <c r="D784" i="32" s="1"/>
  <c r="D803" i="32" s="1"/>
  <c r="D822" i="32" s="1"/>
  <c r="D841" i="32" s="1"/>
  <c r="D860" i="32" s="1"/>
  <c r="D879" i="32" s="1"/>
  <c r="D898" i="32" s="1"/>
  <c r="D917" i="32" s="1"/>
  <c r="D936" i="32" s="1"/>
  <c r="D955" i="32" s="1"/>
  <c r="D974" i="32" s="1"/>
  <c r="D993" i="32" s="1"/>
  <c r="D1012" i="32" s="1"/>
  <c r="D1031" i="32" s="1"/>
  <c r="D1050" i="32" s="1"/>
  <c r="D1069" i="32" s="1"/>
  <c r="D1088" i="32" s="1"/>
  <c r="D1107" i="32" s="1"/>
  <c r="D1126" i="32" s="1"/>
  <c r="D1145" i="32" s="1"/>
  <c r="D1164" i="32" s="1"/>
  <c r="D1183" i="32" s="1"/>
  <c r="D1202" i="32" s="1"/>
  <c r="D1221" i="32" s="1"/>
  <c r="D1240" i="32" s="1"/>
  <c r="D1259" i="32" s="1"/>
  <c r="D1278" i="32" s="1"/>
  <c r="D1297" i="32" s="1"/>
  <c r="D1316" i="32" s="1"/>
  <c r="D1335" i="32" s="1"/>
  <c r="D1354" i="32" s="1"/>
  <c r="D1373" i="32" s="1"/>
  <c r="D1392" i="32" s="1"/>
  <c r="D1411" i="32" s="1"/>
  <c r="D1430" i="32" s="1"/>
  <c r="D1449" i="32" s="1"/>
  <c r="D1468" i="32" s="1"/>
  <c r="D1487" i="32" s="1"/>
  <c r="D1506" i="32" s="1"/>
  <c r="D1525" i="32" s="1"/>
  <c r="D1544" i="32" s="1"/>
  <c r="D1563" i="32" s="1"/>
  <c r="D1582" i="32" s="1"/>
  <c r="D1601" i="32" s="1"/>
  <c r="D1620" i="32" s="1"/>
  <c r="D1639" i="32" s="1"/>
  <c r="D1658" i="32" s="1"/>
  <c r="D1677" i="32" s="1"/>
  <c r="D1696" i="32" s="1"/>
  <c r="D1715" i="32" s="1"/>
  <c r="D1734" i="32" s="1"/>
  <c r="D1753" i="32" s="1"/>
  <c r="D1772" i="32" s="1"/>
  <c r="D1791" i="32" s="1"/>
  <c r="D1810" i="32" s="1"/>
  <c r="D1829" i="32" s="1"/>
  <c r="H118" i="32"/>
  <c r="I118" i="32" s="1"/>
  <c r="D112" i="32"/>
  <c r="D107" i="32"/>
  <c r="H106" i="32"/>
  <c r="I106" i="32" s="1"/>
  <c r="H100" i="32"/>
  <c r="I100" i="32" s="1"/>
  <c r="D93" i="32"/>
  <c r="A93" i="32"/>
  <c r="B93" i="32" s="1"/>
  <c r="H92" i="32"/>
  <c r="I92" i="32" s="1"/>
  <c r="H90" i="32"/>
  <c r="I90" i="32" s="1"/>
  <c r="H88" i="32"/>
  <c r="I88" i="32" s="1"/>
  <c r="H87" i="32"/>
  <c r="I87" i="32" s="1"/>
  <c r="H82" i="32"/>
  <c r="I82" i="32" s="1"/>
  <c r="D80" i="32"/>
  <c r="D99" i="32" s="1"/>
  <c r="D118" i="32" s="1"/>
  <c r="D137" i="32" s="1"/>
  <c r="D156" i="32" s="1"/>
  <c r="D175" i="32" s="1"/>
  <c r="D194" i="32" s="1"/>
  <c r="D76" i="32"/>
  <c r="A74" i="32"/>
  <c r="B74" i="32" s="1"/>
  <c r="H70" i="32"/>
  <c r="I70" i="32" s="1"/>
  <c r="H69" i="32"/>
  <c r="I69" i="32" s="1"/>
  <c r="D69" i="32"/>
  <c r="D88" i="32" s="1"/>
  <c r="D68" i="32"/>
  <c r="H64" i="32"/>
  <c r="I64" i="32" s="1"/>
  <c r="K61" i="32"/>
  <c r="A59" i="32"/>
  <c r="B59" i="32" s="1"/>
  <c r="D57" i="32"/>
  <c r="A57" i="32" s="1"/>
  <c r="B57" i="32" s="1"/>
  <c r="H56" i="32"/>
  <c r="I56" i="32" s="1"/>
  <c r="A55" i="32"/>
  <c r="B55" i="32" s="1"/>
  <c r="H54" i="32"/>
  <c r="I54" i="32" s="1"/>
  <c r="D54" i="32"/>
  <c r="D73" i="32" s="1"/>
  <c r="A54" i="32"/>
  <c r="B54" i="32" s="1"/>
  <c r="K53" i="32"/>
  <c r="H52" i="32"/>
  <c r="I52" i="32" s="1"/>
  <c r="K51" i="32"/>
  <c r="K69" i="32" s="1"/>
  <c r="K87" i="32" s="1"/>
  <c r="K105" i="32" s="1"/>
  <c r="H105" i="32" s="1"/>
  <c r="I105" i="32" s="1"/>
  <c r="I51" i="32"/>
  <c r="H51" i="32"/>
  <c r="D51" i="32"/>
  <c r="K49" i="32"/>
  <c r="D49" i="32"/>
  <c r="A49" i="32"/>
  <c r="B49" i="32" s="1"/>
  <c r="K47" i="32"/>
  <c r="K65" i="32" s="1"/>
  <c r="K83" i="32" s="1"/>
  <c r="K101" i="32" s="1"/>
  <c r="K119" i="32" s="1"/>
  <c r="K137" i="32" s="1"/>
  <c r="K155" i="32" s="1"/>
  <c r="K173" i="32" s="1"/>
  <c r="K191" i="32" s="1"/>
  <c r="K209" i="32" s="1"/>
  <c r="K227" i="32" s="1"/>
  <c r="K245" i="32" s="1"/>
  <c r="K263" i="32" s="1"/>
  <c r="K281" i="32" s="1"/>
  <c r="K299" i="32" s="1"/>
  <c r="K317" i="32" s="1"/>
  <c r="K335" i="32" s="1"/>
  <c r="K353" i="32" s="1"/>
  <c r="K371" i="32" s="1"/>
  <c r="K389" i="32" s="1"/>
  <c r="K407" i="32" s="1"/>
  <c r="K425" i="32" s="1"/>
  <c r="K443" i="32" s="1"/>
  <c r="K461" i="32" s="1"/>
  <c r="K479" i="32" s="1"/>
  <c r="K497" i="32" s="1"/>
  <c r="K515" i="32" s="1"/>
  <c r="K533" i="32" s="1"/>
  <c r="K551" i="32" s="1"/>
  <c r="K569" i="32" s="1"/>
  <c r="K587" i="32" s="1"/>
  <c r="K605" i="32" s="1"/>
  <c r="K623" i="32" s="1"/>
  <c r="K641" i="32" s="1"/>
  <c r="K659" i="32" s="1"/>
  <c r="K677" i="32" s="1"/>
  <c r="K695" i="32" s="1"/>
  <c r="K713" i="32" s="1"/>
  <c r="K731" i="32" s="1"/>
  <c r="K749" i="32" s="1"/>
  <c r="K767" i="32" s="1"/>
  <c r="K785" i="32" s="1"/>
  <c r="K803" i="32" s="1"/>
  <c r="K821" i="32" s="1"/>
  <c r="K839" i="32" s="1"/>
  <c r="K857" i="32" s="1"/>
  <c r="K875" i="32" s="1"/>
  <c r="K893" i="32" s="1"/>
  <c r="K911" i="32" s="1"/>
  <c r="K929" i="32" s="1"/>
  <c r="K947" i="32" s="1"/>
  <c r="K965" i="32" s="1"/>
  <c r="K983" i="32" s="1"/>
  <c r="K1001" i="32" s="1"/>
  <c r="K1019" i="32" s="1"/>
  <c r="K1037" i="32" s="1"/>
  <c r="K1055" i="32" s="1"/>
  <c r="K1073" i="32" s="1"/>
  <c r="K1091" i="32" s="1"/>
  <c r="K1109" i="32" s="1"/>
  <c r="K1127" i="32" s="1"/>
  <c r="K1145" i="32" s="1"/>
  <c r="K1163" i="32" s="1"/>
  <c r="K1181" i="32" s="1"/>
  <c r="K1199" i="32" s="1"/>
  <c r="K1217" i="32" s="1"/>
  <c r="K1235" i="32" s="1"/>
  <c r="K1253" i="32" s="1"/>
  <c r="K1271" i="32" s="1"/>
  <c r="K1289" i="32" s="1"/>
  <c r="K1307" i="32" s="1"/>
  <c r="K1325" i="32" s="1"/>
  <c r="K1343" i="32" s="1"/>
  <c r="K1361" i="32" s="1"/>
  <c r="K1379" i="32" s="1"/>
  <c r="K1397" i="32" s="1"/>
  <c r="K1415" i="32" s="1"/>
  <c r="K1433" i="32" s="1"/>
  <c r="K1451" i="32" s="1"/>
  <c r="K1469" i="32" s="1"/>
  <c r="K1487" i="32" s="1"/>
  <c r="K1505" i="32" s="1"/>
  <c r="K1523" i="32" s="1"/>
  <c r="K1541" i="32" s="1"/>
  <c r="K1559" i="32" s="1"/>
  <c r="K1577" i="32" s="1"/>
  <c r="K1595" i="32" s="1"/>
  <c r="K1613" i="32" s="1"/>
  <c r="K1631" i="32" s="1"/>
  <c r="K1649" i="32" s="1"/>
  <c r="K1667" i="32" s="1"/>
  <c r="K1685" i="32" s="1"/>
  <c r="K1703" i="32" s="1"/>
  <c r="K1721" i="32" s="1"/>
  <c r="K1739" i="32" s="1"/>
  <c r="H47" i="32"/>
  <c r="I47" i="32" s="1"/>
  <c r="D47" i="32"/>
  <c r="H46" i="32"/>
  <c r="I46" i="32" s="1"/>
  <c r="H44" i="32"/>
  <c r="I44" i="32" s="1"/>
  <c r="D44" i="32"/>
  <c r="D63" i="32" s="1"/>
  <c r="D82" i="32" s="1"/>
  <c r="D101" i="32" s="1"/>
  <c r="D120" i="32" s="1"/>
  <c r="D139" i="32" s="1"/>
  <c r="D158" i="32" s="1"/>
  <c r="D177" i="32" s="1"/>
  <c r="D196" i="32" s="1"/>
  <c r="D215" i="32" s="1"/>
  <c r="D234" i="32" s="1"/>
  <c r="D253" i="32" s="1"/>
  <c r="D272" i="32" s="1"/>
  <c r="H42" i="32"/>
  <c r="I42" i="32" s="1"/>
  <c r="D42" i="32"/>
  <c r="D61" i="32" s="1"/>
  <c r="K41" i="32"/>
  <c r="K59" i="32" s="1"/>
  <c r="K77" i="32" s="1"/>
  <c r="K95" i="32" s="1"/>
  <c r="K113" i="32" s="1"/>
  <c r="K131" i="32" s="1"/>
  <c r="K149" i="32" s="1"/>
  <c r="K167" i="32" s="1"/>
  <c r="K185" i="32" s="1"/>
  <c r="K203" i="32" s="1"/>
  <c r="K221" i="32" s="1"/>
  <c r="K239" i="32" s="1"/>
  <c r="K257" i="32" s="1"/>
  <c r="K275" i="32" s="1"/>
  <c r="K293" i="32" s="1"/>
  <c r="K311" i="32" s="1"/>
  <c r="K329" i="32" s="1"/>
  <c r="K347" i="32" s="1"/>
  <c r="K365" i="32" s="1"/>
  <c r="K383" i="32" s="1"/>
  <c r="K401" i="32" s="1"/>
  <c r="K419" i="32" s="1"/>
  <c r="K437" i="32" s="1"/>
  <c r="K455" i="32" s="1"/>
  <c r="K473" i="32" s="1"/>
  <c r="K491" i="32" s="1"/>
  <c r="K509" i="32" s="1"/>
  <c r="K527" i="32" s="1"/>
  <c r="H40" i="32"/>
  <c r="I40" i="32" s="1"/>
  <c r="D40" i="32"/>
  <c r="D59" i="32" s="1"/>
  <c r="D78" i="32" s="1"/>
  <c r="A40" i="32"/>
  <c r="B40" i="32" s="1"/>
  <c r="K39" i="32"/>
  <c r="K57" i="32" s="1"/>
  <c r="H39" i="32"/>
  <c r="I39" i="32" s="1"/>
  <c r="D39" i="32"/>
  <c r="A39" i="32" s="1"/>
  <c r="B39" i="32" s="1"/>
  <c r="K38" i="32"/>
  <c r="K56" i="32" s="1"/>
  <c r="K74" i="32" s="1"/>
  <c r="K92" i="32" s="1"/>
  <c r="K110" i="32" s="1"/>
  <c r="K128" i="32" s="1"/>
  <c r="K146" i="32" s="1"/>
  <c r="K164" i="32" s="1"/>
  <c r="K182" i="32" s="1"/>
  <c r="K200" i="32" s="1"/>
  <c r="K218" i="32" s="1"/>
  <c r="K236" i="32" s="1"/>
  <c r="K254" i="32" s="1"/>
  <c r="H254" i="32" s="1"/>
  <c r="I254" i="32" s="1"/>
  <c r="H38" i="32"/>
  <c r="I38" i="32" s="1"/>
  <c r="D38" i="32"/>
  <c r="A38" i="32"/>
  <c r="B38" i="32" s="1"/>
  <c r="K37" i="32"/>
  <c r="K55" i="32" s="1"/>
  <c r="I37" i="32"/>
  <c r="H37" i="32"/>
  <c r="D37" i="32"/>
  <c r="K36" i="32"/>
  <c r="K54" i="32" s="1"/>
  <c r="K72" i="32" s="1"/>
  <c r="K90" i="32" s="1"/>
  <c r="K108" i="32" s="1"/>
  <c r="K126" i="32" s="1"/>
  <c r="K144" i="32" s="1"/>
  <c r="K162" i="32" s="1"/>
  <c r="K180" i="32" s="1"/>
  <c r="K198" i="32" s="1"/>
  <c r="K216" i="32" s="1"/>
  <c r="K234" i="32" s="1"/>
  <c r="K252" i="32" s="1"/>
  <c r="H252" i="32" s="1"/>
  <c r="I252" i="32" s="1"/>
  <c r="H36" i="32"/>
  <c r="I36" i="32" s="1"/>
  <c r="D36" i="32"/>
  <c r="D55" i="32" s="1"/>
  <c r="D74" i="32" s="1"/>
  <c r="A36" i="32"/>
  <c r="B36" i="32" s="1"/>
  <c r="K35" i="32"/>
  <c r="I35" i="32"/>
  <c r="H35" i="32"/>
  <c r="D35" i="32"/>
  <c r="B35" i="32"/>
  <c r="A35" i="32"/>
  <c r="K34" i="32"/>
  <c r="K52" i="32" s="1"/>
  <c r="K70" i="32" s="1"/>
  <c r="K88" i="32" s="1"/>
  <c r="K106" i="32" s="1"/>
  <c r="K124" i="32" s="1"/>
  <c r="K142" i="32" s="1"/>
  <c r="K160" i="32" s="1"/>
  <c r="K178" i="32" s="1"/>
  <c r="K196" i="32" s="1"/>
  <c r="K214" i="32" s="1"/>
  <c r="K232" i="32" s="1"/>
  <c r="K250" i="32" s="1"/>
  <c r="H34" i="32"/>
  <c r="I34" i="32" s="1"/>
  <c r="D34" i="32"/>
  <c r="D53" i="32" s="1"/>
  <c r="A34" i="32"/>
  <c r="B34" i="32" s="1"/>
  <c r="K33" i="32"/>
  <c r="H33" i="32"/>
  <c r="I33" i="32" s="1"/>
  <c r="D33" i="32"/>
  <c r="K32" i="32"/>
  <c r="K50" i="32" s="1"/>
  <c r="H32" i="32"/>
  <c r="I32" i="32" s="1"/>
  <c r="D32" i="32"/>
  <c r="A32" i="32"/>
  <c r="B32" i="32" s="1"/>
  <c r="K31" i="32"/>
  <c r="H31" i="32" s="1"/>
  <c r="I31" i="32" s="1"/>
  <c r="D31" i="32"/>
  <c r="D50" i="32" s="1"/>
  <c r="A31" i="32"/>
  <c r="B31" i="32" s="1"/>
  <c r="K30" i="32"/>
  <c r="K48" i="32" s="1"/>
  <c r="H30" i="32"/>
  <c r="I30" i="32" s="1"/>
  <c r="D30" i="32"/>
  <c r="A30" i="32"/>
  <c r="B30" i="32" s="1"/>
  <c r="K29" i="32"/>
  <c r="H29" i="32"/>
  <c r="I29" i="32" s="1"/>
  <c r="D29" i="32"/>
  <c r="D48" i="32" s="1"/>
  <c r="A29" i="32"/>
  <c r="B29" i="32" s="1"/>
  <c r="K28" i="32"/>
  <c r="K46" i="32" s="1"/>
  <c r="K64" i="32" s="1"/>
  <c r="K82" i="32" s="1"/>
  <c r="K100" i="32" s="1"/>
  <c r="K118" i="32" s="1"/>
  <c r="K136" i="32" s="1"/>
  <c r="K154" i="32" s="1"/>
  <c r="K172" i="32" s="1"/>
  <c r="K190" i="32" s="1"/>
  <c r="K208" i="32" s="1"/>
  <c r="K226" i="32" s="1"/>
  <c r="K244" i="32" s="1"/>
  <c r="K262" i="32" s="1"/>
  <c r="K280" i="32" s="1"/>
  <c r="H280" i="32" s="1"/>
  <c r="I280" i="32" s="1"/>
  <c r="H28" i="32"/>
  <c r="I28" i="32" s="1"/>
  <c r="D28" i="32"/>
  <c r="A28" i="32" s="1"/>
  <c r="B28" i="32" s="1"/>
  <c r="K27" i="32"/>
  <c r="K45" i="32" s="1"/>
  <c r="H27" i="32"/>
  <c r="I27" i="32" s="1"/>
  <c r="D27" i="32"/>
  <c r="D46" i="32" s="1"/>
  <c r="B27" i="32"/>
  <c r="A27" i="32"/>
  <c r="K26" i="32"/>
  <c r="K44" i="32" s="1"/>
  <c r="K62" i="32" s="1"/>
  <c r="H26" i="32"/>
  <c r="I26" i="32" s="1"/>
  <c r="D26" i="32"/>
  <c r="A26" i="32" s="1"/>
  <c r="A24" i="32" s="1"/>
  <c r="B24" i="32" s="1"/>
  <c r="B26" i="32"/>
  <c r="K25" i="32"/>
  <c r="K43" i="32" s="1"/>
  <c r="H43" i="32" s="1"/>
  <c r="H25" i="32"/>
  <c r="I25" i="32" s="1"/>
  <c r="D25" i="32"/>
  <c r="B25" i="32"/>
  <c r="A25" i="32"/>
  <c r="K24" i="32"/>
  <c r="K42" i="32" s="1"/>
  <c r="K60" i="32" s="1"/>
  <c r="K78" i="32" s="1"/>
  <c r="K96" i="32" s="1"/>
  <c r="K114" i="32" s="1"/>
  <c r="K132" i="32" s="1"/>
  <c r="K150" i="32" s="1"/>
  <c r="K168" i="32" s="1"/>
  <c r="K186" i="32" s="1"/>
  <c r="K204" i="32" s="1"/>
  <c r="K222" i="32" s="1"/>
  <c r="K240" i="32" s="1"/>
  <c r="K258" i="32" s="1"/>
  <c r="K276" i="32" s="1"/>
  <c r="K294" i="32" s="1"/>
  <c r="K312" i="32" s="1"/>
  <c r="K330" i="32" s="1"/>
  <c r="H24" i="32"/>
  <c r="I24" i="32" s="1"/>
  <c r="D24" i="32"/>
  <c r="D43" i="32" s="1"/>
  <c r="D62" i="32" s="1"/>
  <c r="D81" i="32" s="1"/>
  <c r="D100" i="32" s="1"/>
  <c r="K23" i="32"/>
  <c r="D23" i="32"/>
  <c r="A23" i="32"/>
  <c r="B23" i="32" s="1"/>
  <c r="K22" i="32"/>
  <c r="K40" i="32" s="1"/>
  <c r="K58" i="32" s="1"/>
  <c r="K76" i="32" s="1"/>
  <c r="K94" i="32" s="1"/>
  <c r="K112" i="32" s="1"/>
  <c r="K130" i="32" s="1"/>
  <c r="K148" i="32" s="1"/>
  <c r="K166" i="32" s="1"/>
  <c r="K184" i="32" s="1"/>
  <c r="K202" i="32" s="1"/>
  <c r="K220" i="32" s="1"/>
  <c r="K238" i="32" s="1"/>
  <c r="K256" i="32" s="1"/>
  <c r="K274" i="32" s="1"/>
  <c r="K292" i="32" s="1"/>
  <c r="K310" i="32" s="1"/>
  <c r="K328" i="32" s="1"/>
  <c r="K346" i="32" s="1"/>
  <c r="K364" i="32" s="1"/>
  <c r="K382" i="32" s="1"/>
  <c r="K400" i="32" s="1"/>
  <c r="K418" i="32" s="1"/>
  <c r="K436" i="32" s="1"/>
  <c r="K454" i="32" s="1"/>
  <c r="K472" i="32" s="1"/>
  <c r="K490" i="32" s="1"/>
  <c r="K508" i="32" s="1"/>
  <c r="K526" i="32" s="1"/>
  <c r="K544" i="32" s="1"/>
  <c r="K562" i="32" s="1"/>
  <c r="K580" i="32" s="1"/>
  <c r="K598" i="32" s="1"/>
  <c r="K616" i="32" s="1"/>
  <c r="K634" i="32" s="1"/>
  <c r="K652" i="32" s="1"/>
  <c r="K670" i="32" s="1"/>
  <c r="K688" i="32" s="1"/>
  <c r="K706" i="32" s="1"/>
  <c r="K724" i="32" s="1"/>
  <c r="K742" i="32" s="1"/>
  <c r="K760" i="32" s="1"/>
  <c r="K778" i="32" s="1"/>
  <c r="K796" i="32" s="1"/>
  <c r="K814" i="32" s="1"/>
  <c r="K832" i="32" s="1"/>
  <c r="K850" i="32" s="1"/>
  <c r="K868" i="32" s="1"/>
  <c r="K886" i="32" s="1"/>
  <c r="K904" i="32" s="1"/>
  <c r="K922" i="32" s="1"/>
  <c r="K940" i="32" s="1"/>
  <c r="K958" i="32" s="1"/>
  <c r="K976" i="32" s="1"/>
  <c r="K994" i="32" s="1"/>
  <c r="K1012" i="32" s="1"/>
  <c r="K1030" i="32" s="1"/>
  <c r="K1048" i="32" s="1"/>
  <c r="K1066" i="32" s="1"/>
  <c r="K1084" i="32" s="1"/>
  <c r="K1102" i="32" s="1"/>
  <c r="K1120" i="32" s="1"/>
  <c r="K1138" i="32" s="1"/>
  <c r="K1156" i="32" s="1"/>
  <c r="K1174" i="32" s="1"/>
  <c r="K1192" i="32" s="1"/>
  <c r="K1210" i="32" s="1"/>
  <c r="K1228" i="32" s="1"/>
  <c r="K1246" i="32" s="1"/>
  <c r="K1264" i="32" s="1"/>
  <c r="K1282" i="32" s="1"/>
  <c r="K1300" i="32" s="1"/>
  <c r="K1318" i="32" s="1"/>
  <c r="K1336" i="32" s="1"/>
  <c r="K1354" i="32" s="1"/>
  <c r="K1372" i="32" s="1"/>
  <c r="K1390" i="32" s="1"/>
  <c r="K1408" i="32" s="1"/>
  <c r="K1426" i="32" s="1"/>
  <c r="K1444" i="32" s="1"/>
  <c r="K1462" i="32" s="1"/>
  <c r="K1480" i="32" s="1"/>
  <c r="K1498" i="32" s="1"/>
  <c r="K1516" i="32" s="1"/>
  <c r="K1534" i="32" s="1"/>
  <c r="K1552" i="32" s="1"/>
  <c r="K1570" i="32" s="1"/>
  <c r="K1588" i="32" s="1"/>
  <c r="K1606" i="32" s="1"/>
  <c r="K1624" i="32" s="1"/>
  <c r="K1642" i="32" s="1"/>
  <c r="K1660" i="32" s="1"/>
  <c r="K1678" i="32" s="1"/>
  <c r="K1696" i="32" s="1"/>
  <c r="K1714" i="32" s="1"/>
  <c r="K1732" i="32" s="1"/>
  <c r="H22" i="32"/>
  <c r="I22" i="32" s="1"/>
  <c r="D22" i="32"/>
  <c r="D41" i="32" s="1"/>
  <c r="A22" i="32"/>
  <c r="B22" i="32" s="1"/>
  <c r="K21" i="32"/>
  <c r="H21" i="32" s="1"/>
  <c r="I21" i="32" s="1"/>
  <c r="A21" i="32"/>
  <c r="B21" i="32" s="1"/>
  <c r="I20" i="32"/>
  <c r="H20" i="32"/>
  <c r="A20" i="32"/>
  <c r="B20" i="32" s="1"/>
  <c r="H19" i="32"/>
  <c r="I19" i="32" s="1"/>
  <c r="B19" i="32"/>
  <c r="A19" i="32"/>
  <c r="I18" i="32"/>
  <c r="H18" i="32"/>
  <c r="A18" i="32"/>
  <c r="B18" i="32" s="1"/>
  <c r="I17" i="32"/>
  <c r="H17" i="32"/>
  <c r="A17" i="32"/>
  <c r="B17" i="32" s="1"/>
  <c r="H16" i="32"/>
  <c r="I16" i="32" s="1"/>
  <c r="A16" i="32"/>
  <c r="B16" i="32" s="1"/>
  <c r="I15" i="32"/>
  <c r="H15" i="32"/>
  <c r="A15" i="32"/>
  <c r="B15" i="32" s="1"/>
  <c r="I14" i="32"/>
  <c r="H14" i="32"/>
  <c r="A14" i="32"/>
  <c r="B14" i="32" s="1"/>
  <c r="I13" i="32"/>
  <c r="H13" i="32"/>
  <c r="A13" i="32"/>
  <c r="B13" i="32" s="1"/>
  <c r="H12" i="32"/>
  <c r="I12" i="32" s="1"/>
  <c r="A11" i="32"/>
  <c r="B11" i="32" s="1"/>
  <c r="H10" i="32"/>
  <c r="I10" i="32" s="1"/>
  <c r="B10" i="32"/>
  <c r="A10" i="32"/>
  <c r="H9" i="32"/>
  <c r="I9" i="32" s="1"/>
  <c r="A9" i="32"/>
  <c r="B9" i="32" s="1"/>
  <c r="I8" i="32"/>
  <c r="H8" i="32"/>
  <c r="A8" i="32"/>
  <c r="B8" i="32" s="1"/>
  <c r="H7" i="32"/>
  <c r="B7" i="32"/>
  <c r="A7" i="32"/>
  <c r="H6" i="32"/>
  <c r="I6" i="32" s="1"/>
  <c r="B6" i="32"/>
  <c r="A6" i="32"/>
  <c r="H3" i="32"/>
  <c r="I3" i="32" s="1"/>
  <c r="B3" i="32"/>
  <c r="A3" i="32"/>
  <c r="K15" i="17" l="1"/>
  <c r="K16" i="17"/>
  <c r="K13" i="17"/>
  <c r="K14" i="17"/>
  <c r="K11" i="17"/>
  <c r="K12" i="17"/>
  <c r="G8" i="21"/>
  <c r="K10" i="17"/>
  <c r="B13" i="21"/>
  <c r="B14" i="21" s="1"/>
  <c r="K9" i="17"/>
  <c r="M23" i="35"/>
  <c r="M11" i="35"/>
  <c r="M9" i="35"/>
  <c r="M7" i="35"/>
  <c r="M22" i="35"/>
  <c r="M10" i="35"/>
  <c r="M21" i="35"/>
  <c r="M6" i="35"/>
  <c r="M20" i="35"/>
  <c r="M8" i="35"/>
  <c r="M19" i="35"/>
  <c r="M18" i="35"/>
  <c r="M17" i="35"/>
  <c r="M16" i="35"/>
  <c r="M15" i="35"/>
  <c r="M14" i="35"/>
  <c r="M13" i="35"/>
  <c r="M12" i="35"/>
  <c r="K8" i="35"/>
  <c r="K7" i="35"/>
  <c r="K6" i="35"/>
  <c r="K8" i="33"/>
  <c r="K8" i="34"/>
  <c r="K7" i="34"/>
  <c r="K6" i="34"/>
  <c r="K6" i="33"/>
  <c r="K7" i="33"/>
  <c r="M23" i="33"/>
  <c r="M11" i="33"/>
  <c r="M9" i="33"/>
  <c r="M22" i="33"/>
  <c r="M10" i="33"/>
  <c r="M21" i="33"/>
  <c r="M20" i="33"/>
  <c r="M8" i="33"/>
  <c r="M19" i="33"/>
  <c r="M7" i="33"/>
  <c r="M18" i="33"/>
  <c r="M6" i="33"/>
  <c r="M17" i="33"/>
  <c r="M16" i="33"/>
  <c r="M15" i="33"/>
  <c r="M14" i="33"/>
  <c r="M13" i="33"/>
  <c r="M12" i="33"/>
  <c r="M23" i="34"/>
  <c r="M11" i="34"/>
  <c r="M22" i="34"/>
  <c r="M10" i="34"/>
  <c r="M21" i="34"/>
  <c r="M9" i="34"/>
  <c r="M20" i="34"/>
  <c r="M8" i="34"/>
  <c r="M6" i="34"/>
  <c r="M19" i="34"/>
  <c r="M7" i="34"/>
  <c r="M18" i="34"/>
  <c r="M17" i="34"/>
  <c r="M16" i="34"/>
  <c r="M15" i="34"/>
  <c r="M14" i="34"/>
  <c r="M13" i="34"/>
  <c r="M12" i="34"/>
  <c r="M5" i="34"/>
  <c r="M5" i="35"/>
  <c r="K8" i="17"/>
  <c r="M5" i="33"/>
  <c r="M5" i="17"/>
  <c r="M23" i="17"/>
  <c r="M11" i="17"/>
  <c r="M8" i="17"/>
  <c r="M6" i="17"/>
  <c r="M22" i="17"/>
  <c r="M10" i="17"/>
  <c r="M19" i="17"/>
  <c r="M18" i="17"/>
  <c r="M12" i="17"/>
  <c r="M21" i="17"/>
  <c r="M9" i="17"/>
  <c r="M20" i="17"/>
  <c r="M7" i="17"/>
  <c r="M17" i="17"/>
  <c r="M16" i="17"/>
  <c r="M13" i="17"/>
  <c r="M15" i="17"/>
  <c r="M14" i="17"/>
  <c r="K7" i="17"/>
  <c r="K5" i="35"/>
  <c r="K6" i="17"/>
  <c r="K5" i="33"/>
  <c r="K5" i="34"/>
  <c r="K5" i="17"/>
  <c r="D52" i="32"/>
  <c r="A33" i="32"/>
  <c r="B33" i="32" s="1"/>
  <c r="D87" i="32"/>
  <c r="A68" i="32"/>
  <c r="B68" i="32" s="1"/>
  <c r="H57" i="32"/>
  <c r="I57" i="32" s="1"/>
  <c r="K75" i="32"/>
  <c r="D92" i="32"/>
  <c r="A73" i="32"/>
  <c r="B73" i="32" s="1"/>
  <c r="K63" i="32"/>
  <c r="H45" i="32"/>
  <c r="I45" i="32" s="1"/>
  <c r="D95" i="32"/>
  <c r="A76" i="32"/>
  <c r="B76" i="32" s="1"/>
  <c r="K324" i="32"/>
  <c r="H306" i="32"/>
  <c r="I306" i="32" s="1"/>
  <c r="H53" i="32"/>
  <c r="I53" i="32" s="1"/>
  <c r="K71" i="32"/>
  <c r="K79" i="32"/>
  <c r="H61" i="32"/>
  <c r="K316" i="32"/>
  <c r="H298" i="32"/>
  <c r="I298" i="32" s="1"/>
  <c r="D131" i="32"/>
  <c r="A112" i="32"/>
  <c r="B112" i="32" s="1"/>
  <c r="H286" i="32"/>
  <c r="I286" i="32" s="1"/>
  <c r="K304" i="32"/>
  <c r="K67" i="32"/>
  <c r="H49" i="32"/>
  <c r="I49" i="32" s="1"/>
  <c r="K141" i="32"/>
  <c r="H123" i="32"/>
  <c r="I123" i="32" s="1"/>
  <c r="D65" i="32"/>
  <c r="A46" i="32"/>
  <c r="B46" i="32" s="1"/>
  <c r="K66" i="32"/>
  <c r="H48" i="32"/>
  <c r="I48" i="32" s="1"/>
  <c r="A41" i="32"/>
  <c r="B41" i="32" s="1"/>
  <c r="D60" i="32"/>
  <c r="A37" i="32"/>
  <c r="B37" i="32" s="1"/>
  <c r="D56" i="32"/>
  <c r="A78" i="32"/>
  <c r="B78" i="32" s="1"/>
  <c r="D97" i="32"/>
  <c r="D66" i="32"/>
  <c r="A47" i="32"/>
  <c r="B47" i="32" s="1"/>
  <c r="D58" i="32"/>
  <c r="D72" i="32"/>
  <c r="A53" i="32"/>
  <c r="B53" i="32" s="1"/>
  <c r="A12" i="32"/>
  <c r="B12" i="32" s="1"/>
  <c r="A4" i="32"/>
  <c r="B4" i="32" s="1"/>
  <c r="A5" i="32"/>
  <c r="B5" i="32" s="1"/>
  <c r="K80" i="32"/>
  <c r="H62" i="32"/>
  <c r="I62" i="32" s="1"/>
  <c r="K68" i="32"/>
  <c r="H50" i="32"/>
  <c r="I50" i="32" s="1"/>
  <c r="H55" i="32"/>
  <c r="I55" i="32" s="1"/>
  <c r="K73" i="32"/>
  <c r="A51" i="32"/>
  <c r="B51" i="32" s="1"/>
  <c r="D70" i="32"/>
  <c r="D45" i="32"/>
  <c r="H41" i="32"/>
  <c r="I41" i="32" s="1"/>
  <c r="I43" i="32"/>
  <c r="K290" i="32"/>
  <c r="H272" i="32"/>
  <c r="I272" i="32" s="1"/>
  <c r="D67" i="32"/>
  <c r="A48" i="32"/>
  <c r="B48" i="32" s="1"/>
  <c r="H146" i="32"/>
  <c r="I146" i="32" s="1"/>
  <c r="H182" i="32"/>
  <c r="I182" i="32" s="1"/>
  <c r="H11" i="32"/>
  <c r="I11" i="32" s="1"/>
  <c r="H5" i="32"/>
  <c r="I5" i="32" s="1"/>
  <c r="I7" i="32"/>
  <c r="H23" i="32"/>
  <c r="I23" i="32" s="1"/>
  <c r="H74" i="32"/>
  <c r="I74" i="32" s="1"/>
  <c r="H110" i="32"/>
  <c r="I110" i="32" s="1"/>
  <c r="H218" i="32"/>
  <c r="I218" i="32" s="1"/>
  <c r="H4" i="32"/>
  <c r="I4" i="32" s="1"/>
  <c r="H72" i="32"/>
  <c r="I72" i="32" s="1"/>
  <c r="H108" i="32"/>
  <c r="I108" i="32" s="1"/>
  <c r="H144" i="32"/>
  <c r="I144" i="32" s="1"/>
  <c r="H180" i="32"/>
  <c r="I180" i="32" s="1"/>
  <c r="H216" i="32"/>
  <c r="I216" i="32" s="1"/>
  <c r="AL15" i="42" l="1" a="1"/>
  <c r="AK14" i="42" a="1"/>
  <c r="AE14" i="42" a="1"/>
  <c r="AJ13" i="42" a="1"/>
  <c r="AD13" i="42" a="1"/>
  <c r="AB14" i="42" a="1"/>
  <c r="AF15" i="42" a="1"/>
  <c r="AG15" i="42" a="1"/>
  <c r="AK13" i="42" a="1"/>
  <c r="AB15" i="42" a="1"/>
  <c r="AK15" i="42" a="1"/>
  <c r="AE15" i="42" a="1"/>
  <c r="AJ14" i="42" a="1"/>
  <c r="AD14" i="42" a="1"/>
  <c r="AI13" i="42" a="1"/>
  <c r="AC13" i="42" a="1"/>
  <c r="AG13" i="42" a="1"/>
  <c r="AJ15" i="42" a="1"/>
  <c r="AD15" i="42" a="1"/>
  <c r="AI14" i="42" a="1"/>
  <c r="AC14" i="42" a="1"/>
  <c r="AH13" i="42" a="1"/>
  <c r="AB13" i="42" a="1"/>
  <c r="AI15" i="42" a="1"/>
  <c r="AC15" i="42" a="1"/>
  <c r="AH14" i="42" a="1"/>
  <c r="AH15" i="42" a="1"/>
  <c r="AG14" i="42" a="1"/>
  <c r="AL13" i="42" a="1"/>
  <c r="AF13" i="42" a="1"/>
  <c r="AL14" i="42" a="1"/>
  <c r="AF14" i="42" a="1"/>
  <c r="AE13" i="42" a="1"/>
  <c r="AA15" i="42" a="1"/>
  <c r="AA14" i="42" a="1"/>
  <c r="AA13" i="42" a="1"/>
  <c r="K7" i="42" a="1"/>
  <c r="I7" i="42" a="1"/>
  <c r="G7" i="42" a="1"/>
  <c r="B19" i="21"/>
  <c r="B18" i="21"/>
  <c r="B17" i="21"/>
  <c r="B16" i="21"/>
  <c r="G13" i="21" s="1"/>
  <c r="M54" i="37"/>
  <c r="I50" i="37"/>
  <c r="E46" i="37"/>
  <c r="M42" i="37"/>
  <c r="E42" i="37"/>
  <c r="O54" i="37"/>
  <c r="G46" i="37"/>
  <c r="L54" i="37"/>
  <c r="H50" i="37"/>
  <c r="L42" i="37"/>
  <c r="K54" i="37"/>
  <c r="G50" i="37"/>
  <c r="O46" i="37"/>
  <c r="F54" i="37"/>
  <c r="E54" i="37"/>
  <c r="J50" i="37"/>
  <c r="N42" i="37"/>
  <c r="K42" i="37"/>
  <c r="F42" i="37"/>
  <c r="K50" i="37"/>
  <c r="O42" i="37"/>
  <c r="J54" i="37"/>
  <c r="F50" i="37"/>
  <c r="N46" i="37"/>
  <c r="J42" i="37"/>
  <c r="G42" i="37"/>
  <c r="I54" i="37"/>
  <c r="E50" i="37"/>
  <c r="M46" i="37"/>
  <c r="I42" i="37"/>
  <c r="H54" i="37"/>
  <c r="L46" i="37"/>
  <c r="H42" i="37"/>
  <c r="G54" i="37"/>
  <c r="O50" i="37"/>
  <c r="K46" i="37"/>
  <c r="N50" i="37"/>
  <c r="J46" i="37"/>
  <c r="I46" i="37"/>
  <c r="L50" i="37"/>
  <c r="F46" i="37"/>
  <c r="M50" i="37"/>
  <c r="H46" i="37"/>
  <c r="N54" i="37"/>
  <c r="D56" i="37"/>
  <c r="O56" i="37"/>
  <c r="K52" i="37"/>
  <c r="G48" i="37"/>
  <c r="O44" i="37"/>
  <c r="N56" i="37"/>
  <c r="J52" i="37"/>
  <c r="F48" i="37"/>
  <c r="N44" i="37"/>
  <c r="I52" i="37"/>
  <c r="N52" i="37"/>
  <c r="F44" i="37"/>
  <c r="M52" i="37"/>
  <c r="E44" i="37"/>
  <c r="M56" i="37"/>
  <c r="E48" i="37"/>
  <c r="M44" i="37"/>
  <c r="H56" i="37"/>
  <c r="L48" i="37"/>
  <c r="O52" i="37"/>
  <c r="G44" i="37"/>
  <c r="L52" i="37"/>
  <c r="L56" i="37"/>
  <c r="H52" i="37"/>
  <c r="L44" i="37"/>
  <c r="K56" i="37"/>
  <c r="G52" i="37"/>
  <c r="O48" i="37"/>
  <c r="K44" i="37"/>
  <c r="J56" i="37"/>
  <c r="F52" i="37"/>
  <c r="J44" i="37"/>
  <c r="I56" i="37"/>
  <c r="E52" i="37"/>
  <c r="M48" i="37"/>
  <c r="H44" i="37"/>
  <c r="G56" i="37"/>
  <c r="K48" i="37"/>
  <c r="F56" i="37"/>
  <c r="J48" i="37"/>
  <c r="E56" i="37"/>
  <c r="I48" i="37"/>
  <c r="H48" i="37"/>
  <c r="N48" i="37"/>
  <c r="I44" i="37"/>
  <c r="N55" i="37"/>
  <c r="J51" i="37"/>
  <c r="F47" i="37"/>
  <c r="N43" i="37"/>
  <c r="M55" i="37"/>
  <c r="I51" i="37"/>
  <c r="E47" i="37"/>
  <c r="M43" i="37"/>
  <c r="L55" i="37"/>
  <c r="H51" i="37"/>
  <c r="L43" i="37"/>
  <c r="K47" i="37"/>
  <c r="G43" i="37"/>
  <c r="M51" i="37"/>
  <c r="O43" i="37"/>
  <c r="K55" i="37"/>
  <c r="G51" i="37"/>
  <c r="O47" i="37"/>
  <c r="K43" i="37"/>
  <c r="H55" i="37"/>
  <c r="F55" i="37"/>
  <c r="J47" i="37"/>
  <c r="E55" i="37"/>
  <c r="K51" i="37"/>
  <c r="J55" i="37"/>
  <c r="F51" i="37"/>
  <c r="N47" i="37"/>
  <c r="J43" i="37"/>
  <c r="I55" i="37"/>
  <c r="E51" i="37"/>
  <c r="M47" i="37"/>
  <c r="I43" i="37"/>
  <c r="L47" i="37"/>
  <c r="H43" i="37"/>
  <c r="G55" i="37"/>
  <c r="N51" i="37"/>
  <c r="F43" i="37"/>
  <c r="I47" i="37"/>
  <c r="E43" i="37"/>
  <c r="H47" i="37"/>
  <c r="O55" i="37"/>
  <c r="O51" i="37"/>
  <c r="L51" i="37"/>
  <c r="G47" i="37"/>
  <c r="L53" i="37"/>
  <c r="H49" i="37"/>
  <c r="K49" i="37"/>
  <c r="M53" i="37"/>
  <c r="E45" i="37"/>
  <c r="K53" i="37"/>
  <c r="G49" i="37"/>
  <c r="O45" i="37"/>
  <c r="J53" i="37"/>
  <c r="F49" i="37"/>
  <c r="H45" i="37"/>
  <c r="I53" i="37"/>
  <c r="E49" i="37"/>
  <c r="N49" i="37"/>
  <c r="J45" i="37"/>
  <c r="E53" i="37"/>
  <c r="G45" i="37"/>
  <c r="N53" i="37"/>
  <c r="F45" i="37"/>
  <c r="H53" i="37"/>
  <c r="L45" i="37"/>
  <c r="H41" i="37"/>
  <c r="G53" i="37"/>
  <c r="O49" i="37"/>
  <c r="K45" i="37"/>
  <c r="G41" i="37"/>
  <c r="F53" i="37"/>
  <c r="F41" i="37"/>
  <c r="M49" i="37"/>
  <c r="L49" i="37"/>
  <c r="J49" i="37"/>
  <c r="E41" i="37"/>
  <c r="O53" i="37"/>
  <c r="D55" i="37"/>
  <c r="D54" i="37"/>
  <c r="D52" i="37"/>
  <c r="D51" i="37"/>
  <c r="D50" i="37"/>
  <c r="D49" i="37"/>
  <c r="D48" i="37"/>
  <c r="D47" i="37"/>
  <c r="D46" i="37"/>
  <c r="D44" i="37"/>
  <c r="D43" i="37"/>
  <c r="D42" i="37"/>
  <c r="D41" i="37"/>
  <c r="H65" i="32"/>
  <c r="I65" i="32" s="1"/>
  <c r="H60" i="32"/>
  <c r="I60" i="32" s="1"/>
  <c r="H59" i="32"/>
  <c r="I59" i="32" s="1"/>
  <c r="I61" i="32"/>
  <c r="H58" i="32"/>
  <c r="I58" i="32" s="1"/>
  <c r="K93" i="32"/>
  <c r="H75" i="32"/>
  <c r="I75" i="32" s="1"/>
  <c r="A58" i="32"/>
  <c r="B58" i="32" s="1"/>
  <c r="D77" i="32"/>
  <c r="D84" i="32"/>
  <c r="A65" i="32"/>
  <c r="B65" i="32" s="1"/>
  <c r="H79" i="32"/>
  <c r="K97" i="32"/>
  <c r="D86" i="32"/>
  <c r="A67" i="32"/>
  <c r="B67" i="32" s="1"/>
  <c r="A56" i="32"/>
  <c r="B56" i="32" s="1"/>
  <c r="D75" i="32"/>
  <c r="H304" i="32"/>
  <c r="I304" i="32" s="1"/>
  <c r="K322" i="32"/>
  <c r="K98" i="32"/>
  <c r="H80" i="32"/>
  <c r="I80" i="32" s="1"/>
  <c r="H290" i="32"/>
  <c r="I290" i="32" s="1"/>
  <c r="K308" i="32"/>
  <c r="A60" i="32"/>
  <c r="B60" i="32" s="1"/>
  <c r="D79" i="32"/>
  <c r="K81" i="32"/>
  <c r="H63" i="32"/>
  <c r="I63" i="32" s="1"/>
  <c r="A45" i="32"/>
  <c r="D64" i="32"/>
  <c r="K84" i="32"/>
  <c r="H66" i="32"/>
  <c r="I66" i="32" s="1"/>
  <c r="K334" i="32"/>
  <c r="H316" i="32"/>
  <c r="I316" i="32" s="1"/>
  <c r="A92" i="32"/>
  <c r="B92" i="32" s="1"/>
  <c r="D111" i="32"/>
  <c r="D89" i="32"/>
  <c r="A70" i="32"/>
  <c r="B70" i="32" s="1"/>
  <c r="D91" i="32"/>
  <c r="A72" i="32"/>
  <c r="B72" i="32" s="1"/>
  <c r="K91" i="32"/>
  <c r="H73" i="32"/>
  <c r="I73" i="32" s="1"/>
  <c r="H71" i="32"/>
  <c r="I71" i="32" s="1"/>
  <c r="K89" i="32"/>
  <c r="D85" i="32"/>
  <c r="A66" i="32"/>
  <c r="B66" i="32" s="1"/>
  <c r="H141" i="32"/>
  <c r="I141" i="32" s="1"/>
  <c r="K159" i="32"/>
  <c r="A87" i="32"/>
  <c r="B87" i="32" s="1"/>
  <c r="D106" i="32"/>
  <c r="D116" i="32"/>
  <c r="A97" i="32"/>
  <c r="B97" i="32" s="1"/>
  <c r="D114" i="32"/>
  <c r="A95" i="32"/>
  <c r="B95" i="32" s="1"/>
  <c r="A131" i="32"/>
  <c r="B131" i="32" s="1"/>
  <c r="D150" i="32"/>
  <c r="K86" i="32"/>
  <c r="H68" i="32"/>
  <c r="I68" i="32" s="1"/>
  <c r="H67" i="32"/>
  <c r="I67" i="32" s="1"/>
  <c r="K85" i="32"/>
  <c r="K342" i="32"/>
  <c r="H324" i="32"/>
  <c r="I324" i="32" s="1"/>
  <c r="A52" i="32"/>
  <c r="B52" i="32" s="1"/>
  <c r="D71" i="32"/>
  <c r="K17" i="37" l="1" a="1"/>
  <c r="H18" i="37" a="1"/>
  <c r="H19" i="37" a="1"/>
  <c r="E19" i="37" a="1"/>
  <c r="F19" i="37" a="1"/>
  <c r="H9" i="37"/>
  <c r="N10" i="37"/>
  <c r="J10" i="37"/>
  <c r="L11" i="37"/>
  <c r="G8" i="37"/>
  <c r="K10" i="37"/>
  <c r="D9" i="37"/>
  <c r="L9" i="37"/>
  <c r="H8" i="37"/>
  <c r="D11" i="37"/>
  <c r="D10" i="37"/>
  <c r="H11" i="37"/>
  <c r="N11" i="37"/>
  <c r="I11" i="37"/>
  <c r="O10" i="37"/>
  <c r="F9" i="37"/>
  <c r="E8" i="37"/>
  <c r="F11" i="37"/>
  <c r="F10" i="37"/>
  <c r="G10" i="37"/>
  <c r="I9" i="37"/>
  <c r="K9" i="37"/>
  <c r="E11" i="37"/>
  <c r="O9" i="37"/>
  <c r="G11" i="37"/>
  <c r="N9" i="37"/>
  <c r="E10" i="37"/>
  <c r="E16" i="37" a="1"/>
  <c r="E9" i="37"/>
  <c r="L10" i="37"/>
  <c r="J11" i="37"/>
  <c r="M9" i="37"/>
  <c r="H10" i="37"/>
  <c r="F8" i="37"/>
  <c r="G9" i="37"/>
  <c r="I10" i="37"/>
  <c r="M10" i="37"/>
  <c r="K11" i="37"/>
  <c r="M11" i="37"/>
  <c r="O11" i="37"/>
  <c r="J9" i="37"/>
  <c r="D16" i="37" a="1"/>
  <c r="L19" i="37" a="1"/>
  <c r="G16" i="37" a="1"/>
  <c r="F16" i="37" a="1"/>
  <c r="N18" i="37" a="1"/>
  <c r="F17" i="37" a="1"/>
  <c r="H16" i="37" a="1"/>
  <c r="G19" i="37" a="1"/>
  <c r="O19" i="37" a="1"/>
  <c r="H17" i="37" a="1"/>
  <c r="I19" i="37" a="1"/>
  <c r="J19" i="37" a="1"/>
  <c r="K19" i="37" a="1"/>
  <c r="N19" i="37" a="1"/>
  <c r="M19" i="37" a="1"/>
  <c r="L18" i="37" a="1"/>
  <c r="K18" i="37" a="1"/>
  <c r="E18" i="37" a="1"/>
  <c r="O18" i="37" a="1"/>
  <c r="J17" i="37" a="1"/>
  <c r="J18" i="37" a="1"/>
  <c r="L17" i="37" a="1"/>
  <c r="M18" i="37" a="1"/>
  <c r="O17" i="37" a="1"/>
  <c r="E17" i="37" a="1"/>
  <c r="G18" i="37" a="1"/>
  <c r="G17" i="37" a="1"/>
  <c r="F18" i="37" a="1"/>
  <c r="D18" i="37" a="1"/>
  <c r="P56" i="37"/>
  <c r="P55" i="37"/>
  <c r="P54" i="37"/>
  <c r="P44" i="37"/>
  <c r="P48" i="37"/>
  <c r="P52" i="37"/>
  <c r="P43" i="37"/>
  <c r="P47" i="37"/>
  <c r="P51" i="37"/>
  <c r="P42" i="37"/>
  <c r="P46" i="37"/>
  <c r="P50" i="37"/>
  <c r="K360" i="32"/>
  <c r="H342" i="32"/>
  <c r="I342" i="32" s="1"/>
  <c r="D108" i="32"/>
  <c r="A89" i="32"/>
  <c r="B89" i="32" s="1"/>
  <c r="H77" i="32"/>
  <c r="I77" i="32" s="1"/>
  <c r="I79" i="32"/>
  <c r="H83" i="32"/>
  <c r="I83" i="32" s="1"/>
  <c r="H78" i="32"/>
  <c r="I78" i="32" s="1"/>
  <c r="H76" i="32"/>
  <c r="I76" i="32" s="1"/>
  <c r="K103" i="32"/>
  <c r="H85" i="32"/>
  <c r="I85" i="32" s="1"/>
  <c r="K177" i="32"/>
  <c r="H159" i="32"/>
  <c r="I159" i="32" s="1"/>
  <c r="A111" i="32"/>
  <c r="B111" i="32" s="1"/>
  <c r="D130" i="32"/>
  <c r="K104" i="32"/>
  <c r="H86" i="32"/>
  <c r="I86" i="32" s="1"/>
  <c r="H89" i="32"/>
  <c r="I89" i="32" s="1"/>
  <c r="K107" i="32"/>
  <c r="D83" i="32"/>
  <c r="A64" i="32"/>
  <c r="A75" i="32"/>
  <c r="B75" i="32" s="1"/>
  <c r="D94" i="32"/>
  <c r="A114" i="32"/>
  <c r="B114" i="32" s="1"/>
  <c r="D133" i="32"/>
  <c r="H91" i="32"/>
  <c r="I91" i="32" s="1"/>
  <c r="K109" i="32"/>
  <c r="D135" i="32"/>
  <c r="A116" i="32"/>
  <c r="B116" i="32" s="1"/>
  <c r="D110" i="32"/>
  <c r="A91" i="32"/>
  <c r="B91" i="32" s="1"/>
  <c r="K99" i="32"/>
  <c r="H81" i="32"/>
  <c r="I81" i="32" s="1"/>
  <c r="D105" i="32"/>
  <c r="A86" i="32"/>
  <c r="B86" i="32" s="1"/>
  <c r="H308" i="32"/>
  <c r="I308" i="32" s="1"/>
  <c r="K326" i="32"/>
  <c r="D103" i="32"/>
  <c r="A84" i="32"/>
  <c r="B84" i="32" s="1"/>
  <c r="A77" i="32"/>
  <c r="B77" i="32" s="1"/>
  <c r="D96" i="32"/>
  <c r="A85" i="32"/>
  <c r="B85" i="32" s="1"/>
  <c r="D104" i="32"/>
  <c r="H334" i="32"/>
  <c r="I334" i="32" s="1"/>
  <c r="K352" i="32"/>
  <c r="K116" i="32"/>
  <c r="H98" i="32"/>
  <c r="I98" i="32" s="1"/>
  <c r="A150" i="32"/>
  <c r="B150" i="32" s="1"/>
  <c r="D169" i="32"/>
  <c r="H322" i="32"/>
  <c r="I322" i="32" s="1"/>
  <c r="K340" i="32"/>
  <c r="K102" i="32"/>
  <c r="H84" i="32"/>
  <c r="I84" i="32" s="1"/>
  <c r="K111" i="32"/>
  <c r="H93" i="32"/>
  <c r="I93" i="32" s="1"/>
  <c r="B45" i="32"/>
  <c r="A42" i="32"/>
  <c r="B42" i="32" s="1"/>
  <c r="A50" i="32"/>
  <c r="B50" i="32" s="1"/>
  <c r="A44" i="32"/>
  <c r="B44" i="32" s="1"/>
  <c r="A43" i="32"/>
  <c r="B43" i="32" s="1"/>
  <c r="A71" i="32"/>
  <c r="B71" i="32" s="1"/>
  <c r="D90" i="32"/>
  <c r="A106" i="32"/>
  <c r="B106" i="32" s="1"/>
  <c r="D125" i="32"/>
  <c r="D98" i="32"/>
  <c r="A79" i="32"/>
  <c r="B79" i="32" s="1"/>
  <c r="K115" i="32"/>
  <c r="H97" i="32"/>
  <c r="G12" i="37" l="1"/>
  <c r="P9" i="37"/>
  <c r="P10" i="37"/>
  <c r="P11" i="37"/>
  <c r="F12" i="37"/>
  <c r="H12" i="37"/>
  <c r="E12" i="37"/>
  <c r="H20" i="37"/>
  <c r="E20" i="37"/>
  <c r="F20" i="37"/>
  <c r="G20" i="37"/>
  <c r="K195" i="32"/>
  <c r="H177" i="32"/>
  <c r="I177" i="32" s="1"/>
  <c r="D113" i="32"/>
  <c r="A94" i="32"/>
  <c r="B94" i="32" s="1"/>
  <c r="K134" i="32"/>
  <c r="H116" i="32"/>
  <c r="I116" i="32" s="1"/>
  <c r="D124" i="32"/>
  <c r="A105" i="32"/>
  <c r="B105" i="32" s="1"/>
  <c r="H103" i="32"/>
  <c r="I103" i="32" s="1"/>
  <c r="K121" i="32"/>
  <c r="K370" i="32"/>
  <c r="H352" i="32"/>
  <c r="I352" i="32" s="1"/>
  <c r="A63" i="32"/>
  <c r="B63" i="32" s="1"/>
  <c r="A62" i="32"/>
  <c r="B62" i="32" s="1"/>
  <c r="B64" i="32"/>
  <c r="A61" i="32"/>
  <c r="B61" i="32" s="1"/>
  <c r="A69" i="32"/>
  <c r="B69" i="32" s="1"/>
  <c r="H101" i="32"/>
  <c r="I101" i="32" s="1"/>
  <c r="H96" i="32"/>
  <c r="I96" i="32" s="1"/>
  <c r="H95" i="32"/>
  <c r="I95" i="32" s="1"/>
  <c r="H94" i="32"/>
  <c r="I94" i="32" s="1"/>
  <c r="I97" i="32"/>
  <c r="K117" i="32"/>
  <c r="H99" i="32"/>
  <c r="I99" i="32" s="1"/>
  <c r="D102" i="32"/>
  <c r="A83" i="32"/>
  <c r="H115" i="32"/>
  <c r="K133" i="32"/>
  <c r="D123" i="32"/>
  <c r="A104" i="32"/>
  <c r="B104" i="32" s="1"/>
  <c r="H107" i="32"/>
  <c r="I107" i="32" s="1"/>
  <c r="K125" i="32"/>
  <c r="K129" i="32"/>
  <c r="H111" i="32"/>
  <c r="I111" i="32" s="1"/>
  <c r="A110" i="32"/>
  <c r="B110" i="32" s="1"/>
  <c r="D129" i="32"/>
  <c r="D117" i="32"/>
  <c r="A98" i="32"/>
  <c r="B98" i="32" s="1"/>
  <c r="A96" i="32"/>
  <c r="B96" i="32" s="1"/>
  <c r="D115" i="32"/>
  <c r="D144" i="32"/>
  <c r="A125" i="32"/>
  <c r="B125" i="32" s="1"/>
  <c r="K120" i="32"/>
  <c r="H102" i="32"/>
  <c r="I102" i="32" s="1"/>
  <c r="A135" i="32"/>
  <c r="B135" i="32" s="1"/>
  <c r="D154" i="32"/>
  <c r="K122" i="32"/>
  <c r="H104" i="32"/>
  <c r="I104" i="32" s="1"/>
  <c r="H340" i="32"/>
  <c r="I340" i="32" s="1"/>
  <c r="K358" i="32"/>
  <c r="K127" i="32"/>
  <c r="H109" i="32"/>
  <c r="I109" i="32" s="1"/>
  <c r="D149" i="32"/>
  <c r="A130" i="32"/>
  <c r="B130" i="32" s="1"/>
  <c r="D127" i="32"/>
  <c r="A108" i="32"/>
  <c r="B108" i="32" s="1"/>
  <c r="D109" i="32"/>
  <c r="A90" i="32"/>
  <c r="B90" i="32" s="1"/>
  <c r="D122" i="32"/>
  <c r="A103" i="32"/>
  <c r="B103" i="32" s="1"/>
  <c r="D188" i="32"/>
  <c r="A169" i="32"/>
  <c r="B169" i="32" s="1"/>
  <c r="H326" i="32"/>
  <c r="I326" i="32" s="1"/>
  <c r="K344" i="32"/>
  <c r="A133" i="32"/>
  <c r="B133" i="32" s="1"/>
  <c r="D152" i="32"/>
  <c r="K378" i="32"/>
  <c r="H360" i="32"/>
  <c r="I360" i="32" s="1"/>
  <c r="D148" i="32" l="1"/>
  <c r="A129" i="32"/>
  <c r="B129" i="32" s="1"/>
  <c r="K140" i="32"/>
  <c r="H122" i="32"/>
  <c r="I122" i="32" s="1"/>
  <c r="D146" i="32"/>
  <c r="A127" i="32"/>
  <c r="B127" i="32" s="1"/>
  <c r="D168" i="32"/>
  <c r="A149" i="32"/>
  <c r="B149" i="32" s="1"/>
  <c r="A144" i="32"/>
  <c r="B144" i="32" s="1"/>
  <c r="D163" i="32"/>
  <c r="A123" i="32"/>
  <c r="B123" i="32" s="1"/>
  <c r="D142" i="32"/>
  <c r="K152" i="32"/>
  <c r="H134" i="32"/>
  <c r="I134" i="32" s="1"/>
  <c r="K135" i="32"/>
  <c r="H117" i="32"/>
  <c r="I117" i="32" s="1"/>
  <c r="D128" i="32"/>
  <c r="A109" i="32"/>
  <c r="B109" i="32" s="1"/>
  <c r="D141" i="32"/>
  <c r="A122" i="32"/>
  <c r="B122" i="32" s="1"/>
  <c r="H370" i="32"/>
  <c r="I370" i="32" s="1"/>
  <c r="K388" i="32"/>
  <c r="A154" i="32"/>
  <c r="B154" i="32" s="1"/>
  <c r="D173" i="32"/>
  <c r="K139" i="32"/>
  <c r="H121" i="32"/>
  <c r="I121" i="32" s="1"/>
  <c r="H129" i="32"/>
  <c r="I129" i="32" s="1"/>
  <c r="K147" i="32"/>
  <c r="H125" i="32"/>
  <c r="I125" i="32" s="1"/>
  <c r="K143" i="32"/>
  <c r="H378" i="32"/>
  <c r="I378" i="32" s="1"/>
  <c r="K396" i="32"/>
  <c r="K138" i="32"/>
  <c r="H120" i="32"/>
  <c r="I120" i="32" s="1"/>
  <c r="A124" i="32"/>
  <c r="B124" i="32" s="1"/>
  <c r="D143" i="32"/>
  <c r="D171" i="32"/>
  <c r="A152" i="32"/>
  <c r="B152" i="32" s="1"/>
  <c r="K362" i="32"/>
  <c r="H344" i="32"/>
  <c r="I344" i="32" s="1"/>
  <c r="D134" i="32"/>
  <c r="A115" i="32"/>
  <c r="B115" i="32" s="1"/>
  <c r="K151" i="32"/>
  <c r="H133" i="32"/>
  <c r="H127" i="32"/>
  <c r="I127" i="32" s="1"/>
  <c r="K145" i="32"/>
  <c r="H113" i="32"/>
  <c r="I113" i="32" s="1"/>
  <c r="I115" i="32"/>
  <c r="H114" i="32"/>
  <c r="I114" i="32" s="1"/>
  <c r="H112" i="32"/>
  <c r="I112" i="32" s="1"/>
  <c r="H119" i="32"/>
  <c r="I119" i="32" s="1"/>
  <c r="D132" i="32"/>
  <c r="A113" i="32"/>
  <c r="B113" i="32" s="1"/>
  <c r="H358" i="32"/>
  <c r="I358" i="32" s="1"/>
  <c r="K376" i="32"/>
  <c r="A82" i="32"/>
  <c r="B82" i="32" s="1"/>
  <c r="A88" i="32"/>
  <c r="B88" i="32" s="1"/>
  <c r="A81" i="32"/>
  <c r="B81" i="32" s="1"/>
  <c r="B83" i="32"/>
  <c r="A80" i="32"/>
  <c r="B80" i="32" s="1"/>
  <c r="D207" i="32"/>
  <c r="A188" i="32"/>
  <c r="B188" i="32" s="1"/>
  <c r="A117" i="32"/>
  <c r="B117" i="32" s="1"/>
  <c r="D136" i="32"/>
  <c r="D121" i="32"/>
  <c r="A102" i="32"/>
  <c r="K213" i="32"/>
  <c r="H195" i="32"/>
  <c r="I195" i="32" s="1"/>
  <c r="A173" i="32" l="1"/>
  <c r="B173" i="32" s="1"/>
  <c r="D192" i="32"/>
  <c r="H396" i="32"/>
  <c r="I396" i="32" s="1"/>
  <c r="K414" i="32"/>
  <c r="H213" i="32"/>
  <c r="I213" i="32" s="1"/>
  <c r="K231" i="32"/>
  <c r="H151" i="32"/>
  <c r="K169" i="32"/>
  <c r="D160" i="32"/>
  <c r="A141" i="32"/>
  <c r="B141" i="32" s="1"/>
  <c r="A128" i="32"/>
  <c r="B128" i="32" s="1"/>
  <c r="D147" i="32"/>
  <c r="A146" i="32"/>
  <c r="B146" i="32" s="1"/>
  <c r="D165" i="32"/>
  <c r="A143" i="32"/>
  <c r="B143" i="32" s="1"/>
  <c r="D162" i="32"/>
  <c r="K406" i="32"/>
  <c r="H388" i="32"/>
  <c r="I388" i="32" s="1"/>
  <c r="K156" i="32"/>
  <c r="H138" i="32"/>
  <c r="I138" i="32" s="1"/>
  <c r="K394" i="32"/>
  <c r="H376" i="32"/>
  <c r="I376" i="32" s="1"/>
  <c r="A168" i="32"/>
  <c r="B168" i="32" s="1"/>
  <c r="D187" i="32"/>
  <c r="H143" i="32"/>
  <c r="I143" i="32" s="1"/>
  <c r="K161" i="32"/>
  <c r="D161" i="32"/>
  <c r="A142" i="32"/>
  <c r="B142" i="32" s="1"/>
  <c r="K163" i="32"/>
  <c r="H145" i="32"/>
  <c r="I145" i="32" s="1"/>
  <c r="D182" i="32"/>
  <c r="A163" i="32"/>
  <c r="B163" i="32" s="1"/>
  <c r="H137" i="32"/>
  <c r="I137" i="32" s="1"/>
  <c r="H132" i="32"/>
  <c r="I132" i="32" s="1"/>
  <c r="H131" i="32"/>
  <c r="I131" i="32" s="1"/>
  <c r="I133" i="32"/>
  <c r="H130" i="32"/>
  <c r="I130" i="32" s="1"/>
  <c r="A99" i="32"/>
  <c r="B99" i="32" s="1"/>
  <c r="A101" i="32"/>
  <c r="B101" i="32" s="1"/>
  <c r="A107" i="32"/>
  <c r="B107" i="32" s="1"/>
  <c r="B102" i="32"/>
  <c r="A100" i="32"/>
  <c r="B100" i="32" s="1"/>
  <c r="A121" i="32"/>
  <c r="D140" i="32"/>
  <c r="D153" i="32"/>
  <c r="A134" i="32"/>
  <c r="B134" i="32" s="1"/>
  <c r="D155" i="32"/>
  <c r="A136" i="32"/>
  <c r="B136" i="32" s="1"/>
  <c r="D151" i="32"/>
  <c r="A132" i="32"/>
  <c r="B132" i="32" s="1"/>
  <c r="K165" i="32"/>
  <c r="H147" i="32"/>
  <c r="I147" i="32" s="1"/>
  <c r="H362" i="32"/>
  <c r="I362" i="32" s="1"/>
  <c r="K380" i="32"/>
  <c r="K153" i="32"/>
  <c r="H135" i="32"/>
  <c r="I135" i="32" s="1"/>
  <c r="K158" i="32"/>
  <c r="H140" i="32"/>
  <c r="I140" i="32" s="1"/>
  <c r="A207" i="32"/>
  <c r="B207" i="32" s="1"/>
  <c r="D226" i="32"/>
  <c r="A171" i="32"/>
  <c r="B171" i="32" s="1"/>
  <c r="D190" i="32"/>
  <c r="H139" i="32"/>
  <c r="I139" i="32" s="1"/>
  <c r="K157" i="32"/>
  <c r="K170" i="32"/>
  <c r="H152" i="32"/>
  <c r="I152" i="32" s="1"/>
  <c r="D167" i="32"/>
  <c r="A148" i="32"/>
  <c r="B148" i="32" s="1"/>
  <c r="A147" i="32" l="1"/>
  <c r="B147" i="32" s="1"/>
  <c r="D166" i="32"/>
  <c r="D174" i="32"/>
  <c r="A155" i="32"/>
  <c r="B155" i="32" s="1"/>
  <c r="K176" i="32"/>
  <c r="H158" i="32"/>
  <c r="I158" i="32" s="1"/>
  <c r="A153" i="32"/>
  <c r="B153" i="32" s="1"/>
  <c r="D172" i="32"/>
  <c r="A160" i="32"/>
  <c r="B160" i="32" s="1"/>
  <c r="D179" i="32"/>
  <c r="A140" i="32"/>
  <c r="D159" i="32"/>
  <c r="H149" i="32"/>
  <c r="I149" i="32" s="1"/>
  <c r="I151" i="32"/>
  <c r="H148" i="32"/>
  <c r="I148" i="32" s="1"/>
  <c r="H150" i="32"/>
  <c r="I150" i="32" s="1"/>
  <c r="H155" i="32"/>
  <c r="I155" i="32" s="1"/>
  <c r="H380" i="32"/>
  <c r="I380" i="32" s="1"/>
  <c r="K398" i="32"/>
  <c r="K249" i="32"/>
  <c r="H231" i="32"/>
  <c r="I231" i="32" s="1"/>
  <c r="K188" i="32"/>
  <c r="H170" i="32"/>
  <c r="I170" i="32" s="1"/>
  <c r="H163" i="32"/>
  <c r="I163" i="32" s="1"/>
  <c r="K181" i="32"/>
  <c r="H406" i="32"/>
  <c r="I406" i="32" s="1"/>
  <c r="K424" i="32"/>
  <c r="K175" i="32"/>
  <c r="H157" i="32"/>
  <c r="I157" i="32" s="1"/>
  <c r="A162" i="32"/>
  <c r="B162" i="32" s="1"/>
  <c r="D181" i="32"/>
  <c r="K432" i="32"/>
  <c r="H414" i="32"/>
  <c r="I414" i="32" s="1"/>
  <c r="H165" i="32"/>
  <c r="I165" i="32" s="1"/>
  <c r="K183" i="32"/>
  <c r="A161" i="32"/>
  <c r="B161" i="32" s="1"/>
  <c r="D180" i="32"/>
  <c r="A120" i="32"/>
  <c r="B120" i="32" s="1"/>
  <c r="A118" i="32"/>
  <c r="B118" i="32" s="1"/>
  <c r="B121" i="32"/>
  <c r="A119" i="32"/>
  <c r="B119" i="32" s="1"/>
  <c r="A126" i="32"/>
  <c r="B126" i="32" s="1"/>
  <c r="A182" i="32"/>
  <c r="B182" i="32" s="1"/>
  <c r="D201" i="32"/>
  <c r="K174" i="32"/>
  <c r="H156" i="32"/>
  <c r="I156" i="32" s="1"/>
  <c r="A190" i="32"/>
  <c r="B190" i="32" s="1"/>
  <c r="D209" i="32"/>
  <c r="H161" i="32"/>
  <c r="I161" i="32" s="1"/>
  <c r="K179" i="32"/>
  <c r="D211" i="32"/>
  <c r="A192" i="32"/>
  <c r="B192" i="32" s="1"/>
  <c r="D245" i="32"/>
  <c r="A226" i="32"/>
  <c r="B226" i="32" s="1"/>
  <c r="D206" i="32"/>
  <c r="A187" i="32"/>
  <c r="B187" i="32" s="1"/>
  <c r="H394" i="32"/>
  <c r="I394" i="32" s="1"/>
  <c r="K412" i="32"/>
  <c r="K187" i="32"/>
  <c r="H169" i="32"/>
  <c r="A167" i="32"/>
  <c r="B167" i="32" s="1"/>
  <c r="D186" i="32"/>
  <c r="K171" i="32"/>
  <c r="H153" i="32"/>
  <c r="I153" i="32" s="1"/>
  <c r="A165" i="32"/>
  <c r="B165" i="32" s="1"/>
  <c r="D184" i="32"/>
  <c r="D170" i="32"/>
  <c r="A151" i="32"/>
  <c r="B151" i="32" s="1"/>
  <c r="D199" i="32" l="1"/>
  <c r="A180" i="32"/>
  <c r="B180" i="32" s="1"/>
  <c r="K199" i="32"/>
  <c r="H181" i="32"/>
  <c r="I181" i="32" s="1"/>
  <c r="D228" i="32"/>
  <c r="A209" i="32"/>
  <c r="B209" i="32" s="1"/>
  <c r="A137" i="32"/>
  <c r="B137" i="32" s="1"/>
  <c r="A139" i="32"/>
  <c r="B139" i="32" s="1"/>
  <c r="B140" i="32"/>
  <c r="A138" i="32"/>
  <c r="B138" i="32" s="1"/>
  <c r="A145" i="32"/>
  <c r="B145" i="32" s="1"/>
  <c r="H412" i="32"/>
  <c r="I412" i="32" s="1"/>
  <c r="K430" i="32"/>
  <c r="A179" i="32"/>
  <c r="B179" i="32" s="1"/>
  <c r="D198" i="32"/>
  <c r="H173" i="32"/>
  <c r="I173" i="32" s="1"/>
  <c r="H168" i="32"/>
  <c r="I168" i="32" s="1"/>
  <c r="H167" i="32"/>
  <c r="I167" i="32" s="1"/>
  <c r="I169" i="32"/>
  <c r="H166" i="32"/>
  <c r="I166" i="32" s="1"/>
  <c r="A159" i="32"/>
  <c r="D178" i="32"/>
  <c r="H187" i="32"/>
  <c r="K205" i="32"/>
  <c r="K201" i="32"/>
  <c r="H183" i="32"/>
  <c r="I183" i="32" s="1"/>
  <c r="K206" i="32"/>
  <c r="H188" i="32"/>
  <c r="I188" i="32" s="1"/>
  <c r="K192" i="32"/>
  <c r="H174" i="32"/>
  <c r="I174" i="32" s="1"/>
  <c r="D220" i="32"/>
  <c r="A201" i="32"/>
  <c r="B201" i="32" s="1"/>
  <c r="H432" i="32"/>
  <c r="I432" i="32" s="1"/>
  <c r="K450" i="32"/>
  <c r="K267" i="32"/>
  <c r="H249" i="32"/>
  <c r="I249" i="32" s="1"/>
  <c r="A172" i="32"/>
  <c r="B172" i="32" s="1"/>
  <c r="D191" i="32"/>
  <c r="D189" i="32"/>
  <c r="A170" i="32"/>
  <c r="B170" i="32" s="1"/>
  <c r="D225" i="32"/>
  <c r="A206" i="32"/>
  <c r="B206" i="32" s="1"/>
  <c r="D200" i="32"/>
  <c r="A181" i="32"/>
  <c r="B181" i="32" s="1"/>
  <c r="H398" i="32"/>
  <c r="I398" i="32" s="1"/>
  <c r="K416" i="32"/>
  <c r="D203" i="32"/>
  <c r="A184" i="32"/>
  <c r="B184" i="32" s="1"/>
  <c r="A245" i="32"/>
  <c r="B245" i="32" s="1"/>
  <c r="D264" i="32"/>
  <c r="K194" i="32"/>
  <c r="H176" i="32"/>
  <c r="I176" i="32" s="1"/>
  <c r="H175" i="32"/>
  <c r="I175" i="32" s="1"/>
  <c r="K193" i="32"/>
  <c r="K189" i="32"/>
  <c r="H171" i="32"/>
  <c r="I171" i="32" s="1"/>
  <c r="D230" i="32"/>
  <c r="A211" i="32"/>
  <c r="B211" i="32" s="1"/>
  <c r="H424" i="32"/>
  <c r="I424" i="32" s="1"/>
  <c r="K442" i="32"/>
  <c r="D193" i="32"/>
  <c r="A174" i="32"/>
  <c r="B174" i="32" s="1"/>
  <c r="A186" i="32"/>
  <c r="B186" i="32" s="1"/>
  <c r="D205" i="32"/>
  <c r="H179" i="32"/>
  <c r="I179" i="32" s="1"/>
  <c r="K197" i="32"/>
  <c r="A166" i="32"/>
  <c r="B166" i="32" s="1"/>
  <c r="D185" i="32"/>
  <c r="K460" i="32" l="1"/>
  <c r="H442" i="32"/>
  <c r="I442" i="32" s="1"/>
  <c r="K223" i="32"/>
  <c r="H205" i="32"/>
  <c r="D222" i="32"/>
  <c r="A203" i="32"/>
  <c r="B203" i="32" s="1"/>
  <c r="K285" i="32"/>
  <c r="H267" i="32"/>
  <c r="I267" i="32" s="1"/>
  <c r="K434" i="32"/>
  <c r="H416" i="32"/>
  <c r="I416" i="32" s="1"/>
  <c r="D197" i="32"/>
  <c r="A178" i="32"/>
  <c r="B159" i="32"/>
  <c r="A156" i="32"/>
  <c r="B156" i="32" s="1"/>
  <c r="A164" i="32"/>
  <c r="B164" i="32" s="1"/>
  <c r="A157" i="32"/>
  <c r="B157" i="32" s="1"/>
  <c r="A158" i="32"/>
  <c r="B158" i="32" s="1"/>
  <c r="A185" i="32"/>
  <c r="B185" i="32" s="1"/>
  <c r="D204" i="32"/>
  <c r="K207" i="32"/>
  <c r="H189" i="32"/>
  <c r="I189" i="32" s="1"/>
  <c r="D239" i="32"/>
  <c r="A220" i="32"/>
  <c r="B220" i="32" s="1"/>
  <c r="K210" i="32"/>
  <c r="H192" i="32"/>
  <c r="I192" i="32" s="1"/>
  <c r="H185" i="32"/>
  <c r="I185" i="32" s="1"/>
  <c r="I187" i="32"/>
  <c r="H184" i="32"/>
  <c r="I184" i="32" s="1"/>
  <c r="H191" i="32"/>
  <c r="I191" i="32" s="1"/>
  <c r="H186" i="32"/>
  <c r="I186" i="32" s="1"/>
  <c r="K468" i="32"/>
  <c r="H450" i="32"/>
  <c r="I450" i="32" s="1"/>
  <c r="D249" i="32"/>
  <c r="A230" i="32"/>
  <c r="B230" i="32" s="1"/>
  <c r="A200" i="32"/>
  <c r="B200" i="32" s="1"/>
  <c r="D219" i="32"/>
  <c r="H197" i="32"/>
  <c r="I197" i="32" s="1"/>
  <c r="K215" i="32"/>
  <c r="K211" i="32"/>
  <c r="H193" i="32"/>
  <c r="I193" i="32" s="1"/>
  <c r="A225" i="32"/>
  <c r="B225" i="32" s="1"/>
  <c r="D244" i="32"/>
  <c r="A228" i="32"/>
  <c r="B228" i="32" s="1"/>
  <c r="D247" i="32"/>
  <c r="D224" i="32"/>
  <c r="A205" i="32"/>
  <c r="B205" i="32" s="1"/>
  <c r="K212" i="32"/>
  <c r="H194" i="32"/>
  <c r="I194" i="32" s="1"/>
  <c r="A189" i="32"/>
  <c r="B189" i="32" s="1"/>
  <c r="D208" i="32"/>
  <c r="K224" i="32"/>
  <c r="H206" i="32"/>
  <c r="I206" i="32" s="1"/>
  <c r="D217" i="32"/>
  <c r="A198" i="32"/>
  <c r="B198" i="32" s="1"/>
  <c r="H199" i="32"/>
  <c r="I199" i="32" s="1"/>
  <c r="K217" i="32"/>
  <c r="A264" i="32"/>
  <c r="B264" i="32" s="1"/>
  <c r="D283" i="32"/>
  <c r="D210" i="32"/>
  <c r="A191" i="32"/>
  <c r="B191" i="32" s="1"/>
  <c r="A193" i="32"/>
  <c r="B193" i="32" s="1"/>
  <c r="D212" i="32"/>
  <c r="H201" i="32"/>
  <c r="I201" i="32" s="1"/>
  <c r="K219" i="32"/>
  <c r="H430" i="32"/>
  <c r="I430" i="32" s="1"/>
  <c r="K448" i="32"/>
  <c r="D218" i="32"/>
  <c r="A199" i="32"/>
  <c r="B199" i="32" s="1"/>
  <c r="B178" i="32" l="1"/>
  <c r="A183" i="32"/>
  <c r="B183" i="32" s="1"/>
  <c r="A175" i="32"/>
  <c r="B175" i="32" s="1"/>
  <c r="A176" i="32"/>
  <c r="B176" i="32" s="1"/>
  <c r="A177" i="32"/>
  <c r="B177" i="32" s="1"/>
  <c r="D229" i="32"/>
  <c r="A210" i="32"/>
  <c r="B210" i="32" s="1"/>
  <c r="D243" i="32"/>
  <c r="A224" i="32"/>
  <c r="B224" i="32" s="1"/>
  <c r="D268" i="32"/>
  <c r="A249" i="32"/>
  <c r="B249" i="32" s="1"/>
  <c r="H434" i="32"/>
  <c r="I434" i="32" s="1"/>
  <c r="K452" i="32"/>
  <c r="K235" i="32"/>
  <c r="H217" i="32"/>
  <c r="I217" i="32" s="1"/>
  <c r="A247" i="32"/>
  <c r="B247" i="32" s="1"/>
  <c r="D266" i="32"/>
  <c r="A218" i="32"/>
  <c r="B218" i="32" s="1"/>
  <c r="D237" i="32"/>
  <c r="H468" i="32"/>
  <c r="I468" i="32" s="1"/>
  <c r="K486" i="32"/>
  <c r="K303" i="32"/>
  <c r="H285" i="32"/>
  <c r="I285" i="32" s="1"/>
  <c r="K466" i="32"/>
  <c r="H448" i="32"/>
  <c r="I448" i="32" s="1"/>
  <c r="D263" i="32"/>
  <c r="A244" i="32"/>
  <c r="B244" i="32" s="1"/>
  <c r="D236" i="32"/>
  <c r="A217" i="32"/>
  <c r="B217" i="32" s="1"/>
  <c r="A222" i="32"/>
  <c r="B222" i="32" s="1"/>
  <c r="D241" i="32"/>
  <c r="K237" i="32"/>
  <c r="H219" i="32"/>
  <c r="I219" i="32" s="1"/>
  <c r="A219" i="32"/>
  <c r="B219" i="32" s="1"/>
  <c r="D238" i="32"/>
  <c r="K228" i="32"/>
  <c r="H210" i="32"/>
  <c r="I210" i="32" s="1"/>
  <c r="K230" i="32"/>
  <c r="H212" i="32"/>
  <c r="I212" i="32" s="1"/>
  <c r="D216" i="32"/>
  <c r="A197" i="32"/>
  <c r="A283" i="32"/>
  <c r="B283" i="32" s="1"/>
  <c r="D302" i="32"/>
  <c r="D258" i="32"/>
  <c r="A239" i="32"/>
  <c r="B239" i="32" s="1"/>
  <c r="K225" i="32"/>
  <c r="H207" i="32"/>
  <c r="I207" i="32" s="1"/>
  <c r="D223" i="32"/>
  <c r="A204" i="32"/>
  <c r="B204" i="32" s="1"/>
  <c r="H209" i="32"/>
  <c r="I209" i="32" s="1"/>
  <c r="H204" i="32"/>
  <c r="I204" i="32" s="1"/>
  <c r="H203" i="32"/>
  <c r="I203" i="32" s="1"/>
  <c r="I205" i="32"/>
  <c r="H202" i="32"/>
  <c r="I202" i="32" s="1"/>
  <c r="K242" i="32"/>
  <c r="H224" i="32"/>
  <c r="I224" i="32" s="1"/>
  <c r="H211" i="32"/>
  <c r="I211" i="32" s="1"/>
  <c r="K229" i="32"/>
  <c r="H223" i="32"/>
  <c r="K241" i="32"/>
  <c r="D231" i="32"/>
  <c r="A212" i="32"/>
  <c r="B212" i="32" s="1"/>
  <c r="D227" i="32"/>
  <c r="A208" i="32"/>
  <c r="B208" i="32" s="1"/>
  <c r="H215" i="32"/>
  <c r="I215" i="32" s="1"/>
  <c r="K233" i="32"/>
  <c r="H460" i="32"/>
  <c r="I460" i="32" s="1"/>
  <c r="K478" i="32"/>
  <c r="D242" i="32" l="1"/>
  <c r="A223" i="32"/>
  <c r="B223" i="32" s="1"/>
  <c r="K484" i="32"/>
  <c r="H466" i="32"/>
  <c r="I466" i="32" s="1"/>
  <c r="K504" i="32"/>
  <c r="H486" i="32"/>
  <c r="I486" i="32" s="1"/>
  <c r="A302" i="32"/>
  <c r="B302" i="32" s="1"/>
  <c r="D321" i="32"/>
  <c r="A241" i="32"/>
  <c r="B241" i="32" s="1"/>
  <c r="D260" i="32"/>
  <c r="D256" i="32"/>
  <c r="A237" i="32"/>
  <c r="B237" i="32" s="1"/>
  <c r="A229" i="32"/>
  <c r="B229" i="32" s="1"/>
  <c r="D248" i="32"/>
  <c r="K259" i="32"/>
  <c r="H241" i="32"/>
  <c r="K246" i="32"/>
  <c r="H228" i="32"/>
  <c r="I228" i="32" s="1"/>
  <c r="H221" i="32"/>
  <c r="I221" i="32" s="1"/>
  <c r="I223" i="32"/>
  <c r="H222" i="32"/>
  <c r="I222" i="32" s="1"/>
  <c r="H220" i="32"/>
  <c r="I220" i="32" s="1"/>
  <c r="H227" i="32"/>
  <c r="I227" i="32" s="1"/>
  <c r="D257" i="32"/>
  <c r="A238" i="32"/>
  <c r="B238" i="32" s="1"/>
  <c r="K247" i="32"/>
  <c r="H229" i="32"/>
  <c r="I229" i="32" s="1"/>
  <c r="K243" i="32"/>
  <c r="H225" i="32"/>
  <c r="I225" i="32" s="1"/>
  <c r="K321" i="32"/>
  <c r="H303" i="32"/>
  <c r="I303" i="32" s="1"/>
  <c r="A268" i="32"/>
  <c r="B268" i="32" s="1"/>
  <c r="D287" i="32"/>
  <c r="H478" i="32"/>
  <c r="I478" i="32" s="1"/>
  <c r="K496" i="32"/>
  <c r="D277" i="32"/>
  <c r="A258" i="32"/>
  <c r="B258" i="32" s="1"/>
  <c r="H237" i="32"/>
  <c r="I237" i="32" s="1"/>
  <c r="K255" i="32"/>
  <c r="A243" i="32"/>
  <c r="B243" i="32" s="1"/>
  <c r="D262" i="32"/>
  <c r="K260" i="32"/>
  <c r="H242" i="32"/>
  <c r="I242" i="32" s="1"/>
  <c r="H233" i="32"/>
  <c r="I233" i="32" s="1"/>
  <c r="K251" i="32"/>
  <c r="A202" i="32"/>
  <c r="B202" i="32" s="1"/>
  <c r="B197" i="32"/>
  <c r="A195" i="32"/>
  <c r="B195" i="32" s="1"/>
  <c r="A196" i="32"/>
  <c r="B196" i="32" s="1"/>
  <c r="A194" i="32"/>
  <c r="B194" i="32" s="1"/>
  <c r="A266" i="32"/>
  <c r="B266" i="32" s="1"/>
  <c r="D285" i="32"/>
  <c r="D235" i="32"/>
  <c r="A216" i="32"/>
  <c r="A236" i="32"/>
  <c r="B236" i="32" s="1"/>
  <c r="D255" i="32"/>
  <c r="D246" i="32"/>
  <c r="A227" i="32"/>
  <c r="B227" i="32" s="1"/>
  <c r="K248" i="32"/>
  <c r="H230" i="32"/>
  <c r="I230" i="32" s="1"/>
  <c r="D282" i="32"/>
  <c r="A263" i="32"/>
  <c r="B263" i="32" s="1"/>
  <c r="H235" i="32"/>
  <c r="I235" i="32" s="1"/>
  <c r="K253" i="32"/>
  <c r="A231" i="32"/>
  <c r="B231" i="32" s="1"/>
  <c r="D250" i="32"/>
  <c r="H452" i="32"/>
  <c r="I452" i="32" s="1"/>
  <c r="K470" i="32"/>
  <c r="H247" i="32" l="1"/>
  <c r="I247" i="32" s="1"/>
  <c r="K265" i="32"/>
  <c r="D267" i="32"/>
  <c r="A248" i="32"/>
  <c r="B248" i="32" s="1"/>
  <c r="A282" i="32"/>
  <c r="B282" i="32" s="1"/>
  <c r="D301" i="32"/>
  <c r="D261" i="32"/>
  <c r="A242" i="32"/>
  <c r="B242" i="32" s="1"/>
  <c r="A277" i="32"/>
  <c r="B277" i="32" s="1"/>
  <c r="D296" i="32"/>
  <c r="A257" i="32"/>
  <c r="B257" i="32" s="1"/>
  <c r="D276" i="32"/>
  <c r="K266" i="32"/>
  <c r="H248" i="32"/>
  <c r="I248" i="32" s="1"/>
  <c r="H496" i="32"/>
  <c r="I496" i="32" s="1"/>
  <c r="K514" i="32"/>
  <c r="D275" i="32"/>
  <c r="A256" i="32"/>
  <c r="B256" i="32" s="1"/>
  <c r="A260" i="32"/>
  <c r="B260" i="32" s="1"/>
  <c r="D279" i="32"/>
  <c r="D265" i="32"/>
  <c r="A246" i="32"/>
  <c r="B246" i="32" s="1"/>
  <c r="K269" i="32"/>
  <c r="H251" i="32"/>
  <c r="I251" i="32" s="1"/>
  <c r="D306" i="32"/>
  <c r="A287" i="32"/>
  <c r="B287" i="32" s="1"/>
  <c r="K488" i="32"/>
  <c r="H470" i="32"/>
  <c r="I470" i="32" s="1"/>
  <c r="A255" i="32"/>
  <c r="B255" i="32" s="1"/>
  <c r="D274" i="32"/>
  <c r="D340" i="32"/>
  <c r="A321" i="32"/>
  <c r="B321" i="32" s="1"/>
  <c r="D269" i="32"/>
  <c r="A250" i="32"/>
  <c r="B250" i="32" s="1"/>
  <c r="A221" i="32"/>
  <c r="B221" i="32" s="1"/>
  <c r="A214" i="32"/>
  <c r="B214" i="32" s="1"/>
  <c r="B216" i="32"/>
  <c r="A215" i="32"/>
  <c r="B215" i="32" s="1"/>
  <c r="A213" i="32"/>
  <c r="B213" i="32" s="1"/>
  <c r="K278" i="32"/>
  <c r="H260" i="32"/>
  <c r="I260" i="32" s="1"/>
  <c r="H321" i="32"/>
  <c r="I321" i="32" s="1"/>
  <c r="K339" i="32"/>
  <c r="D254" i="32"/>
  <c r="A235" i="32"/>
  <c r="A262" i="32"/>
  <c r="B262" i="32" s="1"/>
  <c r="D281" i="32"/>
  <c r="K264" i="32"/>
  <c r="H246" i="32"/>
  <c r="I246" i="32" s="1"/>
  <c r="H504" i="32"/>
  <c r="I504" i="32" s="1"/>
  <c r="K522" i="32"/>
  <c r="K271" i="32"/>
  <c r="H253" i="32"/>
  <c r="I253" i="32" s="1"/>
  <c r="A285" i="32"/>
  <c r="B285" i="32" s="1"/>
  <c r="D304" i="32"/>
  <c r="K261" i="32"/>
  <c r="H243" i="32"/>
  <c r="I243" i="32" s="1"/>
  <c r="H245" i="32"/>
  <c r="I245" i="32" s="1"/>
  <c r="H240" i="32"/>
  <c r="I240" i="32" s="1"/>
  <c r="H239" i="32"/>
  <c r="I239" i="32" s="1"/>
  <c r="I241" i="32"/>
  <c r="H238" i="32"/>
  <c r="I238" i="32" s="1"/>
  <c r="K273" i="32"/>
  <c r="H255" i="32"/>
  <c r="I255" i="32" s="1"/>
  <c r="K277" i="32"/>
  <c r="H259" i="32"/>
  <c r="H484" i="32"/>
  <c r="I484" i="32" s="1"/>
  <c r="K502" i="32"/>
  <c r="H264" i="32" l="1"/>
  <c r="I264" i="32" s="1"/>
  <c r="K282" i="32"/>
  <c r="A276" i="32"/>
  <c r="B276" i="32" s="1"/>
  <c r="D295" i="32"/>
  <c r="D300" i="32"/>
  <c r="A281" i="32"/>
  <c r="B281" i="32" s="1"/>
  <c r="H269" i="32"/>
  <c r="I269" i="32" s="1"/>
  <c r="K287" i="32"/>
  <c r="A296" i="32"/>
  <c r="B296" i="32" s="1"/>
  <c r="D315" i="32"/>
  <c r="H502" i="32"/>
  <c r="I502" i="32" s="1"/>
  <c r="K520" i="32"/>
  <c r="K279" i="32"/>
  <c r="H261" i="32"/>
  <c r="I261" i="32" s="1"/>
  <c r="D273" i="32"/>
  <c r="A254" i="32"/>
  <c r="D298" i="32"/>
  <c r="A279" i="32"/>
  <c r="B279" i="32" s="1"/>
  <c r="A304" i="32"/>
  <c r="B304" i="32" s="1"/>
  <c r="D323" i="32"/>
  <c r="H339" i="32"/>
  <c r="I339" i="32" s="1"/>
  <c r="K357" i="32"/>
  <c r="A340" i="32"/>
  <c r="B340" i="32" s="1"/>
  <c r="D359" i="32"/>
  <c r="D280" i="32"/>
  <c r="A261" i="32"/>
  <c r="B261" i="32" s="1"/>
  <c r="H257" i="32"/>
  <c r="I257" i="32" s="1"/>
  <c r="I259" i="32"/>
  <c r="H263" i="32"/>
  <c r="I263" i="32" s="1"/>
  <c r="H258" i="32"/>
  <c r="I258" i="32" s="1"/>
  <c r="H256" i="32"/>
  <c r="I256" i="32" s="1"/>
  <c r="A274" i="32"/>
  <c r="B274" i="32" s="1"/>
  <c r="D293" i="32"/>
  <c r="A301" i="32"/>
  <c r="B301" i="32" s="1"/>
  <c r="D320" i="32"/>
  <c r="H277" i="32"/>
  <c r="K295" i="32"/>
  <c r="A275" i="32"/>
  <c r="B275" i="32" s="1"/>
  <c r="D294" i="32"/>
  <c r="K289" i="32"/>
  <c r="H271" i="32"/>
  <c r="I271" i="32" s="1"/>
  <c r="K296" i="32"/>
  <c r="H278" i="32"/>
  <c r="I278" i="32" s="1"/>
  <c r="H514" i="32"/>
  <c r="I514" i="32" s="1"/>
  <c r="K532" i="32"/>
  <c r="H273" i="32"/>
  <c r="I273" i="32" s="1"/>
  <c r="K291" i="32"/>
  <c r="H522" i="32"/>
  <c r="I522" i="32" s="1"/>
  <c r="K540" i="32"/>
  <c r="K506" i="32"/>
  <c r="H488" i="32"/>
  <c r="I488" i="32" s="1"/>
  <c r="A267" i="32"/>
  <c r="B267" i="32" s="1"/>
  <c r="D286" i="32"/>
  <c r="H265" i="32"/>
  <c r="I265" i="32" s="1"/>
  <c r="K283" i="32"/>
  <c r="A233" i="32"/>
  <c r="B233" i="32" s="1"/>
  <c r="A240" i="32"/>
  <c r="B240" i="32" s="1"/>
  <c r="A232" i="32"/>
  <c r="B232" i="32" s="1"/>
  <c r="B235" i="32"/>
  <c r="A234" i="32"/>
  <c r="B234" i="32" s="1"/>
  <c r="A269" i="32"/>
  <c r="B269" i="32" s="1"/>
  <c r="D288" i="32"/>
  <c r="D284" i="32"/>
  <c r="A265" i="32"/>
  <c r="B265" i="32" s="1"/>
  <c r="A306" i="32"/>
  <c r="B306" i="32" s="1"/>
  <c r="D325" i="32"/>
  <c r="H266" i="32"/>
  <c r="I266" i="32" s="1"/>
  <c r="K284" i="32"/>
  <c r="H540" i="32" l="1"/>
  <c r="I540" i="32" s="1"/>
  <c r="K558" i="32"/>
  <c r="K313" i="32"/>
  <c r="H295" i="32"/>
  <c r="H279" i="32"/>
  <c r="I279" i="32" s="1"/>
  <c r="K297" i="32"/>
  <c r="I277" i="32"/>
  <c r="H275" i="32"/>
  <c r="I275" i="32" s="1"/>
  <c r="H274" i="32"/>
  <c r="I274" i="32" s="1"/>
  <c r="H276" i="32"/>
  <c r="I276" i="32" s="1"/>
  <c r="H281" i="32"/>
  <c r="I281" i="32" s="1"/>
  <c r="K538" i="32"/>
  <c r="H520" i="32"/>
  <c r="I520" i="32" s="1"/>
  <c r="H291" i="32"/>
  <c r="I291" i="32" s="1"/>
  <c r="K309" i="32"/>
  <c r="A320" i="32"/>
  <c r="B320" i="32" s="1"/>
  <c r="D339" i="32"/>
  <c r="K375" i="32"/>
  <c r="H357" i="32"/>
  <c r="I357" i="32" s="1"/>
  <c r="H532" i="32"/>
  <c r="I532" i="32" s="1"/>
  <c r="K550" i="32"/>
  <c r="H284" i="32"/>
  <c r="I284" i="32" s="1"/>
  <c r="K302" i="32"/>
  <c r="K301" i="32"/>
  <c r="H283" i="32"/>
  <c r="I283" i="32" s="1"/>
  <c r="A286" i="32"/>
  <c r="B286" i="32" s="1"/>
  <c r="D305" i="32"/>
  <c r="A252" i="32"/>
  <c r="B252" i="32" s="1"/>
  <c r="B254" i="32"/>
  <c r="A251" i="32"/>
  <c r="B251" i="32" s="1"/>
  <c r="A259" i="32"/>
  <c r="B259" i="32" s="1"/>
  <c r="A253" i="32"/>
  <c r="B253" i="32" s="1"/>
  <c r="D314" i="32"/>
  <c r="A295" i="32"/>
  <c r="B295" i="32" s="1"/>
  <c r="A284" i="32"/>
  <c r="B284" i="32" s="1"/>
  <c r="D303" i="32"/>
  <c r="A294" i="32"/>
  <c r="B294" i="32" s="1"/>
  <c r="D313" i="32"/>
  <c r="D292" i="32"/>
  <c r="A273" i="32"/>
  <c r="A280" i="32"/>
  <c r="B280" i="32" s="1"/>
  <c r="D299" i="32"/>
  <c r="D378" i="32"/>
  <c r="A359" i="32"/>
  <c r="B359" i="32" s="1"/>
  <c r="A315" i="32"/>
  <c r="B315" i="32" s="1"/>
  <c r="D334" i="32"/>
  <c r="A293" i="32"/>
  <c r="B293" i="32" s="1"/>
  <c r="D312" i="32"/>
  <c r="A323" i="32"/>
  <c r="B323" i="32" s="1"/>
  <c r="D342" i="32"/>
  <c r="K305" i="32"/>
  <c r="H287" i="32"/>
  <c r="I287" i="32" s="1"/>
  <c r="D344" i="32"/>
  <c r="A325" i="32"/>
  <c r="B325" i="32" s="1"/>
  <c r="K314" i="32"/>
  <c r="H296" i="32"/>
  <c r="I296" i="32" s="1"/>
  <c r="A298" i="32"/>
  <c r="B298" i="32" s="1"/>
  <c r="D317" i="32"/>
  <c r="A300" i="32"/>
  <c r="B300" i="32" s="1"/>
  <c r="D319" i="32"/>
  <c r="K307" i="32"/>
  <c r="H289" i="32"/>
  <c r="I289" i="32" s="1"/>
  <c r="A288" i="32"/>
  <c r="B288" i="32" s="1"/>
  <c r="D307" i="32"/>
  <c r="K524" i="32"/>
  <c r="H506" i="32"/>
  <c r="I506" i="32" s="1"/>
  <c r="K300" i="32"/>
  <c r="H282" i="32"/>
  <c r="I282" i="32" s="1"/>
  <c r="A319" i="32" l="1"/>
  <c r="B319" i="32" s="1"/>
  <c r="D338" i="32"/>
  <c r="A312" i="32"/>
  <c r="B312" i="32" s="1"/>
  <c r="D331" i="32"/>
  <c r="D322" i="32"/>
  <c r="A303" i="32"/>
  <c r="B303" i="32" s="1"/>
  <c r="K319" i="32"/>
  <c r="H301" i="32"/>
  <c r="I301" i="32" s="1"/>
  <c r="H538" i="32"/>
  <c r="I538" i="32" s="1"/>
  <c r="K556" i="32"/>
  <c r="H302" i="32"/>
  <c r="I302" i="32" s="1"/>
  <c r="K320" i="32"/>
  <c r="A314" i="32"/>
  <c r="B314" i="32" s="1"/>
  <c r="D333" i="32"/>
  <c r="H550" i="32"/>
  <c r="I550" i="32" s="1"/>
  <c r="K568" i="32"/>
  <c r="K332" i="32"/>
  <c r="H314" i="32"/>
  <c r="I314" i="32" s="1"/>
  <c r="A378" i="32"/>
  <c r="B378" i="32" s="1"/>
  <c r="D397" i="32"/>
  <c r="D318" i="32"/>
  <c r="A299" i="32"/>
  <c r="B299" i="32" s="1"/>
  <c r="H375" i="32"/>
  <c r="I375" i="32" s="1"/>
  <c r="K393" i="32"/>
  <c r="H524" i="32"/>
  <c r="I524" i="32" s="1"/>
  <c r="K542" i="32"/>
  <c r="A344" i="32"/>
  <c r="B344" i="32" s="1"/>
  <c r="D363" i="32"/>
  <c r="A339" i="32"/>
  <c r="B339" i="32" s="1"/>
  <c r="D358" i="32"/>
  <c r="D326" i="32"/>
  <c r="A307" i="32"/>
  <c r="B307" i="32" s="1"/>
  <c r="K325" i="32"/>
  <c r="H307" i="32"/>
  <c r="I307" i="32" s="1"/>
  <c r="A317" i="32"/>
  <c r="B317" i="32" s="1"/>
  <c r="D336" i="32"/>
  <c r="A334" i="32"/>
  <c r="B334" i="32" s="1"/>
  <c r="D353" i="32"/>
  <c r="K318" i="32"/>
  <c r="H300" i="32"/>
  <c r="I300" i="32" s="1"/>
  <c r="H297" i="32"/>
  <c r="I297" i="32" s="1"/>
  <c r="K315" i="32"/>
  <c r="A278" i="32"/>
  <c r="B278" i="32" s="1"/>
  <c r="A272" i="32"/>
  <c r="B272" i="32" s="1"/>
  <c r="A270" i="32"/>
  <c r="B270" i="32" s="1"/>
  <c r="B273" i="32"/>
  <c r="A271" i="32"/>
  <c r="B271" i="32" s="1"/>
  <c r="H299" i="32"/>
  <c r="I299" i="32" s="1"/>
  <c r="H293" i="32"/>
  <c r="I293" i="32" s="1"/>
  <c r="I295" i="32"/>
  <c r="H292" i="32"/>
  <c r="I292" i="32" s="1"/>
  <c r="H294" i="32"/>
  <c r="I294" i="32" s="1"/>
  <c r="K323" i="32"/>
  <c r="H305" i="32"/>
  <c r="I305" i="32" s="1"/>
  <c r="A292" i="32"/>
  <c r="D311" i="32"/>
  <c r="D324" i="32"/>
  <c r="A305" i="32"/>
  <c r="B305" i="32" s="1"/>
  <c r="K327" i="32"/>
  <c r="H309" i="32"/>
  <c r="I309" i="32" s="1"/>
  <c r="K331" i="32"/>
  <c r="H313" i="32"/>
  <c r="A342" i="32"/>
  <c r="B342" i="32" s="1"/>
  <c r="D361" i="32"/>
  <c r="D332" i="32"/>
  <c r="A313" i="32"/>
  <c r="B313" i="32" s="1"/>
  <c r="K576" i="32"/>
  <c r="H558" i="32"/>
  <c r="I558" i="32" s="1"/>
  <c r="A336" i="32" l="1"/>
  <c r="B336" i="32" s="1"/>
  <c r="D355" i="32"/>
  <c r="A290" i="32"/>
  <c r="B290" i="32" s="1"/>
  <c r="A291" i="32"/>
  <c r="B291" i="32" s="1"/>
  <c r="A289" i="32"/>
  <c r="B289" i="32" s="1"/>
  <c r="B292" i="32"/>
  <c r="A297" i="32"/>
  <c r="B297" i="32" s="1"/>
  <c r="A326" i="32"/>
  <c r="B326" i="32" s="1"/>
  <c r="D345" i="32"/>
  <c r="H323" i="32"/>
  <c r="I323" i="32" s="1"/>
  <c r="K341" i="32"/>
  <c r="H393" i="32"/>
  <c r="I393" i="32" s="1"/>
  <c r="K411" i="32"/>
  <c r="K338" i="32"/>
  <c r="H320" i="32"/>
  <c r="I320" i="32" s="1"/>
  <c r="K345" i="32"/>
  <c r="H327" i="32"/>
  <c r="I327" i="32" s="1"/>
  <c r="H556" i="32"/>
  <c r="I556" i="32" s="1"/>
  <c r="K574" i="32"/>
  <c r="A324" i="32"/>
  <c r="B324" i="32" s="1"/>
  <c r="D343" i="32"/>
  <c r="K343" i="32"/>
  <c r="H325" i="32"/>
  <c r="I325" i="32" s="1"/>
  <c r="A318" i="32"/>
  <c r="B318" i="32" s="1"/>
  <c r="D337" i="32"/>
  <c r="D330" i="32"/>
  <c r="A311" i="32"/>
  <c r="D416" i="32"/>
  <c r="A397" i="32"/>
  <c r="B397" i="32" s="1"/>
  <c r="K594" i="32"/>
  <c r="H576" i="32"/>
  <c r="I576" i="32" s="1"/>
  <c r="K337" i="32"/>
  <c r="H319" i="32"/>
  <c r="I319" i="32" s="1"/>
  <c r="H315" i="32"/>
  <c r="I315" i="32" s="1"/>
  <c r="K333" i="32"/>
  <c r="A358" i="32"/>
  <c r="B358" i="32" s="1"/>
  <c r="D377" i="32"/>
  <c r="A332" i="32"/>
  <c r="B332" i="32" s="1"/>
  <c r="D351" i="32"/>
  <c r="H332" i="32"/>
  <c r="I332" i="32" s="1"/>
  <c r="K350" i="32"/>
  <c r="A322" i="32"/>
  <c r="B322" i="32" s="1"/>
  <c r="D341" i="32"/>
  <c r="D380" i="32"/>
  <c r="A361" i="32"/>
  <c r="B361" i="32" s="1"/>
  <c r="A363" i="32"/>
  <c r="B363" i="32" s="1"/>
  <c r="D382" i="32"/>
  <c r="K586" i="32"/>
  <c r="H568" i="32"/>
  <c r="I568" i="32" s="1"/>
  <c r="D350" i="32"/>
  <c r="A331" i="32"/>
  <c r="B331" i="32" s="1"/>
  <c r="K336" i="32"/>
  <c r="H318" i="32"/>
  <c r="I318" i="32" s="1"/>
  <c r="H310" i="32"/>
  <c r="I310" i="32" s="1"/>
  <c r="I313" i="32"/>
  <c r="H311" i="32"/>
  <c r="I311" i="32" s="1"/>
  <c r="H312" i="32"/>
  <c r="I312" i="32" s="1"/>
  <c r="H317" i="32"/>
  <c r="I317" i="32" s="1"/>
  <c r="A353" i="32"/>
  <c r="B353" i="32" s="1"/>
  <c r="D372" i="32"/>
  <c r="H542" i="32"/>
  <c r="I542" i="32" s="1"/>
  <c r="K560" i="32"/>
  <c r="D352" i="32"/>
  <c r="A333" i="32"/>
  <c r="B333" i="32" s="1"/>
  <c r="A338" i="32"/>
  <c r="B338" i="32" s="1"/>
  <c r="D357" i="32"/>
  <c r="K349" i="32"/>
  <c r="H331" i="32"/>
  <c r="A382" i="32" l="1"/>
  <c r="B382" i="32" s="1"/>
  <c r="D401" i="32"/>
  <c r="K351" i="32"/>
  <c r="H333" i="32"/>
  <c r="I333" i="32" s="1"/>
  <c r="H341" i="32"/>
  <c r="I341" i="32" s="1"/>
  <c r="K359" i="32"/>
  <c r="H343" i="32"/>
  <c r="I343" i="32" s="1"/>
  <c r="K361" i="32"/>
  <c r="A343" i="32"/>
  <c r="B343" i="32" s="1"/>
  <c r="D362" i="32"/>
  <c r="A345" i="32"/>
  <c r="B345" i="32" s="1"/>
  <c r="D364" i="32"/>
  <c r="K367" i="32"/>
  <c r="H349" i="32"/>
  <c r="A341" i="32"/>
  <c r="B341" i="32" s="1"/>
  <c r="D360" i="32"/>
  <c r="H574" i="32"/>
  <c r="I574" i="32" s="1"/>
  <c r="K592" i="32"/>
  <c r="K368" i="32"/>
  <c r="H350" i="32"/>
  <c r="I350" i="32" s="1"/>
  <c r="A377" i="32"/>
  <c r="B377" i="32" s="1"/>
  <c r="D396" i="32"/>
  <c r="D356" i="32"/>
  <c r="A337" i="32"/>
  <c r="B337" i="32" s="1"/>
  <c r="K429" i="32"/>
  <c r="H411" i="32"/>
  <c r="I411" i="32" s="1"/>
  <c r="A372" i="32"/>
  <c r="B372" i="32" s="1"/>
  <c r="D391" i="32"/>
  <c r="H586" i="32"/>
  <c r="I586" i="32" s="1"/>
  <c r="K604" i="32"/>
  <c r="H329" i="32"/>
  <c r="I329" i="32" s="1"/>
  <c r="I331" i="32"/>
  <c r="H328" i="32"/>
  <c r="I328" i="32" s="1"/>
  <c r="H335" i="32"/>
  <c r="I335" i="32" s="1"/>
  <c r="H330" i="32"/>
  <c r="I330" i="32" s="1"/>
  <c r="A380" i="32"/>
  <c r="B380" i="32" s="1"/>
  <c r="D399" i="32"/>
  <c r="H337" i="32"/>
  <c r="I337" i="32" s="1"/>
  <c r="K355" i="32"/>
  <c r="A357" i="32"/>
  <c r="B357" i="32" s="1"/>
  <c r="D376" i="32"/>
  <c r="H594" i="32"/>
  <c r="I594" i="32" s="1"/>
  <c r="K612" i="32"/>
  <c r="K354" i="32"/>
  <c r="H336" i="32"/>
  <c r="I336" i="32" s="1"/>
  <c r="A416" i="32"/>
  <c r="B416" i="32" s="1"/>
  <c r="D435" i="32"/>
  <c r="H345" i="32"/>
  <c r="I345" i="32" s="1"/>
  <c r="K363" i="32"/>
  <c r="A352" i="32"/>
  <c r="B352" i="32" s="1"/>
  <c r="D371" i="32"/>
  <c r="A351" i="32"/>
  <c r="B351" i="32" s="1"/>
  <c r="D370" i="32"/>
  <c r="A316" i="32"/>
  <c r="B316" i="32" s="1"/>
  <c r="A310" i="32"/>
  <c r="B310" i="32" s="1"/>
  <c r="A308" i="32"/>
  <c r="B308" i="32" s="1"/>
  <c r="A309" i="32"/>
  <c r="B309" i="32" s="1"/>
  <c r="B311" i="32"/>
  <c r="H560" i="32"/>
  <c r="I560" i="32" s="1"/>
  <c r="K578" i="32"/>
  <c r="A350" i="32"/>
  <c r="B350" i="32" s="1"/>
  <c r="D369" i="32"/>
  <c r="A330" i="32"/>
  <c r="D349" i="32"/>
  <c r="H338" i="32"/>
  <c r="I338" i="32" s="1"/>
  <c r="K356" i="32"/>
  <c r="D374" i="32"/>
  <c r="A355" i="32"/>
  <c r="B355" i="32" s="1"/>
  <c r="A362" i="32" l="1"/>
  <c r="B362" i="32" s="1"/>
  <c r="D381" i="32"/>
  <c r="H354" i="32"/>
  <c r="I354" i="32" s="1"/>
  <c r="K372" i="32"/>
  <c r="A374" i="32"/>
  <c r="B374" i="32" s="1"/>
  <c r="D393" i="32"/>
  <c r="A370" i="32"/>
  <c r="B370" i="32" s="1"/>
  <c r="D389" i="32"/>
  <c r="K596" i="32"/>
  <c r="H578" i="32"/>
  <c r="I578" i="32" s="1"/>
  <c r="A356" i="32"/>
  <c r="B356" i="32" s="1"/>
  <c r="D375" i="32"/>
  <c r="H361" i="32"/>
  <c r="I361" i="32" s="1"/>
  <c r="K379" i="32"/>
  <c r="K630" i="32"/>
  <c r="H612" i="32"/>
  <c r="I612" i="32" s="1"/>
  <c r="K386" i="32"/>
  <c r="H368" i="32"/>
  <c r="I368" i="32" s="1"/>
  <c r="H604" i="32"/>
  <c r="I604" i="32" s="1"/>
  <c r="K622" i="32"/>
  <c r="K610" i="32"/>
  <c r="H592" i="32"/>
  <c r="I592" i="32" s="1"/>
  <c r="H359" i="32"/>
  <c r="I359" i="32" s="1"/>
  <c r="K377" i="32"/>
  <c r="D368" i="32"/>
  <c r="A349" i="32"/>
  <c r="D410" i="32"/>
  <c r="A391" i="32"/>
  <c r="B391" i="32" s="1"/>
  <c r="A360" i="32"/>
  <c r="B360" i="32" s="1"/>
  <c r="D379" i="32"/>
  <c r="D390" i="32"/>
  <c r="A371" i="32"/>
  <c r="B371" i="32" s="1"/>
  <c r="H351" i="32"/>
  <c r="I351" i="32" s="1"/>
  <c r="K369" i="32"/>
  <c r="A369" i="32"/>
  <c r="B369" i="32" s="1"/>
  <c r="D388" i="32"/>
  <c r="A364" i="32"/>
  <c r="B364" i="32" s="1"/>
  <c r="D383" i="32"/>
  <c r="A435" i="32"/>
  <c r="B435" i="32" s="1"/>
  <c r="D454" i="32"/>
  <c r="A396" i="32"/>
  <c r="B396" i="32" s="1"/>
  <c r="D415" i="32"/>
  <c r="H356" i="32"/>
  <c r="I356" i="32" s="1"/>
  <c r="K374" i="32"/>
  <c r="A376" i="32"/>
  <c r="B376" i="32" s="1"/>
  <c r="D395" i="32"/>
  <c r="A328" i="32"/>
  <c r="B328" i="32" s="1"/>
  <c r="B330" i="32"/>
  <c r="A327" i="32"/>
  <c r="B327" i="32" s="1"/>
  <c r="A335" i="32"/>
  <c r="B335" i="32" s="1"/>
  <c r="A329" i="32"/>
  <c r="B329" i="32" s="1"/>
  <c r="K373" i="32"/>
  <c r="H355" i="32"/>
  <c r="I355" i="32" s="1"/>
  <c r="I349" i="32"/>
  <c r="H347" i="32"/>
  <c r="I347" i="32" s="1"/>
  <c r="H353" i="32"/>
  <c r="I353" i="32" s="1"/>
  <c r="H348" i="32"/>
  <c r="I348" i="32" s="1"/>
  <c r="H346" i="32"/>
  <c r="I346" i="32" s="1"/>
  <c r="D420" i="32"/>
  <c r="A401" i="32"/>
  <c r="B401" i="32" s="1"/>
  <c r="K381" i="32"/>
  <c r="H363" i="32"/>
  <c r="I363" i="32" s="1"/>
  <c r="D418" i="32"/>
  <c r="A399" i="32"/>
  <c r="B399" i="32" s="1"/>
  <c r="K447" i="32"/>
  <c r="H429" i="32"/>
  <c r="I429" i="32" s="1"/>
  <c r="H367" i="32"/>
  <c r="K385" i="32"/>
  <c r="K399" i="32" l="1"/>
  <c r="H381" i="32"/>
  <c r="I381" i="32" s="1"/>
  <c r="A388" i="32"/>
  <c r="B388" i="32" s="1"/>
  <c r="D407" i="32"/>
  <c r="H371" i="32"/>
  <c r="I371" i="32" s="1"/>
  <c r="H366" i="32"/>
  <c r="I366" i="32" s="1"/>
  <c r="I367" i="32"/>
  <c r="H365" i="32"/>
  <c r="I365" i="32" s="1"/>
  <c r="H364" i="32"/>
  <c r="I364" i="32" s="1"/>
  <c r="A390" i="32"/>
  <c r="B390" i="32" s="1"/>
  <c r="D409" i="32"/>
  <c r="A368" i="32"/>
  <c r="D387" i="32"/>
  <c r="K395" i="32"/>
  <c r="H377" i="32"/>
  <c r="I377" i="32" s="1"/>
  <c r="A375" i="32"/>
  <c r="B375" i="32" s="1"/>
  <c r="D394" i="32"/>
  <c r="A420" i="32"/>
  <c r="B420" i="32" s="1"/>
  <c r="D439" i="32"/>
  <c r="A395" i="32"/>
  <c r="B395" i="32" s="1"/>
  <c r="D414" i="32"/>
  <c r="H369" i="32"/>
  <c r="I369" i="32" s="1"/>
  <c r="K387" i="32"/>
  <c r="K628" i="32"/>
  <c r="H610" i="32"/>
  <c r="I610" i="32" s="1"/>
  <c r="K614" i="32"/>
  <c r="H596" i="32"/>
  <c r="I596" i="32" s="1"/>
  <c r="K403" i="32"/>
  <c r="H385" i="32"/>
  <c r="K392" i="32"/>
  <c r="H374" i="32"/>
  <c r="I374" i="32" s="1"/>
  <c r="H622" i="32"/>
  <c r="I622" i="32" s="1"/>
  <c r="K640" i="32"/>
  <c r="A389" i="32"/>
  <c r="B389" i="32" s="1"/>
  <c r="D408" i="32"/>
  <c r="D434" i="32"/>
  <c r="A415" i="32"/>
  <c r="B415" i="32" s="1"/>
  <c r="D398" i="32"/>
  <c r="A379" i="32"/>
  <c r="B379" i="32" s="1"/>
  <c r="D412" i="32"/>
  <c r="A393" i="32"/>
  <c r="B393" i="32" s="1"/>
  <c r="K465" i="32"/>
  <c r="H447" i="32"/>
  <c r="I447" i="32" s="1"/>
  <c r="H386" i="32"/>
  <c r="I386" i="32" s="1"/>
  <c r="K404" i="32"/>
  <c r="K391" i="32"/>
  <c r="H373" i="32"/>
  <c r="I373" i="32" s="1"/>
  <c r="A454" i="32"/>
  <c r="B454" i="32" s="1"/>
  <c r="D473" i="32"/>
  <c r="K390" i="32"/>
  <c r="H372" i="32"/>
  <c r="I372" i="32" s="1"/>
  <c r="A418" i="32"/>
  <c r="B418" i="32" s="1"/>
  <c r="D437" i="32"/>
  <c r="A410" i="32"/>
  <c r="B410" i="32" s="1"/>
  <c r="D429" i="32"/>
  <c r="H630" i="32"/>
  <c r="I630" i="32" s="1"/>
  <c r="K648" i="32"/>
  <c r="D402" i="32"/>
  <c r="A383" i="32"/>
  <c r="B383" i="32" s="1"/>
  <c r="A354" i="32"/>
  <c r="B354" i="32" s="1"/>
  <c r="A348" i="32"/>
  <c r="B348" i="32" s="1"/>
  <c r="A346" i="32"/>
  <c r="B346" i="32" s="1"/>
  <c r="A347" i="32"/>
  <c r="B347" i="32" s="1"/>
  <c r="B349" i="32"/>
  <c r="K397" i="32"/>
  <c r="H379" i="32"/>
  <c r="I379" i="32" s="1"/>
  <c r="D400" i="32"/>
  <c r="A381" i="32"/>
  <c r="B381" i="32" s="1"/>
  <c r="K408" i="32" l="1"/>
  <c r="H390" i="32"/>
  <c r="I390" i="32" s="1"/>
  <c r="A398" i="32"/>
  <c r="B398" i="32" s="1"/>
  <c r="D417" i="32"/>
  <c r="K632" i="32"/>
  <c r="H614" i="32"/>
  <c r="I614" i="32" s="1"/>
  <c r="H395" i="32"/>
  <c r="I395" i="32" s="1"/>
  <c r="K413" i="32"/>
  <c r="D492" i="32"/>
  <c r="A473" i="32"/>
  <c r="B473" i="32" s="1"/>
  <c r="A387" i="32"/>
  <c r="D406" i="32"/>
  <c r="K417" i="32"/>
  <c r="H399" i="32"/>
  <c r="I399" i="32" s="1"/>
  <c r="A434" i="32"/>
  <c r="B434" i="32" s="1"/>
  <c r="D453" i="32"/>
  <c r="H628" i="32"/>
  <c r="I628" i="32" s="1"/>
  <c r="K646" i="32"/>
  <c r="A366" i="32"/>
  <c r="B366" i="32" s="1"/>
  <c r="A365" i="32"/>
  <c r="B365" i="32" s="1"/>
  <c r="A367" i="32"/>
  <c r="B367" i="32" s="1"/>
  <c r="B368" i="32"/>
  <c r="A373" i="32"/>
  <c r="B373" i="32" s="1"/>
  <c r="A408" i="32"/>
  <c r="B408" i="32" s="1"/>
  <c r="D427" i="32"/>
  <c r="K405" i="32"/>
  <c r="H387" i="32"/>
  <c r="I387" i="32" s="1"/>
  <c r="D428" i="32"/>
  <c r="A409" i="32"/>
  <c r="B409" i="32" s="1"/>
  <c r="A402" i="32"/>
  <c r="B402" i="32" s="1"/>
  <c r="D421" i="32"/>
  <c r="K409" i="32"/>
  <c r="H391" i="32"/>
  <c r="I391" i="32" s="1"/>
  <c r="H648" i="32"/>
  <c r="I648" i="32" s="1"/>
  <c r="K666" i="32"/>
  <c r="H404" i="32"/>
  <c r="I404" i="32" s="1"/>
  <c r="K422" i="32"/>
  <c r="K658" i="32"/>
  <c r="H640" i="32"/>
  <c r="I640" i="32" s="1"/>
  <c r="A414" i="32"/>
  <c r="B414" i="32" s="1"/>
  <c r="D433" i="32"/>
  <c r="A400" i="32"/>
  <c r="B400" i="32" s="1"/>
  <c r="D419" i="32"/>
  <c r="A429" i="32"/>
  <c r="B429" i="32" s="1"/>
  <c r="D448" i="32"/>
  <c r="D458" i="32"/>
  <c r="A439" i="32"/>
  <c r="B439" i="32" s="1"/>
  <c r="H465" i="32"/>
  <c r="I465" i="32" s="1"/>
  <c r="K483" i="32"/>
  <c r="K410" i="32"/>
  <c r="H392" i="32"/>
  <c r="I392" i="32" s="1"/>
  <c r="H397" i="32"/>
  <c r="I397" i="32" s="1"/>
  <c r="K415" i="32"/>
  <c r="A437" i="32"/>
  <c r="B437" i="32" s="1"/>
  <c r="D456" i="32"/>
  <c r="H382" i="32"/>
  <c r="I382" i="32" s="1"/>
  <c r="H384" i="32"/>
  <c r="I384" i="32" s="1"/>
  <c r="I385" i="32"/>
  <c r="H389" i="32"/>
  <c r="I389" i="32" s="1"/>
  <c r="H383" i="32"/>
  <c r="I383" i="32" s="1"/>
  <c r="A394" i="32"/>
  <c r="B394" i="32" s="1"/>
  <c r="D413" i="32"/>
  <c r="A412" i="32"/>
  <c r="B412" i="32" s="1"/>
  <c r="D431" i="32"/>
  <c r="K421" i="32"/>
  <c r="H403" i="32"/>
  <c r="D426" i="32"/>
  <c r="A407" i="32"/>
  <c r="B407" i="32" s="1"/>
  <c r="A406" i="32" l="1"/>
  <c r="D425" i="32"/>
  <c r="H666" i="32"/>
  <c r="I666" i="32" s="1"/>
  <c r="K684" i="32"/>
  <c r="A448" i="32"/>
  <c r="B448" i="32" s="1"/>
  <c r="D467" i="32"/>
  <c r="A492" i="32"/>
  <c r="B492" i="32" s="1"/>
  <c r="D511" i="32"/>
  <c r="H413" i="32"/>
  <c r="I413" i="32" s="1"/>
  <c r="K431" i="32"/>
  <c r="A426" i="32"/>
  <c r="B426" i="32" s="1"/>
  <c r="D445" i="32"/>
  <c r="H400" i="32"/>
  <c r="I400" i="32" s="1"/>
  <c r="H402" i="32"/>
  <c r="I402" i="32" s="1"/>
  <c r="H407" i="32"/>
  <c r="I407" i="32" s="1"/>
  <c r="I403" i="32"/>
  <c r="H401" i="32"/>
  <c r="I401" i="32" s="1"/>
  <c r="H421" i="32"/>
  <c r="K439" i="32"/>
  <c r="K433" i="32"/>
  <c r="H415" i="32"/>
  <c r="I415" i="32" s="1"/>
  <c r="D452" i="32"/>
  <c r="A433" i="32"/>
  <c r="B433" i="32" s="1"/>
  <c r="H632" i="32"/>
  <c r="I632" i="32" s="1"/>
  <c r="K650" i="32"/>
  <c r="D450" i="32"/>
  <c r="A431" i="32"/>
  <c r="B431" i="32" s="1"/>
  <c r="A428" i="32"/>
  <c r="B428" i="32" s="1"/>
  <c r="D447" i="32"/>
  <c r="A453" i="32"/>
  <c r="B453" i="32" s="1"/>
  <c r="D472" i="32"/>
  <c r="D436" i="32"/>
  <c r="A417" i="32"/>
  <c r="B417" i="32" s="1"/>
  <c r="A392" i="32"/>
  <c r="B392" i="32" s="1"/>
  <c r="A386" i="32"/>
  <c r="B386" i="32" s="1"/>
  <c r="A384" i="32"/>
  <c r="B384" i="32" s="1"/>
  <c r="B387" i="32"/>
  <c r="A385" i="32"/>
  <c r="B385" i="32" s="1"/>
  <c r="A458" i="32"/>
  <c r="B458" i="32" s="1"/>
  <c r="D477" i="32"/>
  <c r="K427" i="32"/>
  <c r="H409" i="32"/>
  <c r="I409" i="32" s="1"/>
  <c r="A456" i="32"/>
  <c r="B456" i="32" s="1"/>
  <c r="D475" i="32"/>
  <c r="A419" i="32"/>
  <c r="B419" i="32" s="1"/>
  <c r="D438" i="32"/>
  <c r="A421" i="32"/>
  <c r="B421" i="32" s="1"/>
  <c r="D440" i="32"/>
  <c r="K664" i="32"/>
  <c r="H646" i="32"/>
  <c r="I646" i="32" s="1"/>
  <c r="A413" i="32"/>
  <c r="B413" i="32" s="1"/>
  <c r="D432" i="32"/>
  <c r="H410" i="32"/>
  <c r="I410" i="32" s="1"/>
  <c r="K428" i="32"/>
  <c r="K676" i="32"/>
  <c r="H658" i="32"/>
  <c r="I658" i="32" s="1"/>
  <c r="K423" i="32"/>
  <c r="H405" i="32"/>
  <c r="I405" i="32" s="1"/>
  <c r="H483" i="32"/>
  <c r="I483" i="32" s="1"/>
  <c r="K501" i="32"/>
  <c r="H422" i="32"/>
  <c r="I422" i="32" s="1"/>
  <c r="K440" i="32"/>
  <c r="A427" i="32"/>
  <c r="B427" i="32" s="1"/>
  <c r="D446" i="32"/>
  <c r="H417" i="32"/>
  <c r="I417" i="32" s="1"/>
  <c r="K435" i="32"/>
  <c r="H408" i="32"/>
  <c r="I408" i="32" s="1"/>
  <c r="K426" i="32"/>
  <c r="K519" i="32" l="1"/>
  <c r="H501" i="32"/>
  <c r="I501" i="32" s="1"/>
  <c r="A440" i="32"/>
  <c r="B440" i="32" s="1"/>
  <c r="D459" i="32"/>
  <c r="A445" i="32"/>
  <c r="B445" i="32" s="1"/>
  <c r="D464" i="32"/>
  <c r="A438" i="32"/>
  <c r="B438" i="32" s="1"/>
  <c r="D457" i="32"/>
  <c r="A452" i="32"/>
  <c r="B452" i="32" s="1"/>
  <c r="D471" i="32"/>
  <c r="K449" i="32"/>
  <c r="H431" i="32"/>
  <c r="I431" i="32" s="1"/>
  <c r="H423" i="32"/>
  <c r="I423" i="32" s="1"/>
  <c r="K441" i="32"/>
  <c r="K444" i="32"/>
  <c r="H426" i="32"/>
  <c r="I426" i="32" s="1"/>
  <c r="A475" i="32"/>
  <c r="B475" i="32" s="1"/>
  <c r="D494" i="32"/>
  <c r="A436" i="32"/>
  <c r="B436" i="32" s="1"/>
  <c r="D455" i="32"/>
  <c r="H433" i="32"/>
  <c r="I433" i="32" s="1"/>
  <c r="K451" i="32"/>
  <c r="A472" i="32"/>
  <c r="B472" i="32" s="1"/>
  <c r="D491" i="32"/>
  <c r="H439" i="32"/>
  <c r="K457" i="32"/>
  <c r="K453" i="32"/>
  <c r="H435" i="32"/>
  <c r="I435" i="32" s="1"/>
  <c r="H428" i="32"/>
  <c r="I428" i="32" s="1"/>
  <c r="K446" i="32"/>
  <c r="I421" i="32"/>
  <c r="H419" i="32"/>
  <c r="I419" i="32" s="1"/>
  <c r="H418" i="32"/>
  <c r="I418" i="32" s="1"/>
  <c r="H425" i="32"/>
  <c r="I425" i="32" s="1"/>
  <c r="H420" i="32"/>
  <c r="I420" i="32" s="1"/>
  <c r="A467" i="32"/>
  <c r="B467" i="32" s="1"/>
  <c r="D486" i="32"/>
  <c r="K445" i="32"/>
  <c r="H427" i="32"/>
  <c r="I427" i="32" s="1"/>
  <c r="D466" i="32"/>
  <c r="A447" i="32"/>
  <c r="B447" i="32" s="1"/>
  <c r="A446" i="32"/>
  <c r="B446" i="32" s="1"/>
  <c r="D465" i="32"/>
  <c r="A432" i="32"/>
  <c r="B432" i="32" s="1"/>
  <c r="D451" i="32"/>
  <c r="D496" i="32"/>
  <c r="A477" i="32"/>
  <c r="B477" i="32" s="1"/>
  <c r="K702" i="32"/>
  <c r="H684" i="32"/>
  <c r="I684" i="32" s="1"/>
  <c r="D530" i="32"/>
  <c r="A511" i="32"/>
  <c r="B511" i="32" s="1"/>
  <c r="K694" i="32"/>
  <c r="H676" i="32"/>
  <c r="I676" i="32" s="1"/>
  <c r="K458" i="32"/>
  <c r="H440" i="32"/>
  <c r="I440" i="32" s="1"/>
  <c r="A450" i="32"/>
  <c r="B450" i="32" s="1"/>
  <c r="D469" i="32"/>
  <c r="D444" i="32"/>
  <c r="A425" i="32"/>
  <c r="K682" i="32"/>
  <c r="H664" i="32"/>
  <c r="I664" i="32" s="1"/>
  <c r="K668" i="32"/>
  <c r="H650" i="32"/>
  <c r="I650" i="32" s="1"/>
  <c r="A404" i="32"/>
  <c r="B404" i="32" s="1"/>
  <c r="A411" i="32"/>
  <c r="B411" i="32" s="1"/>
  <c r="A403" i="32"/>
  <c r="B403" i="32" s="1"/>
  <c r="B406" i="32"/>
  <c r="A405" i="32"/>
  <c r="B405" i="32" s="1"/>
  <c r="H443" i="32" l="1"/>
  <c r="I443" i="32" s="1"/>
  <c r="H437" i="32"/>
  <c r="I437" i="32" s="1"/>
  <c r="I439" i="32"/>
  <c r="H438" i="32"/>
  <c r="I438" i="32" s="1"/>
  <c r="H436" i="32"/>
  <c r="I436" i="32" s="1"/>
  <c r="H519" i="32"/>
  <c r="I519" i="32" s="1"/>
  <c r="K537" i="32"/>
  <c r="H682" i="32"/>
  <c r="I682" i="32" s="1"/>
  <c r="K700" i="32"/>
  <c r="H702" i="32"/>
  <c r="I702" i="32" s="1"/>
  <c r="K720" i="32"/>
  <c r="D510" i="32"/>
  <c r="A491" i="32"/>
  <c r="B491" i="32" s="1"/>
  <c r="A430" i="32"/>
  <c r="B430" i="32" s="1"/>
  <c r="A424" i="32"/>
  <c r="B424" i="32" s="1"/>
  <c r="A422" i="32"/>
  <c r="B422" i="32" s="1"/>
  <c r="A423" i="32"/>
  <c r="B423" i="32" s="1"/>
  <c r="B425" i="32"/>
  <c r="H449" i="32"/>
  <c r="I449" i="32" s="1"/>
  <c r="K467" i="32"/>
  <c r="A444" i="32"/>
  <c r="D463" i="32"/>
  <c r="A496" i="32"/>
  <c r="B496" i="32" s="1"/>
  <c r="D515" i="32"/>
  <c r="K469" i="32"/>
  <c r="H451" i="32"/>
  <c r="I451" i="32" s="1"/>
  <c r="A471" i="32"/>
  <c r="B471" i="32" s="1"/>
  <c r="D490" i="32"/>
  <c r="D488" i="32"/>
  <c r="A469" i="32"/>
  <c r="B469" i="32" s="1"/>
  <c r="D470" i="32"/>
  <c r="A451" i="32"/>
  <c r="B451" i="32" s="1"/>
  <c r="D474" i="32"/>
  <c r="A455" i="32"/>
  <c r="B455" i="32" s="1"/>
  <c r="D476" i="32"/>
  <c r="A457" i="32"/>
  <c r="B457" i="32" s="1"/>
  <c r="D484" i="32"/>
  <c r="A465" i="32"/>
  <c r="B465" i="32" s="1"/>
  <c r="K476" i="32"/>
  <c r="H458" i="32"/>
  <c r="I458" i="32" s="1"/>
  <c r="K464" i="32"/>
  <c r="H446" i="32"/>
  <c r="I446" i="32" s="1"/>
  <c r="A494" i="32"/>
  <c r="B494" i="32" s="1"/>
  <c r="D513" i="32"/>
  <c r="A464" i="32"/>
  <c r="B464" i="32" s="1"/>
  <c r="D483" i="32"/>
  <c r="H694" i="32"/>
  <c r="I694" i="32" s="1"/>
  <c r="K712" i="32"/>
  <c r="A466" i="32"/>
  <c r="B466" i="32" s="1"/>
  <c r="D485" i="32"/>
  <c r="A459" i="32"/>
  <c r="B459" i="32" s="1"/>
  <c r="D478" i="32"/>
  <c r="K471" i="32"/>
  <c r="H453" i="32"/>
  <c r="I453" i="32" s="1"/>
  <c r="K462" i="32"/>
  <c r="H444" i="32"/>
  <c r="I444" i="32" s="1"/>
  <c r="A486" i="32"/>
  <c r="B486" i="32" s="1"/>
  <c r="D505" i="32"/>
  <c r="H668" i="32"/>
  <c r="I668" i="32" s="1"/>
  <c r="K686" i="32"/>
  <c r="A530" i="32"/>
  <c r="B530" i="32" s="1"/>
  <c r="D549" i="32"/>
  <c r="H445" i="32"/>
  <c r="I445" i="32" s="1"/>
  <c r="K463" i="32"/>
  <c r="K475" i="32"/>
  <c r="H457" i="32"/>
  <c r="H441" i="32"/>
  <c r="I441" i="32" s="1"/>
  <c r="K459" i="32"/>
  <c r="K704" i="32" l="1"/>
  <c r="H686" i="32"/>
  <c r="I686" i="32" s="1"/>
  <c r="A510" i="32"/>
  <c r="B510" i="32" s="1"/>
  <c r="D529" i="32"/>
  <c r="A476" i="32"/>
  <c r="B476" i="32" s="1"/>
  <c r="D495" i="32"/>
  <c r="K738" i="32"/>
  <c r="H720" i="32"/>
  <c r="I720" i="32" s="1"/>
  <c r="D524" i="32"/>
  <c r="A505" i="32"/>
  <c r="B505" i="32" s="1"/>
  <c r="A463" i="32"/>
  <c r="D482" i="32"/>
  <c r="H700" i="32"/>
  <c r="I700" i="32" s="1"/>
  <c r="K718" i="32"/>
  <c r="H459" i="32"/>
  <c r="I459" i="32" s="1"/>
  <c r="K477" i="32"/>
  <c r="A513" i="32"/>
  <c r="B513" i="32" s="1"/>
  <c r="D532" i="32"/>
  <c r="H454" i="32"/>
  <c r="I454" i="32" s="1"/>
  <c r="I457" i="32"/>
  <c r="H455" i="32"/>
  <c r="I455" i="32" s="1"/>
  <c r="H461" i="32"/>
  <c r="I461" i="32" s="1"/>
  <c r="H456" i="32"/>
  <c r="I456" i="32" s="1"/>
  <c r="K730" i="32"/>
  <c r="H712" i="32"/>
  <c r="I712" i="32" s="1"/>
  <c r="D534" i="32"/>
  <c r="A515" i="32"/>
  <c r="B515" i="32" s="1"/>
  <c r="A483" i="32"/>
  <c r="B483" i="32" s="1"/>
  <c r="D502" i="32"/>
  <c r="A474" i="32"/>
  <c r="B474" i="32" s="1"/>
  <c r="D493" i="32"/>
  <c r="H467" i="32"/>
  <c r="I467" i="32" s="1"/>
  <c r="K485" i="32"/>
  <c r="A470" i="32"/>
  <c r="B470" i="32" s="1"/>
  <c r="D489" i="32"/>
  <c r="H537" i="32"/>
  <c r="I537" i="32" s="1"/>
  <c r="K555" i="32"/>
  <c r="K493" i="32"/>
  <c r="H475" i="32"/>
  <c r="K482" i="32"/>
  <c r="H464" i="32"/>
  <c r="I464" i="32" s="1"/>
  <c r="K481" i="32"/>
  <c r="H463" i="32"/>
  <c r="I463" i="32" s="1"/>
  <c r="A442" i="32"/>
  <c r="B442" i="32" s="1"/>
  <c r="A449" i="32"/>
  <c r="B449" i="32" s="1"/>
  <c r="A441" i="32"/>
  <c r="B441" i="32" s="1"/>
  <c r="B444" i="32"/>
  <c r="A443" i="32"/>
  <c r="B443" i="32" s="1"/>
  <c r="K480" i="32"/>
  <c r="H462" i="32"/>
  <c r="I462" i="32" s="1"/>
  <c r="K489" i="32"/>
  <c r="H471" i="32"/>
  <c r="I471" i="32" s="1"/>
  <c r="A488" i="32"/>
  <c r="B488" i="32" s="1"/>
  <c r="D507" i="32"/>
  <c r="A478" i="32"/>
  <c r="B478" i="32" s="1"/>
  <c r="D497" i="32"/>
  <c r="A490" i="32"/>
  <c r="B490" i="32" s="1"/>
  <c r="D509" i="32"/>
  <c r="H476" i="32"/>
  <c r="I476" i="32" s="1"/>
  <c r="K494" i="32"/>
  <c r="D568" i="32"/>
  <c r="A549" i="32"/>
  <c r="B549" i="32" s="1"/>
  <c r="A485" i="32"/>
  <c r="B485" i="32" s="1"/>
  <c r="D504" i="32"/>
  <c r="A484" i="32"/>
  <c r="B484" i="32" s="1"/>
  <c r="D503" i="32"/>
  <c r="H469" i="32"/>
  <c r="I469" i="32" s="1"/>
  <c r="K487" i="32"/>
  <c r="A489" i="32" l="1"/>
  <c r="B489" i="32" s="1"/>
  <c r="D508" i="32"/>
  <c r="H485" i="32"/>
  <c r="I485" i="32" s="1"/>
  <c r="K503" i="32"/>
  <c r="H494" i="32"/>
  <c r="I494" i="32" s="1"/>
  <c r="K512" i="32"/>
  <c r="H730" i="32"/>
  <c r="I730" i="32" s="1"/>
  <c r="K748" i="32"/>
  <c r="A482" i="32"/>
  <c r="D501" i="32"/>
  <c r="A468" i="32"/>
  <c r="B468" i="32" s="1"/>
  <c r="A462" i="32"/>
  <c r="B462" i="32" s="1"/>
  <c r="A460" i="32"/>
  <c r="B460" i="32" s="1"/>
  <c r="B463" i="32"/>
  <c r="A461" i="32"/>
  <c r="B461" i="32" s="1"/>
  <c r="A509" i="32"/>
  <c r="B509" i="32" s="1"/>
  <c r="D528" i="32"/>
  <c r="A524" i="32"/>
  <c r="B524" i="32" s="1"/>
  <c r="D543" i="32"/>
  <c r="K505" i="32"/>
  <c r="H487" i="32"/>
  <c r="I487" i="32" s="1"/>
  <c r="A497" i="32"/>
  <c r="B497" i="32" s="1"/>
  <c r="D516" i="32"/>
  <c r="D512" i="32"/>
  <c r="A493" i="32"/>
  <c r="B493" i="32" s="1"/>
  <c r="K756" i="32"/>
  <c r="H738" i="32"/>
  <c r="I738" i="32" s="1"/>
  <c r="D522" i="32"/>
  <c r="A503" i="32"/>
  <c r="B503" i="32" s="1"/>
  <c r="A507" i="32"/>
  <c r="B507" i="32" s="1"/>
  <c r="D526" i="32"/>
  <c r="K499" i="32"/>
  <c r="H481" i="32"/>
  <c r="I481" i="32" s="1"/>
  <c r="A532" i="32"/>
  <c r="B532" i="32" s="1"/>
  <c r="D551" i="32"/>
  <c r="A495" i="32"/>
  <c r="B495" i="32" s="1"/>
  <c r="D514" i="32"/>
  <c r="A502" i="32"/>
  <c r="B502" i="32" s="1"/>
  <c r="D521" i="32"/>
  <c r="A504" i="32"/>
  <c r="B504" i="32" s="1"/>
  <c r="D523" i="32"/>
  <c r="K500" i="32"/>
  <c r="H482" i="32"/>
  <c r="I482" i="32" s="1"/>
  <c r="K495" i="32"/>
  <c r="H477" i="32"/>
  <c r="I477" i="32" s="1"/>
  <c r="D548" i="32"/>
  <c r="A529" i="32"/>
  <c r="B529" i="32" s="1"/>
  <c r="H489" i="32"/>
  <c r="I489" i="32" s="1"/>
  <c r="K507" i="32"/>
  <c r="H473" i="32"/>
  <c r="I473" i="32" s="1"/>
  <c r="H479" i="32"/>
  <c r="I479" i="32" s="1"/>
  <c r="I475" i="32"/>
  <c r="H474" i="32"/>
  <c r="I474" i="32" s="1"/>
  <c r="H472" i="32"/>
  <c r="I472" i="32" s="1"/>
  <c r="K511" i="32"/>
  <c r="H493" i="32"/>
  <c r="A534" i="32"/>
  <c r="B534" i="32" s="1"/>
  <c r="D553" i="32"/>
  <c r="H718" i="32"/>
  <c r="I718" i="32" s="1"/>
  <c r="K736" i="32"/>
  <c r="A568" i="32"/>
  <c r="B568" i="32" s="1"/>
  <c r="D587" i="32"/>
  <c r="H480" i="32"/>
  <c r="I480" i="32" s="1"/>
  <c r="K498" i="32"/>
  <c r="H555" i="32"/>
  <c r="I555" i="32" s="1"/>
  <c r="K573" i="32"/>
  <c r="K722" i="32"/>
  <c r="H704" i="32"/>
  <c r="I704" i="32" s="1"/>
  <c r="A480" i="32" l="1"/>
  <c r="B480" i="32" s="1"/>
  <c r="A487" i="32"/>
  <c r="B487" i="32" s="1"/>
  <c r="A479" i="32"/>
  <c r="B479" i="32" s="1"/>
  <c r="A481" i="32"/>
  <c r="B481" i="32" s="1"/>
  <c r="B482" i="32"/>
  <c r="K754" i="32"/>
  <c r="H736" i="32"/>
  <c r="I736" i="32" s="1"/>
  <c r="A512" i="32"/>
  <c r="B512" i="32" s="1"/>
  <c r="D531" i="32"/>
  <c r="A551" i="32"/>
  <c r="B551" i="32" s="1"/>
  <c r="D570" i="32"/>
  <c r="A516" i="32"/>
  <c r="B516" i="32" s="1"/>
  <c r="D535" i="32"/>
  <c r="D572" i="32"/>
  <c r="A553" i="32"/>
  <c r="B553" i="32" s="1"/>
  <c r="A548" i="32"/>
  <c r="B548" i="32" s="1"/>
  <c r="D567" i="32"/>
  <c r="D520" i="32"/>
  <c r="A501" i="32"/>
  <c r="I493" i="32"/>
  <c r="H491" i="32"/>
  <c r="I491" i="32" s="1"/>
  <c r="H497" i="32"/>
  <c r="I497" i="32" s="1"/>
  <c r="H492" i="32"/>
  <c r="I492" i="32" s="1"/>
  <c r="H490" i="32"/>
  <c r="I490" i="32" s="1"/>
  <c r="H495" i="32"/>
  <c r="I495" i="32" s="1"/>
  <c r="K513" i="32"/>
  <c r="K517" i="32"/>
  <c r="H499" i="32"/>
  <c r="I499" i="32" s="1"/>
  <c r="H505" i="32"/>
  <c r="I505" i="32" s="1"/>
  <c r="K523" i="32"/>
  <c r="K766" i="32"/>
  <c r="H748" i="32"/>
  <c r="I748" i="32" s="1"/>
  <c r="H722" i="32"/>
  <c r="I722" i="32" s="1"/>
  <c r="K740" i="32"/>
  <c r="K529" i="32"/>
  <c r="H511" i="32"/>
  <c r="A526" i="32"/>
  <c r="B526" i="32" s="1"/>
  <c r="D545" i="32"/>
  <c r="A543" i="32"/>
  <c r="B543" i="32" s="1"/>
  <c r="D562" i="32"/>
  <c r="H573" i="32"/>
  <c r="I573" i="32" s="1"/>
  <c r="K591" i="32"/>
  <c r="H500" i="32"/>
  <c r="I500" i="32" s="1"/>
  <c r="K518" i="32"/>
  <c r="K530" i="32"/>
  <c r="H512" i="32"/>
  <c r="I512" i="32" s="1"/>
  <c r="D542" i="32"/>
  <c r="A523" i="32"/>
  <c r="B523" i="32" s="1"/>
  <c r="A528" i="32"/>
  <c r="B528" i="32" s="1"/>
  <c r="D547" i="32"/>
  <c r="K516" i="32"/>
  <c r="H498" i="32"/>
  <c r="I498" i="32" s="1"/>
  <c r="A522" i="32"/>
  <c r="B522" i="32" s="1"/>
  <c r="D541" i="32"/>
  <c r="H503" i="32"/>
  <c r="I503" i="32" s="1"/>
  <c r="K521" i="32"/>
  <c r="A521" i="32"/>
  <c r="B521" i="32" s="1"/>
  <c r="D540" i="32"/>
  <c r="D606" i="32"/>
  <c r="A587" i="32"/>
  <c r="B587" i="32" s="1"/>
  <c r="H756" i="32"/>
  <c r="I756" i="32" s="1"/>
  <c r="K774" i="32"/>
  <c r="A508" i="32"/>
  <c r="B508" i="32" s="1"/>
  <c r="D527" i="32"/>
  <c r="K525" i="32"/>
  <c r="H507" i="32"/>
  <c r="I507" i="32" s="1"/>
  <c r="A514" i="32"/>
  <c r="B514" i="32" s="1"/>
  <c r="D533" i="32"/>
  <c r="A606" i="32" l="1"/>
  <c r="B606" i="32" s="1"/>
  <c r="D625" i="32"/>
  <c r="A540" i="32"/>
  <c r="B540" i="32" s="1"/>
  <c r="D559" i="32"/>
  <c r="H530" i="32"/>
  <c r="I530" i="32" s="1"/>
  <c r="K548" i="32"/>
  <c r="H766" i="32"/>
  <c r="I766" i="32" s="1"/>
  <c r="K784" i="32"/>
  <c r="A506" i="32"/>
  <c r="B506" i="32" s="1"/>
  <c r="A500" i="32"/>
  <c r="B500" i="32" s="1"/>
  <c r="A498" i="32"/>
  <c r="B498" i="32" s="1"/>
  <c r="B501" i="32"/>
  <c r="A499" i="32"/>
  <c r="B499" i="32" s="1"/>
  <c r="D560" i="32"/>
  <c r="A541" i="32"/>
  <c r="B541" i="32" s="1"/>
  <c r="H591" i="32"/>
  <c r="I591" i="32" s="1"/>
  <c r="K609" i="32"/>
  <c r="K541" i="32"/>
  <c r="H523" i="32"/>
  <c r="I523" i="32" s="1"/>
  <c r="A520" i="32"/>
  <c r="D539" i="32"/>
  <c r="H754" i="32"/>
  <c r="I754" i="32" s="1"/>
  <c r="K772" i="32"/>
  <c r="K543" i="32"/>
  <c r="H525" i="32"/>
  <c r="I525" i="32" s="1"/>
  <c r="D586" i="32"/>
  <c r="A567" i="32"/>
  <c r="B567" i="32" s="1"/>
  <c r="D546" i="32"/>
  <c r="A527" i="32"/>
  <c r="B527" i="32" s="1"/>
  <c r="A562" i="32"/>
  <c r="B562" i="32" s="1"/>
  <c r="D581" i="32"/>
  <c r="H516" i="32"/>
  <c r="I516" i="32" s="1"/>
  <c r="K534" i="32"/>
  <c r="K535" i="32"/>
  <c r="H517" i="32"/>
  <c r="I517" i="32" s="1"/>
  <c r="H774" i="32"/>
  <c r="I774" i="32" s="1"/>
  <c r="K792" i="32"/>
  <c r="D566" i="32"/>
  <c r="A547" i="32"/>
  <c r="B547" i="32" s="1"/>
  <c r="D564" i="32"/>
  <c r="A545" i="32"/>
  <c r="B545" i="32" s="1"/>
  <c r="H513" i="32"/>
  <c r="I513" i="32" s="1"/>
  <c r="K531" i="32"/>
  <c r="A572" i="32"/>
  <c r="B572" i="32" s="1"/>
  <c r="D591" i="32"/>
  <c r="H515" i="32"/>
  <c r="I515" i="32" s="1"/>
  <c r="H510" i="32"/>
  <c r="I510" i="32" s="1"/>
  <c r="H508" i="32"/>
  <c r="I508" i="32" s="1"/>
  <c r="H509" i="32"/>
  <c r="I509" i="32" s="1"/>
  <c r="I511" i="32"/>
  <c r="A542" i="32"/>
  <c r="B542" i="32" s="1"/>
  <c r="D561" i="32"/>
  <c r="K547" i="32"/>
  <c r="H529" i="32"/>
  <c r="A570" i="32"/>
  <c r="B570" i="32" s="1"/>
  <c r="D589" i="32"/>
  <c r="K758" i="32"/>
  <c r="H740" i="32"/>
  <c r="I740" i="32" s="1"/>
  <c r="A531" i="32"/>
  <c r="B531" i="32" s="1"/>
  <c r="D550" i="32"/>
  <c r="A533" i="32"/>
  <c r="B533" i="32" s="1"/>
  <c r="D552" i="32"/>
  <c r="K539" i="32"/>
  <c r="H521" i="32"/>
  <c r="I521" i="32" s="1"/>
  <c r="K536" i="32"/>
  <c r="H518" i="32"/>
  <c r="I518" i="32" s="1"/>
  <c r="A535" i="32"/>
  <c r="B535" i="32" s="1"/>
  <c r="D554" i="32"/>
  <c r="H543" i="32" l="1"/>
  <c r="I543" i="32" s="1"/>
  <c r="K561" i="32"/>
  <c r="K790" i="32"/>
  <c r="H772" i="32"/>
  <c r="I772" i="32" s="1"/>
  <c r="K776" i="32"/>
  <c r="H758" i="32"/>
  <c r="I758" i="32" s="1"/>
  <c r="A589" i="32"/>
  <c r="B589" i="32" s="1"/>
  <c r="D608" i="32"/>
  <c r="A550" i="32"/>
  <c r="B550" i="32" s="1"/>
  <c r="D569" i="32"/>
  <c r="H535" i="32"/>
  <c r="I535" i="32" s="1"/>
  <c r="K553" i="32"/>
  <c r="A591" i="32"/>
  <c r="B591" i="32" s="1"/>
  <c r="D610" i="32"/>
  <c r="K552" i="32"/>
  <c r="H534" i="32"/>
  <c r="I534" i="32" s="1"/>
  <c r="A539" i="32"/>
  <c r="D558" i="32"/>
  <c r="A554" i="32"/>
  <c r="B554" i="32" s="1"/>
  <c r="D573" i="32"/>
  <c r="A518" i="32"/>
  <c r="B518" i="32" s="1"/>
  <c r="B520" i="32"/>
  <c r="A517" i="32"/>
  <c r="B517" i="32" s="1"/>
  <c r="A525" i="32"/>
  <c r="B525" i="32" s="1"/>
  <c r="A519" i="32"/>
  <c r="B519" i="32" s="1"/>
  <c r="K802" i="32"/>
  <c r="H784" i="32"/>
  <c r="I784" i="32" s="1"/>
  <c r="K549" i="32"/>
  <c r="H531" i="32"/>
  <c r="I531" i="32" s="1"/>
  <c r="D600" i="32"/>
  <c r="A581" i="32"/>
  <c r="B581" i="32" s="1"/>
  <c r="H526" i="32"/>
  <c r="I526" i="32" s="1"/>
  <c r="H528" i="32"/>
  <c r="I528" i="32" s="1"/>
  <c r="H527" i="32"/>
  <c r="I527" i="32" s="1"/>
  <c r="H533" i="32"/>
  <c r="I533" i="32" s="1"/>
  <c r="I529" i="32"/>
  <c r="H541" i="32"/>
  <c r="I541" i="32" s="1"/>
  <c r="K559" i="32"/>
  <c r="H548" i="32"/>
  <c r="I548" i="32" s="1"/>
  <c r="K566" i="32"/>
  <c r="K554" i="32"/>
  <c r="H536" i="32"/>
  <c r="I536" i="32" s="1"/>
  <c r="K565" i="32"/>
  <c r="H547" i="32"/>
  <c r="K627" i="32"/>
  <c r="H609" i="32"/>
  <c r="I609" i="32" s="1"/>
  <c r="D580" i="32"/>
  <c r="A561" i="32"/>
  <c r="B561" i="32" s="1"/>
  <c r="A564" i="32"/>
  <c r="B564" i="32" s="1"/>
  <c r="D583" i="32"/>
  <c r="A546" i="32"/>
  <c r="B546" i="32" s="1"/>
  <c r="D565" i="32"/>
  <c r="D578" i="32"/>
  <c r="A559" i="32"/>
  <c r="B559" i="32" s="1"/>
  <c r="H539" i="32"/>
  <c r="I539" i="32" s="1"/>
  <c r="K557" i="32"/>
  <c r="A552" i="32"/>
  <c r="B552" i="32" s="1"/>
  <c r="D571" i="32"/>
  <c r="A566" i="32"/>
  <c r="B566" i="32" s="1"/>
  <c r="D585" i="32"/>
  <c r="A586" i="32"/>
  <c r="B586" i="32" s="1"/>
  <c r="D605" i="32"/>
  <c r="A560" i="32"/>
  <c r="B560" i="32" s="1"/>
  <c r="D579" i="32"/>
  <c r="D644" i="32"/>
  <c r="A625" i="32"/>
  <c r="B625" i="32" s="1"/>
  <c r="K810" i="32"/>
  <c r="H792" i="32"/>
  <c r="I792" i="32" s="1"/>
  <c r="A580" i="32" l="1"/>
  <c r="B580" i="32" s="1"/>
  <c r="D599" i="32"/>
  <c r="D592" i="32"/>
  <c r="A573" i="32"/>
  <c r="B573" i="32" s="1"/>
  <c r="D604" i="32"/>
  <c r="A585" i="32"/>
  <c r="B585" i="32" s="1"/>
  <c r="K571" i="32"/>
  <c r="H553" i="32"/>
  <c r="I553" i="32" s="1"/>
  <c r="A569" i="32"/>
  <c r="B569" i="32" s="1"/>
  <c r="D588" i="32"/>
  <c r="K645" i="32"/>
  <c r="H627" i="32"/>
  <c r="I627" i="32" s="1"/>
  <c r="K575" i="32"/>
  <c r="H557" i="32"/>
  <c r="I557" i="32" s="1"/>
  <c r="A544" i="32"/>
  <c r="B544" i="32" s="1"/>
  <c r="A538" i="32"/>
  <c r="B538" i="32" s="1"/>
  <c r="A536" i="32"/>
  <c r="B536" i="32" s="1"/>
  <c r="B539" i="32"/>
  <c r="A537" i="32"/>
  <c r="B537" i="32" s="1"/>
  <c r="D598" i="32"/>
  <c r="A579" i="32"/>
  <c r="B579" i="32" s="1"/>
  <c r="K584" i="32"/>
  <c r="H566" i="32"/>
  <c r="I566" i="32" s="1"/>
  <c r="K570" i="32"/>
  <c r="H552" i="32"/>
  <c r="I552" i="32" s="1"/>
  <c r="K808" i="32"/>
  <c r="H790" i="32"/>
  <c r="I790" i="32" s="1"/>
  <c r="D624" i="32"/>
  <c r="A605" i="32"/>
  <c r="B605" i="32" s="1"/>
  <c r="A583" i="32"/>
  <c r="B583" i="32" s="1"/>
  <c r="D602" i="32"/>
  <c r="K577" i="32"/>
  <c r="H559" i="32"/>
  <c r="I559" i="32" s="1"/>
  <c r="H802" i="32"/>
  <c r="I802" i="32" s="1"/>
  <c r="K820" i="32"/>
  <c r="A610" i="32"/>
  <c r="B610" i="32" s="1"/>
  <c r="D629" i="32"/>
  <c r="H561" i="32"/>
  <c r="I561" i="32" s="1"/>
  <c r="K579" i="32"/>
  <c r="A571" i="32"/>
  <c r="B571" i="32" s="1"/>
  <c r="D590" i="32"/>
  <c r="H544" i="32"/>
  <c r="I544" i="32" s="1"/>
  <c r="H551" i="32"/>
  <c r="I551" i="32" s="1"/>
  <c r="I547" i="32"/>
  <c r="H546" i="32"/>
  <c r="I546" i="32" s="1"/>
  <c r="H545" i="32"/>
  <c r="I545" i="32" s="1"/>
  <c r="A608" i="32"/>
  <c r="B608" i="32" s="1"/>
  <c r="D627" i="32"/>
  <c r="K828" i="32"/>
  <c r="H810" i="32"/>
  <c r="I810" i="32" s="1"/>
  <c r="H565" i="32"/>
  <c r="K583" i="32"/>
  <c r="A600" i="32"/>
  <c r="B600" i="32" s="1"/>
  <c r="D619" i="32"/>
  <c r="A558" i="32"/>
  <c r="D577" i="32"/>
  <c r="A644" i="32"/>
  <c r="B644" i="32" s="1"/>
  <c r="D663" i="32"/>
  <c r="A578" i="32"/>
  <c r="B578" i="32" s="1"/>
  <c r="D597" i="32"/>
  <c r="H554" i="32"/>
  <c r="I554" i="32" s="1"/>
  <c r="K572" i="32"/>
  <c r="H776" i="32"/>
  <c r="I776" i="32" s="1"/>
  <c r="K794" i="32"/>
  <c r="A565" i="32"/>
  <c r="B565" i="32" s="1"/>
  <c r="D584" i="32"/>
  <c r="H549" i="32"/>
  <c r="I549" i="32" s="1"/>
  <c r="K567" i="32"/>
  <c r="K838" i="32" l="1"/>
  <c r="H820" i="32"/>
  <c r="I820" i="32" s="1"/>
  <c r="K663" i="32"/>
  <c r="H645" i="32"/>
  <c r="I645" i="32" s="1"/>
  <c r="A663" i="32"/>
  <c r="B663" i="32" s="1"/>
  <c r="D682" i="32"/>
  <c r="A598" i="32"/>
  <c r="B598" i="32" s="1"/>
  <c r="D617" i="32"/>
  <c r="D616" i="32"/>
  <c r="A597" i="32"/>
  <c r="B597" i="32" s="1"/>
  <c r="A627" i="32"/>
  <c r="B627" i="32" s="1"/>
  <c r="D646" i="32"/>
  <c r="K588" i="32"/>
  <c r="H570" i="32"/>
  <c r="I570" i="32" s="1"/>
  <c r="K602" i="32"/>
  <c r="H584" i="32"/>
  <c r="I584" i="32" s="1"/>
  <c r="A588" i="32"/>
  <c r="B588" i="32" s="1"/>
  <c r="D607" i="32"/>
  <c r="K585" i="32"/>
  <c r="H567" i="32"/>
  <c r="I567" i="32" s="1"/>
  <c r="A577" i="32"/>
  <c r="D596" i="32"/>
  <c r="H577" i="32"/>
  <c r="I577" i="32" s="1"/>
  <c r="K595" i="32"/>
  <c r="A602" i="32"/>
  <c r="B602" i="32" s="1"/>
  <c r="D621" i="32"/>
  <c r="H571" i="32"/>
  <c r="I571" i="32" s="1"/>
  <c r="K589" i="32"/>
  <c r="A584" i="32"/>
  <c r="B584" i="32" s="1"/>
  <c r="D603" i="32"/>
  <c r="A590" i="32"/>
  <c r="B590" i="32" s="1"/>
  <c r="D609" i="32"/>
  <c r="A604" i="32"/>
  <c r="B604" i="32" s="1"/>
  <c r="D623" i="32"/>
  <c r="K601" i="32"/>
  <c r="H583" i="32"/>
  <c r="A624" i="32"/>
  <c r="B624" i="32" s="1"/>
  <c r="D643" i="32"/>
  <c r="H562" i="32"/>
  <c r="I562" i="32" s="1"/>
  <c r="I565" i="32"/>
  <c r="H563" i="32"/>
  <c r="I563" i="32" s="1"/>
  <c r="H569" i="32"/>
  <c r="I569" i="32" s="1"/>
  <c r="H564" i="32"/>
  <c r="I564" i="32" s="1"/>
  <c r="H579" i="32"/>
  <c r="I579" i="32" s="1"/>
  <c r="K597" i="32"/>
  <c r="A592" i="32"/>
  <c r="B592" i="32" s="1"/>
  <c r="D611" i="32"/>
  <c r="H572" i="32"/>
  <c r="I572" i="32" s="1"/>
  <c r="K590" i="32"/>
  <c r="K826" i="32"/>
  <c r="H808" i="32"/>
  <c r="I808" i="32" s="1"/>
  <c r="A599" i="32"/>
  <c r="B599" i="32" s="1"/>
  <c r="D618" i="32"/>
  <c r="A556" i="32"/>
  <c r="B556" i="32" s="1"/>
  <c r="A555" i="32"/>
  <c r="B555" i="32" s="1"/>
  <c r="A557" i="32"/>
  <c r="B557" i="32" s="1"/>
  <c r="A563" i="32"/>
  <c r="B563" i="32" s="1"/>
  <c r="B558" i="32"/>
  <c r="A619" i="32"/>
  <c r="B619" i="32" s="1"/>
  <c r="D638" i="32"/>
  <c r="H794" i="32"/>
  <c r="I794" i="32" s="1"/>
  <c r="K812" i="32"/>
  <c r="H828" i="32"/>
  <c r="I828" i="32" s="1"/>
  <c r="K846" i="32"/>
  <c r="A629" i="32"/>
  <c r="B629" i="32" s="1"/>
  <c r="D648" i="32"/>
  <c r="H575" i="32"/>
  <c r="I575" i="32" s="1"/>
  <c r="K593" i="32"/>
  <c r="A582" i="32" l="1"/>
  <c r="B582" i="32" s="1"/>
  <c r="A576" i="32"/>
  <c r="B576" i="32" s="1"/>
  <c r="A574" i="32"/>
  <c r="B574" i="32" s="1"/>
  <c r="B577" i="32"/>
  <c r="A575" i="32"/>
  <c r="B575" i="32" s="1"/>
  <c r="A638" i="32"/>
  <c r="B638" i="32" s="1"/>
  <c r="D657" i="32"/>
  <c r="H582" i="32"/>
  <c r="I582" i="32" s="1"/>
  <c r="H587" i="32"/>
  <c r="I587" i="32" s="1"/>
  <c r="H580" i="32"/>
  <c r="I580" i="32" s="1"/>
  <c r="I583" i="32"/>
  <c r="H581" i="32"/>
  <c r="I581" i="32" s="1"/>
  <c r="H595" i="32"/>
  <c r="I595" i="32" s="1"/>
  <c r="K613" i="32"/>
  <c r="A646" i="32"/>
  <c r="B646" i="32" s="1"/>
  <c r="D665" i="32"/>
  <c r="D630" i="32"/>
  <c r="A611" i="32"/>
  <c r="B611" i="32" s="1"/>
  <c r="K619" i="32"/>
  <c r="H601" i="32"/>
  <c r="D642" i="32"/>
  <c r="A623" i="32"/>
  <c r="B623" i="32" s="1"/>
  <c r="A596" i="32"/>
  <c r="D615" i="32"/>
  <c r="H597" i="32"/>
  <c r="I597" i="32" s="1"/>
  <c r="K615" i="32"/>
  <c r="A616" i="32"/>
  <c r="B616" i="32" s="1"/>
  <c r="D635" i="32"/>
  <c r="K611" i="32"/>
  <c r="H593" i="32"/>
  <c r="I593" i="32" s="1"/>
  <c r="D628" i="32"/>
  <c r="A609" i="32"/>
  <c r="B609" i="32" s="1"/>
  <c r="A617" i="32"/>
  <c r="B617" i="32" s="1"/>
  <c r="D636" i="32"/>
  <c r="H585" i="32"/>
  <c r="I585" i="32" s="1"/>
  <c r="K603" i="32"/>
  <c r="A648" i="32"/>
  <c r="B648" i="32" s="1"/>
  <c r="D667" i="32"/>
  <c r="A603" i="32"/>
  <c r="B603" i="32" s="1"/>
  <c r="D622" i="32"/>
  <c r="D626" i="32"/>
  <c r="A607" i="32"/>
  <c r="B607" i="32" s="1"/>
  <c r="A682" i="32"/>
  <c r="B682" i="32" s="1"/>
  <c r="D701" i="32"/>
  <c r="A618" i="32"/>
  <c r="B618" i="32" s="1"/>
  <c r="D637" i="32"/>
  <c r="H846" i="32"/>
  <c r="I846" i="32" s="1"/>
  <c r="K864" i="32"/>
  <c r="H589" i="32"/>
  <c r="I589" i="32" s="1"/>
  <c r="K607" i="32"/>
  <c r="K620" i="32"/>
  <c r="H602" i="32"/>
  <c r="I602" i="32" s="1"/>
  <c r="K681" i="32"/>
  <c r="H663" i="32"/>
  <c r="I663" i="32" s="1"/>
  <c r="K830" i="32"/>
  <c r="H812" i="32"/>
  <c r="I812" i="32" s="1"/>
  <c r="H826" i="32"/>
  <c r="I826" i="32" s="1"/>
  <c r="K844" i="32"/>
  <c r="A643" i="32"/>
  <c r="B643" i="32" s="1"/>
  <c r="D662" i="32"/>
  <c r="A621" i="32"/>
  <c r="B621" i="32" s="1"/>
  <c r="D640" i="32"/>
  <c r="K608" i="32"/>
  <c r="H590" i="32"/>
  <c r="I590" i="32" s="1"/>
  <c r="K606" i="32"/>
  <c r="H588" i="32"/>
  <c r="I588" i="32" s="1"/>
  <c r="K856" i="32"/>
  <c r="H838" i="32"/>
  <c r="I838" i="32" s="1"/>
  <c r="A662" i="32" l="1"/>
  <c r="B662" i="32" s="1"/>
  <c r="D681" i="32"/>
  <c r="H864" i="32"/>
  <c r="I864" i="32" s="1"/>
  <c r="K882" i="32"/>
  <c r="K621" i="32"/>
  <c r="H603" i="32"/>
  <c r="I603" i="32" s="1"/>
  <c r="A594" i="32"/>
  <c r="B594" i="32" s="1"/>
  <c r="A593" i="32"/>
  <c r="B593" i="32" s="1"/>
  <c r="A601" i="32"/>
  <c r="B601" i="32" s="1"/>
  <c r="B596" i="32"/>
  <c r="A595" i="32"/>
  <c r="B595" i="32" s="1"/>
  <c r="K862" i="32"/>
  <c r="H844" i="32"/>
  <c r="I844" i="32" s="1"/>
  <c r="A642" i="32"/>
  <c r="B642" i="32" s="1"/>
  <c r="D661" i="32"/>
  <c r="H599" i="32"/>
  <c r="I599" i="32" s="1"/>
  <c r="I601" i="32"/>
  <c r="H600" i="32"/>
  <c r="I600" i="32" s="1"/>
  <c r="H605" i="32"/>
  <c r="I605" i="32" s="1"/>
  <c r="H598" i="32"/>
  <c r="I598" i="32" s="1"/>
  <c r="K874" i="32"/>
  <c r="H856" i="32"/>
  <c r="I856" i="32" s="1"/>
  <c r="H619" i="32"/>
  <c r="K637" i="32"/>
  <c r="D676" i="32"/>
  <c r="A657" i="32"/>
  <c r="B657" i="32" s="1"/>
  <c r="H606" i="32"/>
  <c r="I606" i="32" s="1"/>
  <c r="K624" i="32"/>
  <c r="K699" i="32"/>
  <c r="H681" i="32"/>
  <c r="I681" i="32" s="1"/>
  <c r="A626" i="32"/>
  <c r="B626" i="32" s="1"/>
  <c r="D645" i="32"/>
  <c r="H611" i="32"/>
  <c r="I611" i="32" s="1"/>
  <c r="K629" i="32"/>
  <c r="A630" i="32"/>
  <c r="B630" i="32" s="1"/>
  <c r="D649" i="32"/>
  <c r="A622" i="32"/>
  <c r="B622" i="32" s="1"/>
  <c r="D641" i="32"/>
  <c r="A665" i="32"/>
  <c r="B665" i="32" s="1"/>
  <c r="D684" i="32"/>
  <c r="H608" i="32"/>
  <c r="I608" i="32" s="1"/>
  <c r="K626" i="32"/>
  <c r="K638" i="32"/>
  <c r="H620" i="32"/>
  <c r="I620" i="32" s="1"/>
  <c r="D634" i="32"/>
  <c r="A615" i="32"/>
  <c r="A637" i="32"/>
  <c r="B637" i="32" s="1"/>
  <c r="D656" i="32"/>
  <c r="A636" i="32"/>
  <c r="B636" i="32" s="1"/>
  <c r="D655" i="32"/>
  <c r="D720" i="32"/>
  <c r="A701" i="32"/>
  <c r="B701" i="32" s="1"/>
  <c r="H830" i="32"/>
  <c r="I830" i="32" s="1"/>
  <c r="K848" i="32"/>
  <c r="A628" i="32"/>
  <c r="B628" i="32" s="1"/>
  <c r="D647" i="32"/>
  <c r="D654" i="32"/>
  <c r="A635" i="32"/>
  <c r="B635" i="32" s="1"/>
  <c r="A640" i="32"/>
  <c r="B640" i="32" s="1"/>
  <c r="D659" i="32"/>
  <c r="K625" i="32"/>
  <c r="H607" i="32"/>
  <c r="I607" i="32" s="1"/>
  <c r="A667" i="32"/>
  <c r="B667" i="32" s="1"/>
  <c r="D686" i="32"/>
  <c r="K633" i="32"/>
  <c r="H615" i="32"/>
  <c r="I615" i="32" s="1"/>
  <c r="K631" i="32"/>
  <c r="H613" i="32"/>
  <c r="I613" i="32" s="1"/>
  <c r="A656" i="32" l="1"/>
  <c r="B656" i="32" s="1"/>
  <c r="D675" i="32"/>
  <c r="H637" i="32"/>
  <c r="K655" i="32"/>
  <c r="K880" i="32"/>
  <c r="H862" i="32"/>
  <c r="I862" i="32" s="1"/>
  <c r="H618" i="32"/>
  <c r="I618" i="32" s="1"/>
  <c r="H617" i="32"/>
  <c r="I617" i="32" s="1"/>
  <c r="I619" i="32"/>
  <c r="H623" i="32"/>
  <c r="I623" i="32" s="1"/>
  <c r="H616" i="32"/>
  <c r="I616" i="32" s="1"/>
  <c r="A654" i="32"/>
  <c r="B654" i="32" s="1"/>
  <c r="D673" i="32"/>
  <c r="A634" i="32"/>
  <c r="D653" i="32"/>
  <c r="K892" i="32"/>
  <c r="H874" i="32"/>
  <c r="I874" i="32" s="1"/>
  <c r="D666" i="32"/>
  <c r="A647" i="32"/>
  <c r="B647" i="32" s="1"/>
  <c r="H848" i="32"/>
  <c r="I848" i="32" s="1"/>
  <c r="K866" i="32"/>
  <c r="K644" i="32"/>
  <c r="H626" i="32"/>
  <c r="I626" i="32" s="1"/>
  <c r="H699" i="32"/>
  <c r="I699" i="32" s="1"/>
  <c r="K717" i="32"/>
  <c r="K639" i="32"/>
  <c r="H621" i="32"/>
  <c r="I621" i="32" s="1"/>
  <c r="A686" i="32"/>
  <c r="B686" i="32" s="1"/>
  <c r="D705" i="32"/>
  <c r="A659" i="32"/>
  <c r="B659" i="32" s="1"/>
  <c r="D678" i="32"/>
  <c r="D668" i="32"/>
  <c r="A649" i="32"/>
  <c r="B649" i="32" s="1"/>
  <c r="A645" i="32"/>
  <c r="B645" i="32" s="1"/>
  <c r="D664" i="32"/>
  <c r="K651" i="32"/>
  <c r="H633" i="32"/>
  <c r="I633" i="32" s="1"/>
  <c r="A620" i="32"/>
  <c r="B620" i="32" s="1"/>
  <c r="A614" i="32"/>
  <c r="B614" i="32" s="1"/>
  <c r="A612" i="32"/>
  <c r="B612" i="32" s="1"/>
  <c r="B615" i="32"/>
  <c r="A613" i="32"/>
  <c r="B613" i="32" s="1"/>
  <c r="K647" i="32"/>
  <c r="H629" i="32"/>
  <c r="I629" i="32" s="1"/>
  <c r="H631" i="32"/>
  <c r="I631" i="32" s="1"/>
  <c r="K649" i="32"/>
  <c r="K656" i="32"/>
  <c r="H638" i="32"/>
  <c r="I638" i="32" s="1"/>
  <c r="A684" i="32"/>
  <c r="B684" i="32" s="1"/>
  <c r="D703" i="32"/>
  <c r="K642" i="32"/>
  <c r="H624" i="32"/>
  <c r="I624" i="32" s="1"/>
  <c r="K900" i="32"/>
  <c r="H882" i="32"/>
  <c r="I882" i="32" s="1"/>
  <c r="A720" i="32"/>
  <c r="B720" i="32" s="1"/>
  <c r="D739" i="32"/>
  <c r="A661" i="32"/>
  <c r="B661" i="32" s="1"/>
  <c r="D680" i="32"/>
  <c r="D674" i="32"/>
  <c r="A655" i="32"/>
  <c r="B655" i="32" s="1"/>
  <c r="D660" i="32"/>
  <c r="A641" i="32"/>
  <c r="B641" i="32" s="1"/>
  <c r="D700" i="32"/>
  <c r="A681" i="32"/>
  <c r="B681" i="32" s="1"/>
  <c r="H625" i="32"/>
  <c r="I625" i="32" s="1"/>
  <c r="K643" i="32"/>
  <c r="A676" i="32"/>
  <c r="B676" i="32" s="1"/>
  <c r="D695" i="32"/>
  <c r="H651" i="32" l="1"/>
  <c r="I651" i="32" s="1"/>
  <c r="K669" i="32"/>
  <c r="A680" i="32"/>
  <c r="B680" i="32" s="1"/>
  <c r="D699" i="32"/>
  <c r="K662" i="32"/>
  <c r="H644" i="32"/>
  <c r="I644" i="32" s="1"/>
  <c r="K884" i="32"/>
  <c r="H866" i="32"/>
  <c r="I866" i="32" s="1"/>
  <c r="D714" i="32"/>
  <c r="A695" i="32"/>
  <c r="B695" i="32" s="1"/>
  <c r="D758" i="32"/>
  <c r="A739" i="32"/>
  <c r="B739" i="32" s="1"/>
  <c r="A668" i="32"/>
  <c r="B668" i="32" s="1"/>
  <c r="D687" i="32"/>
  <c r="K665" i="32"/>
  <c r="H647" i="32"/>
  <c r="I647" i="32" s="1"/>
  <c r="A678" i="32"/>
  <c r="B678" i="32" s="1"/>
  <c r="D697" i="32"/>
  <c r="H643" i="32"/>
  <c r="I643" i="32" s="1"/>
  <c r="K661" i="32"/>
  <c r="A666" i="32"/>
  <c r="B666" i="32" s="1"/>
  <c r="D685" i="32"/>
  <c r="H900" i="32"/>
  <c r="I900" i="32" s="1"/>
  <c r="K918" i="32"/>
  <c r="D724" i="32"/>
  <c r="A705" i="32"/>
  <c r="B705" i="32" s="1"/>
  <c r="K898" i="32"/>
  <c r="H880" i="32"/>
  <c r="I880" i="32" s="1"/>
  <c r="H892" i="32"/>
  <c r="I892" i="32" s="1"/>
  <c r="K910" i="32"/>
  <c r="K673" i="32"/>
  <c r="H655" i="32"/>
  <c r="A700" i="32"/>
  <c r="B700" i="32" s="1"/>
  <c r="D719" i="32"/>
  <c r="H642" i="32"/>
  <c r="I642" i="32" s="1"/>
  <c r="K660" i="32"/>
  <c r="A653" i="32"/>
  <c r="D672" i="32"/>
  <c r="I637" i="32"/>
  <c r="H634" i="32"/>
  <c r="I634" i="32" s="1"/>
  <c r="H636" i="32"/>
  <c r="I636" i="32" s="1"/>
  <c r="H635" i="32"/>
  <c r="I635" i="32" s="1"/>
  <c r="H641" i="32"/>
  <c r="I641" i="32" s="1"/>
  <c r="A703" i="32"/>
  <c r="B703" i="32" s="1"/>
  <c r="D722" i="32"/>
  <c r="H639" i="32"/>
  <c r="I639" i="32" s="1"/>
  <c r="K657" i="32"/>
  <c r="A632" i="32"/>
  <c r="B632" i="32" s="1"/>
  <c r="A633" i="32"/>
  <c r="B633" i="32" s="1"/>
  <c r="B634" i="32"/>
  <c r="A639" i="32"/>
  <c r="B639" i="32" s="1"/>
  <c r="A631" i="32"/>
  <c r="B631" i="32" s="1"/>
  <c r="D694" i="32"/>
  <c r="A675" i="32"/>
  <c r="B675" i="32" s="1"/>
  <c r="A674" i="32"/>
  <c r="B674" i="32" s="1"/>
  <c r="D693" i="32"/>
  <c r="H656" i="32"/>
  <c r="I656" i="32" s="1"/>
  <c r="K674" i="32"/>
  <c r="A664" i="32"/>
  <c r="B664" i="32" s="1"/>
  <c r="D683" i="32"/>
  <c r="H649" i="32"/>
  <c r="I649" i="32" s="1"/>
  <c r="K667" i="32"/>
  <c r="A660" i="32"/>
  <c r="B660" i="32" s="1"/>
  <c r="D679" i="32"/>
  <c r="H717" i="32"/>
  <c r="I717" i="32" s="1"/>
  <c r="K735" i="32"/>
  <c r="D692" i="32"/>
  <c r="A673" i="32"/>
  <c r="B673" i="32" s="1"/>
  <c r="H654" i="32" l="1"/>
  <c r="I654" i="32" s="1"/>
  <c r="H653" i="32"/>
  <c r="I653" i="32" s="1"/>
  <c r="H652" i="32"/>
  <c r="I652" i="32" s="1"/>
  <c r="H659" i="32"/>
  <c r="I659" i="32" s="1"/>
  <c r="I655" i="32"/>
  <c r="A683" i="32"/>
  <c r="B683" i="32" s="1"/>
  <c r="D702" i="32"/>
  <c r="H657" i="32"/>
  <c r="I657" i="32" s="1"/>
  <c r="K675" i="32"/>
  <c r="A758" i="32"/>
  <c r="B758" i="32" s="1"/>
  <c r="D777" i="32"/>
  <c r="H674" i="32"/>
  <c r="I674" i="32" s="1"/>
  <c r="K692" i="32"/>
  <c r="D738" i="32"/>
  <c r="A719" i="32"/>
  <c r="B719" i="32" s="1"/>
  <c r="A685" i="32"/>
  <c r="B685" i="32" s="1"/>
  <c r="D704" i="32"/>
  <c r="H661" i="32"/>
  <c r="I661" i="32" s="1"/>
  <c r="K679" i="32"/>
  <c r="A694" i="32"/>
  <c r="B694" i="32" s="1"/>
  <c r="D713" i="32"/>
  <c r="H898" i="32"/>
  <c r="I898" i="32" s="1"/>
  <c r="K916" i="32"/>
  <c r="A672" i="32"/>
  <c r="D691" i="32"/>
  <c r="A687" i="32"/>
  <c r="B687" i="32" s="1"/>
  <c r="D706" i="32"/>
  <c r="K687" i="32"/>
  <c r="H669" i="32"/>
  <c r="I669" i="32" s="1"/>
  <c r="K678" i="32"/>
  <c r="H660" i="32"/>
  <c r="I660" i="32" s="1"/>
  <c r="H918" i="32"/>
  <c r="I918" i="32" s="1"/>
  <c r="K936" i="32"/>
  <c r="A722" i="32"/>
  <c r="B722" i="32" s="1"/>
  <c r="D741" i="32"/>
  <c r="A714" i="32"/>
  <c r="B714" i="32" s="1"/>
  <c r="D733" i="32"/>
  <c r="A693" i="32"/>
  <c r="B693" i="32" s="1"/>
  <c r="D712" i="32"/>
  <c r="A692" i="32"/>
  <c r="B692" i="32" s="1"/>
  <c r="D711" i="32"/>
  <c r="K691" i="32"/>
  <c r="H673" i="32"/>
  <c r="K902" i="32"/>
  <c r="H884" i="32"/>
  <c r="I884" i="32" s="1"/>
  <c r="K753" i="32"/>
  <c r="H735" i="32"/>
  <c r="I735" i="32" s="1"/>
  <c r="H910" i="32"/>
  <c r="I910" i="32" s="1"/>
  <c r="K928" i="32"/>
  <c r="D716" i="32"/>
  <c r="A697" i="32"/>
  <c r="B697" i="32" s="1"/>
  <c r="H662" i="32"/>
  <c r="I662" i="32" s="1"/>
  <c r="K680" i="32"/>
  <c r="A679" i="32"/>
  <c r="B679" i="32" s="1"/>
  <c r="D698" i="32"/>
  <c r="D718" i="32"/>
  <c r="A699" i="32"/>
  <c r="B699" i="32" s="1"/>
  <c r="H665" i="32"/>
  <c r="I665" i="32" s="1"/>
  <c r="K683" i="32"/>
  <c r="H667" i="32"/>
  <c r="I667" i="32" s="1"/>
  <c r="K685" i="32"/>
  <c r="A658" i="32"/>
  <c r="B658" i="32" s="1"/>
  <c r="A652" i="32"/>
  <c r="B652" i="32" s="1"/>
  <c r="A650" i="32"/>
  <c r="B650" i="32" s="1"/>
  <c r="A651" i="32"/>
  <c r="B651" i="32" s="1"/>
  <c r="B653" i="32"/>
  <c r="A724" i="32"/>
  <c r="B724" i="32" s="1"/>
  <c r="D743" i="32"/>
  <c r="H685" i="32" l="1"/>
  <c r="I685" i="32" s="1"/>
  <c r="K703" i="32"/>
  <c r="K946" i="32"/>
  <c r="H928" i="32"/>
  <c r="I928" i="32" s="1"/>
  <c r="A733" i="32"/>
  <c r="B733" i="32" s="1"/>
  <c r="D752" i="32"/>
  <c r="A691" i="32"/>
  <c r="D710" i="32"/>
  <c r="H692" i="32"/>
  <c r="I692" i="32" s="1"/>
  <c r="K710" i="32"/>
  <c r="A670" i="32"/>
  <c r="B670" i="32" s="1"/>
  <c r="A671" i="32"/>
  <c r="B671" i="32" s="1"/>
  <c r="A669" i="32"/>
  <c r="B669" i="32" s="1"/>
  <c r="A677" i="32"/>
  <c r="B677" i="32" s="1"/>
  <c r="B672" i="32"/>
  <c r="K701" i="32"/>
  <c r="H683" i="32"/>
  <c r="I683" i="32" s="1"/>
  <c r="D760" i="32"/>
  <c r="A741" i="32"/>
  <c r="B741" i="32" s="1"/>
  <c r="H916" i="32"/>
  <c r="I916" i="32" s="1"/>
  <c r="K934" i="32"/>
  <c r="D796" i="32"/>
  <c r="A777" i="32"/>
  <c r="B777" i="32" s="1"/>
  <c r="H753" i="32"/>
  <c r="I753" i="32" s="1"/>
  <c r="K771" i="32"/>
  <c r="K954" i="32"/>
  <c r="H936" i="32"/>
  <c r="I936" i="32" s="1"/>
  <c r="A713" i="32"/>
  <c r="B713" i="32" s="1"/>
  <c r="D732" i="32"/>
  <c r="H675" i="32"/>
  <c r="I675" i="32" s="1"/>
  <c r="K693" i="32"/>
  <c r="A743" i="32"/>
  <c r="B743" i="32" s="1"/>
  <c r="D762" i="32"/>
  <c r="A718" i="32"/>
  <c r="B718" i="32" s="1"/>
  <c r="D737" i="32"/>
  <c r="H902" i="32"/>
  <c r="I902" i="32" s="1"/>
  <c r="K920" i="32"/>
  <c r="A698" i="32"/>
  <c r="B698" i="32" s="1"/>
  <c r="D717" i="32"/>
  <c r="H671" i="32"/>
  <c r="I671" i="32" s="1"/>
  <c r="H670" i="32"/>
  <c r="I670" i="32" s="1"/>
  <c r="H672" i="32"/>
  <c r="I672" i="32" s="1"/>
  <c r="H677" i="32"/>
  <c r="I677" i="32" s="1"/>
  <c r="I673" i="32"/>
  <c r="H679" i="32"/>
  <c r="I679" i="32" s="1"/>
  <c r="K697" i="32"/>
  <c r="A702" i="32"/>
  <c r="B702" i="32" s="1"/>
  <c r="D721" i="32"/>
  <c r="H691" i="32"/>
  <c r="K709" i="32"/>
  <c r="H678" i="32"/>
  <c r="I678" i="32" s="1"/>
  <c r="K696" i="32"/>
  <c r="H680" i="32"/>
  <c r="I680" i="32" s="1"/>
  <c r="K698" i="32"/>
  <c r="D730" i="32"/>
  <c r="A711" i="32"/>
  <c r="B711" i="32" s="1"/>
  <c r="A704" i="32"/>
  <c r="B704" i="32" s="1"/>
  <c r="D723" i="32"/>
  <c r="H687" i="32"/>
  <c r="I687" i="32" s="1"/>
  <c r="K705" i="32"/>
  <c r="A712" i="32"/>
  <c r="B712" i="32" s="1"/>
  <c r="D731" i="32"/>
  <c r="A706" i="32"/>
  <c r="B706" i="32" s="1"/>
  <c r="D725" i="32"/>
  <c r="A716" i="32"/>
  <c r="B716" i="32" s="1"/>
  <c r="D735" i="32"/>
  <c r="A738" i="32"/>
  <c r="B738" i="32" s="1"/>
  <c r="D757" i="32"/>
  <c r="H705" i="32" l="1"/>
  <c r="I705" i="32" s="1"/>
  <c r="K723" i="32"/>
  <c r="D756" i="32"/>
  <c r="A737" i="32"/>
  <c r="B737" i="32" s="1"/>
  <c r="K728" i="32"/>
  <c r="H710" i="32"/>
  <c r="I710" i="32" s="1"/>
  <c r="A762" i="32"/>
  <c r="B762" i="32" s="1"/>
  <c r="D781" i="32"/>
  <c r="A730" i="32"/>
  <c r="B730" i="32" s="1"/>
  <c r="D749" i="32"/>
  <c r="D754" i="32"/>
  <c r="A735" i="32"/>
  <c r="B735" i="32" s="1"/>
  <c r="K716" i="32"/>
  <c r="H698" i="32"/>
  <c r="I698" i="32" s="1"/>
  <c r="A752" i="32"/>
  <c r="B752" i="32" s="1"/>
  <c r="D771" i="32"/>
  <c r="D744" i="32"/>
  <c r="A725" i="32"/>
  <c r="B725" i="32" s="1"/>
  <c r="H696" i="32"/>
  <c r="I696" i="32" s="1"/>
  <c r="K714" i="32"/>
  <c r="K719" i="32"/>
  <c r="H701" i="32"/>
  <c r="I701" i="32" s="1"/>
  <c r="H946" i="32"/>
  <c r="I946" i="32" s="1"/>
  <c r="K964" i="32"/>
  <c r="A721" i="32"/>
  <c r="B721" i="32" s="1"/>
  <c r="D740" i="32"/>
  <c r="D742" i="32"/>
  <c r="A723" i="32"/>
  <c r="B723" i="32" s="1"/>
  <c r="H697" i="32"/>
  <c r="I697" i="32" s="1"/>
  <c r="K715" i="32"/>
  <c r="A796" i="32"/>
  <c r="B796" i="32" s="1"/>
  <c r="D815" i="32"/>
  <c r="H934" i="32"/>
  <c r="I934" i="32" s="1"/>
  <c r="K952" i="32"/>
  <c r="A757" i="32"/>
  <c r="B757" i="32" s="1"/>
  <c r="D776" i="32"/>
  <c r="A710" i="32"/>
  <c r="D729" i="32"/>
  <c r="K711" i="32"/>
  <c r="H693" i="32"/>
  <c r="I693" i="32" s="1"/>
  <c r="A732" i="32"/>
  <c r="B732" i="32" s="1"/>
  <c r="D751" i="32"/>
  <c r="A717" i="32"/>
  <c r="B717" i="32" s="1"/>
  <c r="D736" i="32"/>
  <c r="D750" i="32"/>
  <c r="A731" i="32"/>
  <c r="B731" i="32" s="1"/>
  <c r="K727" i="32"/>
  <c r="H709" i="32"/>
  <c r="K972" i="32"/>
  <c r="H954" i="32"/>
  <c r="I954" i="32" s="1"/>
  <c r="K721" i="32"/>
  <c r="H703" i="32"/>
  <c r="I703" i="32" s="1"/>
  <c r="A696" i="32"/>
  <c r="B696" i="32" s="1"/>
  <c r="A690" i="32"/>
  <c r="B690" i="32" s="1"/>
  <c r="A688" i="32"/>
  <c r="B688" i="32" s="1"/>
  <c r="B691" i="32"/>
  <c r="A689" i="32"/>
  <c r="B689" i="32" s="1"/>
  <c r="A760" i="32"/>
  <c r="B760" i="32" s="1"/>
  <c r="D779" i="32"/>
  <c r="I691" i="32"/>
  <c r="H688" i="32"/>
  <c r="I688" i="32" s="1"/>
  <c r="H690" i="32"/>
  <c r="I690" i="32" s="1"/>
  <c r="H689" i="32"/>
  <c r="I689" i="32" s="1"/>
  <c r="H695" i="32"/>
  <c r="I695" i="32" s="1"/>
  <c r="H920" i="32"/>
  <c r="I920" i="32" s="1"/>
  <c r="K938" i="32"/>
  <c r="H771" i="32"/>
  <c r="I771" i="32" s="1"/>
  <c r="K789" i="32"/>
  <c r="H706" i="32" l="1"/>
  <c r="I706" i="32" s="1"/>
  <c r="H708" i="32"/>
  <c r="I708" i="32" s="1"/>
  <c r="H713" i="32"/>
  <c r="I713" i="32" s="1"/>
  <c r="I709" i="32"/>
  <c r="H707" i="32"/>
  <c r="I707" i="32" s="1"/>
  <c r="A776" i="32"/>
  <c r="B776" i="32" s="1"/>
  <c r="D795" i="32"/>
  <c r="D798" i="32"/>
  <c r="A779" i="32"/>
  <c r="B779" i="32" s="1"/>
  <c r="A754" i="32"/>
  <c r="B754" i="32" s="1"/>
  <c r="D773" i="32"/>
  <c r="K970" i="32"/>
  <c r="H952" i="32"/>
  <c r="I952" i="32" s="1"/>
  <c r="D768" i="32"/>
  <c r="A749" i="32"/>
  <c r="B749" i="32" s="1"/>
  <c r="A750" i="32"/>
  <c r="B750" i="32" s="1"/>
  <c r="D769" i="32"/>
  <c r="K737" i="32"/>
  <c r="H719" i="32"/>
  <c r="I719" i="32" s="1"/>
  <c r="H789" i="32"/>
  <c r="I789" i="32" s="1"/>
  <c r="K807" i="32"/>
  <c r="A736" i="32"/>
  <c r="B736" i="32" s="1"/>
  <c r="D755" i="32"/>
  <c r="D834" i="32"/>
  <c r="A815" i="32"/>
  <c r="B815" i="32" s="1"/>
  <c r="K732" i="32"/>
  <c r="H714" i="32"/>
  <c r="I714" i="32" s="1"/>
  <c r="A781" i="32"/>
  <c r="B781" i="32" s="1"/>
  <c r="D800" i="32"/>
  <c r="H938" i="32"/>
  <c r="I938" i="32" s="1"/>
  <c r="K956" i="32"/>
  <c r="D770" i="32"/>
  <c r="A751" i="32"/>
  <c r="B751" i="32" s="1"/>
  <c r="H715" i="32"/>
  <c r="I715" i="32" s="1"/>
  <c r="K733" i="32"/>
  <c r="A744" i="32"/>
  <c r="B744" i="32" s="1"/>
  <c r="D763" i="32"/>
  <c r="K746" i="32"/>
  <c r="H728" i="32"/>
  <c r="I728" i="32" s="1"/>
  <c r="D790" i="32"/>
  <c r="A771" i="32"/>
  <c r="B771" i="32" s="1"/>
  <c r="K739" i="32"/>
  <c r="H721" i="32"/>
  <c r="I721" i="32" s="1"/>
  <c r="H711" i="32"/>
  <c r="I711" i="32" s="1"/>
  <c r="K729" i="32"/>
  <c r="A742" i="32"/>
  <c r="B742" i="32" s="1"/>
  <c r="D761" i="32"/>
  <c r="A756" i="32"/>
  <c r="B756" i="32" s="1"/>
  <c r="D775" i="32"/>
  <c r="K982" i="32"/>
  <c r="H964" i="32"/>
  <c r="I964" i="32" s="1"/>
  <c r="H727" i="32"/>
  <c r="K745" i="32"/>
  <c r="D748" i="32"/>
  <c r="A729" i="32"/>
  <c r="A740" i="32"/>
  <c r="B740" i="32" s="1"/>
  <c r="D759" i="32"/>
  <c r="K741" i="32"/>
  <c r="H723" i="32"/>
  <c r="I723" i="32" s="1"/>
  <c r="H972" i="32"/>
  <c r="I972" i="32" s="1"/>
  <c r="K990" i="32"/>
  <c r="A708" i="32"/>
  <c r="B708" i="32" s="1"/>
  <c r="A709" i="32"/>
  <c r="B709" i="32" s="1"/>
  <c r="B710" i="32"/>
  <c r="A715" i="32"/>
  <c r="B715" i="32" s="1"/>
  <c r="A707" i="32"/>
  <c r="B707" i="32" s="1"/>
  <c r="K734" i="32"/>
  <c r="H716" i="32"/>
  <c r="I716" i="32" s="1"/>
  <c r="H970" i="32" l="1"/>
  <c r="I970" i="32" s="1"/>
  <c r="K988" i="32"/>
  <c r="A761" i="32"/>
  <c r="B761" i="32" s="1"/>
  <c r="D780" i="32"/>
  <c r="D774" i="32"/>
  <c r="A755" i="32"/>
  <c r="B755" i="32" s="1"/>
  <c r="A770" i="32"/>
  <c r="B770" i="32" s="1"/>
  <c r="D789" i="32"/>
  <c r="A798" i="32"/>
  <c r="B798" i="32" s="1"/>
  <c r="D817" i="32"/>
  <c r="H734" i="32"/>
  <c r="I734" i="32" s="1"/>
  <c r="K752" i="32"/>
  <c r="K974" i="32"/>
  <c r="H956" i="32"/>
  <c r="I956" i="32" s="1"/>
  <c r="A795" i="32"/>
  <c r="B795" i="32" s="1"/>
  <c r="D814" i="32"/>
  <c r="H739" i="32"/>
  <c r="I739" i="32" s="1"/>
  <c r="K757" i="32"/>
  <c r="H737" i="32"/>
  <c r="I737" i="32" s="1"/>
  <c r="K755" i="32"/>
  <c r="K763" i="32"/>
  <c r="H745" i="32"/>
  <c r="A800" i="32"/>
  <c r="B800" i="32" s="1"/>
  <c r="D819" i="32"/>
  <c r="A769" i="32"/>
  <c r="B769" i="32" s="1"/>
  <c r="D788" i="32"/>
  <c r="A790" i="32"/>
  <c r="B790" i="32" s="1"/>
  <c r="D809" i="32"/>
  <c r="A834" i="32"/>
  <c r="B834" i="32" s="1"/>
  <c r="D853" i="32"/>
  <c r="K751" i="32"/>
  <c r="H733" i="32"/>
  <c r="I733" i="32" s="1"/>
  <c r="D792" i="32"/>
  <c r="A773" i="32"/>
  <c r="B773" i="32" s="1"/>
  <c r="K759" i="32"/>
  <c r="H741" i="32"/>
  <c r="I741" i="32" s="1"/>
  <c r="A759" i="32"/>
  <c r="B759" i="32" s="1"/>
  <c r="D778" i="32"/>
  <c r="H729" i="32"/>
  <c r="I729" i="32" s="1"/>
  <c r="K747" i="32"/>
  <c r="K825" i="32"/>
  <c r="H807" i="32"/>
  <c r="I807" i="32" s="1"/>
  <c r="A734" i="32"/>
  <c r="B734" i="32" s="1"/>
  <c r="A728" i="32"/>
  <c r="B728" i="32" s="1"/>
  <c r="A726" i="32"/>
  <c r="B726" i="32" s="1"/>
  <c r="A727" i="32"/>
  <c r="B727" i="32" s="1"/>
  <c r="B729" i="32"/>
  <c r="A748" i="32"/>
  <c r="D767" i="32"/>
  <c r="H726" i="32"/>
  <c r="I726" i="32" s="1"/>
  <c r="H725" i="32"/>
  <c r="I725" i="32" s="1"/>
  <c r="H731" i="32"/>
  <c r="I731" i="32" s="1"/>
  <c r="H724" i="32"/>
  <c r="I724" i="32" s="1"/>
  <c r="I727" i="32"/>
  <c r="H982" i="32"/>
  <c r="I982" i="32" s="1"/>
  <c r="K1000" i="32"/>
  <c r="H746" i="32"/>
  <c r="I746" i="32" s="1"/>
  <c r="K764" i="32"/>
  <c r="H732" i="32"/>
  <c r="I732" i="32" s="1"/>
  <c r="K750" i="32"/>
  <c r="A768" i="32"/>
  <c r="B768" i="32" s="1"/>
  <c r="D787" i="32"/>
  <c r="K1008" i="32"/>
  <c r="H990" i="32"/>
  <c r="I990" i="32" s="1"/>
  <c r="D794" i="32"/>
  <c r="A775" i="32"/>
  <c r="B775" i="32" s="1"/>
  <c r="A763" i="32"/>
  <c r="B763" i="32" s="1"/>
  <c r="D782" i="32"/>
  <c r="H750" i="32" l="1"/>
  <c r="I750" i="32" s="1"/>
  <c r="K768" i="32"/>
  <c r="A819" i="32"/>
  <c r="B819" i="32" s="1"/>
  <c r="D838" i="32"/>
  <c r="H764" i="32"/>
  <c r="I764" i="32" s="1"/>
  <c r="K782" i="32"/>
  <c r="D836" i="32"/>
  <c r="A817" i="32"/>
  <c r="B817" i="32" s="1"/>
  <c r="A782" i="32"/>
  <c r="B782" i="32" s="1"/>
  <c r="D801" i="32"/>
  <c r="K769" i="32"/>
  <c r="H751" i="32"/>
  <c r="I751" i="32" s="1"/>
  <c r="H825" i="32"/>
  <c r="I825" i="32" s="1"/>
  <c r="K843" i="32"/>
  <c r="A774" i="32"/>
  <c r="B774" i="32" s="1"/>
  <c r="D793" i="32"/>
  <c r="A746" i="32"/>
  <c r="B746" i="32" s="1"/>
  <c r="A747" i="32"/>
  <c r="B747" i="32" s="1"/>
  <c r="A745" i="32"/>
  <c r="B745" i="32" s="1"/>
  <c r="B748" i="32"/>
  <c r="A753" i="32"/>
  <c r="B753" i="32" s="1"/>
  <c r="K770" i="32"/>
  <c r="H752" i="32"/>
  <c r="I752" i="32" s="1"/>
  <c r="H759" i="32"/>
  <c r="I759" i="32" s="1"/>
  <c r="K777" i="32"/>
  <c r="A792" i="32"/>
  <c r="B792" i="32" s="1"/>
  <c r="D811" i="32"/>
  <c r="K1018" i="32"/>
  <c r="H1000" i="32"/>
  <c r="I1000" i="32" s="1"/>
  <c r="K773" i="32"/>
  <c r="H755" i="32"/>
  <c r="I755" i="32" s="1"/>
  <c r="A853" i="32"/>
  <c r="B853" i="32" s="1"/>
  <c r="D872" i="32"/>
  <c r="A814" i="32"/>
  <c r="B814" i="32" s="1"/>
  <c r="D833" i="32"/>
  <c r="H749" i="32"/>
  <c r="I749" i="32" s="1"/>
  <c r="H742" i="32"/>
  <c r="I742" i="32" s="1"/>
  <c r="H744" i="32"/>
  <c r="I744" i="32" s="1"/>
  <c r="H743" i="32"/>
  <c r="I743" i="32" s="1"/>
  <c r="I745" i="32"/>
  <c r="H763" i="32"/>
  <c r="K781" i="32"/>
  <c r="D808" i="32"/>
  <c r="A789" i="32"/>
  <c r="B789" i="32" s="1"/>
  <c r="K775" i="32"/>
  <c r="H757" i="32"/>
  <c r="I757" i="32" s="1"/>
  <c r="A794" i="32"/>
  <c r="B794" i="32" s="1"/>
  <c r="D813" i="32"/>
  <c r="K765" i="32"/>
  <c r="H747" i="32"/>
  <c r="I747" i="32" s="1"/>
  <c r="D828" i="32"/>
  <c r="A809" i="32"/>
  <c r="B809" i="32" s="1"/>
  <c r="A780" i="32"/>
  <c r="B780" i="32" s="1"/>
  <c r="D799" i="32"/>
  <c r="K1026" i="32"/>
  <c r="H1008" i="32"/>
  <c r="I1008" i="32" s="1"/>
  <c r="A787" i="32"/>
  <c r="B787" i="32" s="1"/>
  <c r="D806" i="32"/>
  <c r="A778" i="32"/>
  <c r="B778" i="32" s="1"/>
  <c r="D797" i="32"/>
  <c r="A788" i="32"/>
  <c r="B788" i="32" s="1"/>
  <c r="D807" i="32"/>
  <c r="K1006" i="32"/>
  <c r="H988" i="32"/>
  <c r="I988" i="32" s="1"/>
  <c r="A767" i="32"/>
  <c r="D786" i="32"/>
  <c r="K992" i="32"/>
  <c r="H974" i="32"/>
  <c r="I974" i="32" s="1"/>
  <c r="D852" i="32" l="1"/>
  <c r="A833" i="32"/>
  <c r="B833" i="32" s="1"/>
  <c r="D820" i="32"/>
  <c r="A801" i="32"/>
  <c r="B801" i="32" s="1"/>
  <c r="A872" i="32"/>
  <c r="B872" i="32" s="1"/>
  <c r="D891" i="32"/>
  <c r="K1010" i="32"/>
  <c r="H992" i="32"/>
  <c r="I992" i="32" s="1"/>
  <c r="A808" i="32"/>
  <c r="B808" i="32" s="1"/>
  <c r="D827" i="32"/>
  <c r="A836" i="32"/>
  <c r="B836" i="32" s="1"/>
  <c r="D855" i="32"/>
  <c r="D818" i="32"/>
  <c r="A799" i="32"/>
  <c r="B799" i="32" s="1"/>
  <c r="K799" i="32"/>
  <c r="H781" i="32"/>
  <c r="K791" i="32"/>
  <c r="H773" i="32"/>
  <c r="I773" i="32" s="1"/>
  <c r="K800" i="32"/>
  <c r="H782" i="32"/>
  <c r="I782" i="32" s="1"/>
  <c r="D816" i="32"/>
  <c r="A797" i="32"/>
  <c r="B797" i="32" s="1"/>
  <c r="A813" i="32"/>
  <c r="B813" i="32" s="1"/>
  <c r="D832" i="32"/>
  <c r="K787" i="32"/>
  <c r="H769" i="32"/>
  <c r="I769" i="32" s="1"/>
  <c r="A806" i="32"/>
  <c r="B806" i="32" s="1"/>
  <c r="D825" i="32"/>
  <c r="H770" i="32"/>
  <c r="I770" i="32" s="1"/>
  <c r="K788" i="32"/>
  <c r="K793" i="32"/>
  <c r="H775" i="32"/>
  <c r="I775" i="32" s="1"/>
  <c r="K1044" i="32"/>
  <c r="H1026" i="32"/>
  <c r="I1026" i="32" s="1"/>
  <c r="A786" i="32"/>
  <c r="D805" i="32"/>
  <c r="A772" i="32"/>
  <c r="B772" i="32" s="1"/>
  <c r="A766" i="32"/>
  <c r="B766" i="32" s="1"/>
  <c r="A764" i="32"/>
  <c r="B764" i="32" s="1"/>
  <c r="A765" i="32"/>
  <c r="B765" i="32" s="1"/>
  <c r="B767" i="32"/>
  <c r="H761" i="32"/>
  <c r="I761" i="32" s="1"/>
  <c r="I763" i="32"/>
  <c r="H762" i="32"/>
  <c r="I762" i="32" s="1"/>
  <c r="H760" i="32"/>
  <c r="I760" i="32" s="1"/>
  <c r="H767" i="32"/>
  <c r="I767" i="32" s="1"/>
  <c r="K1036" i="32"/>
  <c r="H1018" i="32"/>
  <c r="I1018" i="32" s="1"/>
  <c r="D812" i="32"/>
  <c r="A793" i="32"/>
  <c r="B793" i="32" s="1"/>
  <c r="A838" i="32"/>
  <c r="B838" i="32" s="1"/>
  <c r="D857" i="32"/>
  <c r="K1024" i="32"/>
  <c r="H1006" i="32"/>
  <c r="I1006" i="32" s="1"/>
  <c r="A828" i="32"/>
  <c r="B828" i="32" s="1"/>
  <c r="D847" i="32"/>
  <c r="A811" i="32"/>
  <c r="B811" i="32" s="1"/>
  <c r="D830" i="32"/>
  <c r="A807" i="32"/>
  <c r="B807" i="32" s="1"/>
  <c r="D826" i="32"/>
  <c r="H843" i="32"/>
  <c r="I843" i="32" s="1"/>
  <c r="K861" i="32"/>
  <c r="K786" i="32"/>
  <c r="H768" i="32"/>
  <c r="I768" i="32" s="1"/>
  <c r="H765" i="32"/>
  <c r="I765" i="32" s="1"/>
  <c r="K783" i="32"/>
  <c r="H777" i="32"/>
  <c r="I777" i="32" s="1"/>
  <c r="K795" i="32"/>
  <c r="A805" i="32" l="1"/>
  <c r="D824" i="32"/>
  <c r="A832" i="32"/>
  <c r="B832" i="32" s="1"/>
  <c r="D851" i="32"/>
  <c r="A855" i="32"/>
  <c r="B855" i="32" s="1"/>
  <c r="D874" i="32"/>
  <c r="K1054" i="32"/>
  <c r="H1036" i="32"/>
  <c r="I1036" i="32" s="1"/>
  <c r="A784" i="32"/>
  <c r="B784" i="32" s="1"/>
  <c r="A783" i="32"/>
  <c r="B783" i="32" s="1"/>
  <c r="A791" i="32"/>
  <c r="B791" i="32" s="1"/>
  <c r="A785" i="32"/>
  <c r="B785" i="32" s="1"/>
  <c r="B786" i="32"/>
  <c r="D846" i="32"/>
  <c r="A827" i="32"/>
  <c r="B827" i="32" s="1"/>
  <c r="A812" i="32"/>
  <c r="B812" i="32" s="1"/>
  <c r="D831" i="32"/>
  <c r="H787" i="32"/>
  <c r="I787" i="32" s="1"/>
  <c r="K805" i="32"/>
  <c r="A818" i="32"/>
  <c r="B818" i="32" s="1"/>
  <c r="D837" i="32"/>
  <c r="A852" i="32"/>
  <c r="B852" i="32" s="1"/>
  <c r="D871" i="32"/>
  <c r="A826" i="32"/>
  <c r="B826" i="32" s="1"/>
  <c r="D845" i="32"/>
  <c r="A830" i="32"/>
  <c r="B830" i="32" s="1"/>
  <c r="D849" i="32"/>
  <c r="K1062" i="32"/>
  <c r="H1044" i="32"/>
  <c r="I1044" i="32" s="1"/>
  <c r="A816" i="32"/>
  <c r="B816" i="32" s="1"/>
  <c r="D835" i="32"/>
  <c r="H795" i="32"/>
  <c r="I795" i="32" s="1"/>
  <c r="K813" i="32"/>
  <c r="A847" i="32"/>
  <c r="B847" i="32" s="1"/>
  <c r="D866" i="32"/>
  <c r="K811" i="32"/>
  <c r="H793" i="32"/>
  <c r="I793" i="32" s="1"/>
  <c r="H800" i="32"/>
  <c r="I800" i="32" s="1"/>
  <c r="K818" i="32"/>
  <c r="K1028" i="32"/>
  <c r="H1010" i="32"/>
  <c r="I1010" i="32" s="1"/>
  <c r="H783" i="32"/>
  <c r="I783" i="32" s="1"/>
  <c r="K801" i="32"/>
  <c r="H788" i="32"/>
  <c r="I788" i="32" s="1"/>
  <c r="K806" i="32"/>
  <c r="D910" i="32"/>
  <c r="A891" i="32"/>
  <c r="B891" i="32" s="1"/>
  <c r="K1042" i="32"/>
  <c r="H1024" i="32"/>
  <c r="I1024" i="32" s="1"/>
  <c r="K809" i="32"/>
  <c r="H791" i="32"/>
  <c r="I791" i="32" s="1"/>
  <c r="D876" i="32"/>
  <c r="A857" i="32"/>
  <c r="B857" i="32" s="1"/>
  <c r="D844" i="32"/>
  <c r="A825" i="32"/>
  <c r="B825" i="32" s="1"/>
  <c r="H779" i="32"/>
  <c r="I779" i="32" s="1"/>
  <c r="I781" i="32"/>
  <c r="H780" i="32"/>
  <c r="I780" i="32" s="1"/>
  <c r="H778" i="32"/>
  <c r="I778" i="32" s="1"/>
  <c r="H785" i="32"/>
  <c r="I785" i="32" s="1"/>
  <c r="K804" i="32"/>
  <c r="H786" i="32"/>
  <c r="I786" i="32" s="1"/>
  <c r="K817" i="32"/>
  <c r="H799" i="32"/>
  <c r="A820" i="32"/>
  <c r="B820" i="32" s="1"/>
  <c r="D839" i="32"/>
  <c r="H861" i="32"/>
  <c r="I861" i="32" s="1"/>
  <c r="K879" i="32"/>
  <c r="A866" i="32" l="1"/>
  <c r="B866" i="32" s="1"/>
  <c r="D885" i="32"/>
  <c r="A874" i="32"/>
  <c r="B874" i="32" s="1"/>
  <c r="D893" i="32"/>
  <c r="K1060" i="32"/>
  <c r="H1042" i="32"/>
  <c r="I1042" i="32" s="1"/>
  <c r="H811" i="32"/>
  <c r="I811" i="32" s="1"/>
  <c r="K829" i="32"/>
  <c r="A871" i="32"/>
  <c r="B871" i="32" s="1"/>
  <c r="D890" i="32"/>
  <c r="A910" i="32"/>
  <c r="B910" i="32" s="1"/>
  <c r="D929" i="32"/>
  <c r="H801" i="32"/>
  <c r="I801" i="32" s="1"/>
  <c r="K819" i="32"/>
  <c r="K1072" i="32"/>
  <c r="H1054" i="32"/>
  <c r="I1054" i="32" s="1"/>
  <c r="H798" i="32"/>
  <c r="I798" i="32" s="1"/>
  <c r="H797" i="32"/>
  <c r="I797" i="32" s="1"/>
  <c r="I799" i="32"/>
  <c r="H796" i="32"/>
  <c r="I796" i="32" s="1"/>
  <c r="H803" i="32"/>
  <c r="I803" i="32" s="1"/>
  <c r="A876" i="32"/>
  <c r="B876" i="32" s="1"/>
  <c r="D895" i="32"/>
  <c r="K1046" i="32"/>
  <c r="H1028" i="32"/>
  <c r="I1028" i="32" s="1"/>
  <c r="K1080" i="32"/>
  <c r="H1062" i="32"/>
  <c r="I1062" i="32" s="1"/>
  <c r="H806" i="32"/>
  <c r="I806" i="32" s="1"/>
  <c r="K824" i="32"/>
  <c r="H813" i="32"/>
  <c r="I813" i="32" s="1"/>
  <c r="K831" i="32"/>
  <c r="A837" i="32"/>
  <c r="B837" i="32" s="1"/>
  <c r="D856" i="32"/>
  <c r="H879" i="32"/>
  <c r="I879" i="32" s="1"/>
  <c r="K897" i="32"/>
  <c r="A835" i="32"/>
  <c r="B835" i="32" s="1"/>
  <c r="D854" i="32"/>
  <c r="K823" i="32"/>
  <c r="H805" i="32"/>
  <c r="I805" i="32" s="1"/>
  <c r="A839" i="32"/>
  <c r="B839" i="32" s="1"/>
  <c r="D858" i="32"/>
  <c r="A844" i="32"/>
  <c r="B844" i="32" s="1"/>
  <c r="D863" i="32"/>
  <c r="A831" i="32"/>
  <c r="B831" i="32" s="1"/>
  <c r="D850" i="32"/>
  <c r="D870" i="32"/>
  <c r="A851" i="32"/>
  <c r="B851" i="32" s="1"/>
  <c r="K835" i="32"/>
  <c r="H817" i="32"/>
  <c r="H818" i="32"/>
  <c r="I818" i="32" s="1"/>
  <c r="K836" i="32"/>
  <c r="D868" i="32"/>
  <c r="A849" i="32"/>
  <c r="B849" i="32" s="1"/>
  <c r="K827" i="32"/>
  <c r="H809" i="32"/>
  <c r="I809" i="32" s="1"/>
  <c r="A846" i="32"/>
  <c r="B846" i="32" s="1"/>
  <c r="D865" i="32"/>
  <c r="A824" i="32"/>
  <c r="D843" i="32"/>
  <c r="K822" i="32"/>
  <c r="H804" i="32"/>
  <c r="I804" i="32" s="1"/>
  <c r="A845" i="32"/>
  <c r="B845" i="32" s="1"/>
  <c r="D864" i="32"/>
  <c r="A810" i="32"/>
  <c r="B810" i="32" s="1"/>
  <c r="A804" i="32"/>
  <c r="B804" i="32" s="1"/>
  <c r="A802" i="32"/>
  <c r="B802" i="32" s="1"/>
  <c r="A803" i="32"/>
  <c r="B803" i="32" s="1"/>
  <c r="B805" i="32"/>
  <c r="H822" i="32" l="1"/>
  <c r="I822" i="32" s="1"/>
  <c r="K840" i="32"/>
  <c r="H835" i="32"/>
  <c r="K853" i="32"/>
  <c r="K1064" i="32"/>
  <c r="H1046" i="32"/>
  <c r="I1046" i="32" s="1"/>
  <c r="D948" i="32"/>
  <c r="A929" i="32"/>
  <c r="B929" i="32" s="1"/>
  <c r="A843" i="32"/>
  <c r="D862" i="32"/>
  <c r="D884" i="32"/>
  <c r="A865" i="32"/>
  <c r="B865" i="32" s="1"/>
  <c r="A863" i="32"/>
  <c r="B863" i="32" s="1"/>
  <c r="D882" i="32"/>
  <c r="H831" i="32"/>
  <c r="I831" i="32" s="1"/>
  <c r="K849" i="32"/>
  <c r="H827" i="32"/>
  <c r="I827" i="32" s="1"/>
  <c r="K845" i="32"/>
  <c r="A858" i="32"/>
  <c r="B858" i="32" s="1"/>
  <c r="D877" i="32"/>
  <c r="H824" i="32"/>
  <c r="I824" i="32" s="1"/>
  <c r="K842" i="32"/>
  <c r="K1078" i="32"/>
  <c r="H1060" i="32"/>
  <c r="I1060" i="32" s="1"/>
  <c r="A822" i="32"/>
  <c r="B822" i="32" s="1"/>
  <c r="A829" i="32"/>
  <c r="B829" i="32" s="1"/>
  <c r="A821" i="32"/>
  <c r="B821" i="32" s="1"/>
  <c r="B824" i="32"/>
  <c r="A823" i="32"/>
  <c r="B823" i="32" s="1"/>
  <c r="A870" i="32"/>
  <c r="B870" i="32" s="1"/>
  <c r="D889" i="32"/>
  <c r="A890" i="32"/>
  <c r="B890" i="32" s="1"/>
  <c r="D909" i="32"/>
  <c r="A868" i="32"/>
  <c r="B868" i="32" s="1"/>
  <c r="D887" i="32"/>
  <c r="D912" i="32"/>
  <c r="A893" i="32"/>
  <c r="B893" i="32" s="1"/>
  <c r="A864" i="32"/>
  <c r="B864" i="32" s="1"/>
  <c r="D883" i="32"/>
  <c r="K854" i="32"/>
  <c r="H836" i="32"/>
  <c r="I836" i="32" s="1"/>
  <c r="K841" i="32"/>
  <c r="H823" i="32"/>
  <c r="I823" i="32" s="1"/>
  <c r="K1098" i="32"/>
  <c r="H1080" i="32"/>
  <c r="I1080" i="32" s="1"/>
  <c r="K837" i="32"/>
  <c r="H819" i="32"/>
  <c r="I819" i="32" s="1"/>
  <c r="A885" i="32"/>
  <c r="B885" i="32" s="1"/>
  <c r="D904" i="32"/>
  <c r="K915" i="32"/>
  <c r="H897" i="32"/>
  <c r="I897" i="32" s="1"/>
  <c r="A895" i="32"/>
  <c r="B895" i="32" s="1"/>
  <c r="D914" i="32"/>
  <c r="A850" i="32"/>
  <c r="B850" i="32" s="1"/>
  <c r="D869" i="32"/>
  <c r="A856" i="32"/>
  <c r="B856" i="32" s="1"/>
  <c r="D875" i="32"/>
  <c r="H829" i="32"/>
  <c r="I829" i="32" s="1"/>
  <c r="K847" i="32"/>
  <c r="K1090" i="32"/>
  <c r="H1072" i="32"/>
  <c r="I1072" i="32" s="1"/>
  <c r="H815" i="32"/>
  <c r="I815" i="32" s="1"/>
  <c r="H816" i="32"/>
  <c r="I816" i="32" s="1"/>
  <c r="H821" i="32"/>
  <c r="I821" i="32" s="1"/>
  <c r="I817" i="32"/>
  <c r="H814" i="32"/>
  <c r="I814" i="32" s="1"/>
  <c r="A854" i="32"/>
  <c r="B854" i="32" s="1"/>
  <c r="D873" i="32"/>
  <c r="D906" i="32" l="1"/>
  <c r="A887" i="32"/>
  <c r="B887" i="32" s="1"/>
  <c r="K1096" i="32"/>
  <c r="H1078" i="32"/>
  <c r="I1078" i="32" s="1"/>
  <c r="A848" i="32"/>
  <c r="B848" i="32" s="1"/>
  <c r="A842" i="32"/>
  <c r="B842" i="32" s="1"/>
  <c r="A840" i="32"/>
  <c r="B840" i="32" s="1"/>
  <c r="B843" i="32"/>
  <c r="A841" i="32"/>
  <c r="B841" i="32" s="1"/>
  <c r="D892" i="32"/>
  <c r="A873" i="32"/>
  <c r="B873" i="32" s="1"/>
  <c r="K1116" i="32"/>
  <c r="H1098" i="32"/>
  <c r="I1098" i="32" s="1"/>
  <c r="A877" i="32"/>
  <c r="B877" i="32" s="1"/>
  <c r="D896" i="32"/>
  <c r="D888" i="32"/>
  <c r="A869" i="32"/>
  <c r="B869" i="32" s="1"/>
  <c r="A889" i="32"/>
  <c r="B889" i="32" s="1"/>
  <c r="D908" i="32"/>
  <c r="A948" i="32"/>
  <c r="B948" i="32" s="1"/>
  <c r="D967" i="32"/>
  <c r="H841" i="32"/>
  <c r="I841" i="32" s="1"/>
  <c r="K859" i="32"/>
  <c r="A914" i="32"/>
  <c r="B914" i="32" s="1"/>
  <c r="D933" i="32"/>
  <c r="H854" i="32"/>
  <c r="I854" i="32" s="1"/>
  <c r="K872" i="32"/>
  <c r="K867" i="32"/>
  <c r="H849" i="32"/>
  <c r="I849" i="32" s="1"/>
  <c r="H853" i="32"/>
  <c r="K871" i="32"/>
  <c r="D902" i="32"/>
  <c r="A883" i="32"/>
  <c r="B883" i="32" s="1"/>
  <c r="H839" i="32"/>
  <c r="I839" i="32" s="1"/>
  <c r="H834" i="32"/>
  <c r="I834" i="32" s="1"/>
  <c r="H832" i="32"/>
  <c r="I832" i="32" s="1"/>
  <c r="H833" i="32"/>
  <c r="I833" i="32" s="1"/>
  <c r="I835" i="32"/>
  <c r="K1108" i="32"/>
  <c r="H1090" i="32"/>
  <c r="I1090" i="32" s="1"/>
  <c r="A912" i="32"/>
  <c r="B912" i="32" s="1"/>
  <c r="D931" i="32"/>
  <c r="A884" i="32"/>
  <c r="B884" i="32" s="1"/>
  <c r="D903" i="32"/>
  <c r="K863" i="32"/>
  <c r="H845" i="32"/>
  <c r="I845" i="32" s="1"/>
  <c r="K865" i="32"/>
  <c r="H847" i="32"/>
  <c r="I847" i="32" s="1"/>
  <c r="H837" i="32"/>
  <c r="I837" i="32" s="1"/>
  <c r="K855" i="32"/>
  <c r="H842" i="32"/>
  <c r="I842" i="32" s="1"/>
  <c r="K860" i="32"/>
  <c r="A862" i="32"/>
  <c r="D881" i="32"/>
  <c r="D894" i="32"/>
  <c r="A875" i="32"/>
  <c r="B875" i="32" s="1"/>
  <c r="D928" i="32"/>
  <c r="A909" i="32"/>
  <c r="B909" i="32" s="1"/>
  <c r="K1082" i="32"/>
  <c r="H1064" i="32"/>
  <c r="I1064" i="32" s="1"/>
  <c r="H915" i="32"/>
  <c r="I915" i="32" s="1"/>
  <c r="K933" i="32"/>
  <c r="A882" i="32"/>
  <c r="B882" i="32" s="1"/>
  <c r="D901" i="32"/>
  <c r="H840" i="32"/>
  <c r="I840" i="32" s="1"/>
  <c r="K858" i="32"/>
  <c r="A904" i="32"/>
  <c r="B904" i="32" s="1"/>
  <c r="D923" i="32"/>
  <c r="K1134" i="32" l="1"/>
  <c r="H1116" i="32"/>
  <c r="I1116" i="32" s="1"/>
  <c r="K883" i="32"/>
  <c r="H865" i="32"/>
  <c r="I865" i="32" s="1"/>
  <c r="H859" i="32"/>
  <c r="I859" i="32" s="1"/>
  <c r="K877" i="32"/>
  <c r="A892" i="32"/>
  <c r="B892" i="32" s="1"/>
  <c r="D911" i="32"/>
  <c r="A928" i="32"/>
  <c r="B928" i="32" s="1"/>
  <c r="D947" i="32"/>
  <c r="K881" i="32"/>
  <c r="H863" i="32"/>
  <c r="I863" i="32" s="1"/>
  <c r="D986" i="32"/>
  <c r="A967" i="32"/>
  <c r="B967" i="32" s="1"/>
  <c r="D942" i="32"/>
  <c r="A923" i="32"/>
  <c r="B923" i="32" s="1"/>
  <c r="A903" i="32"/>
  <c r="B903" i="32" s="1"/>
  <c r="D922" i="32"/>
  <c r="A902" i="32"/>
  <c r="B902" i="32" s="1"/>
  <c r="D921" i="32"/>
  <c r="A894" i="32"/>
  <c r="B894" i="32" s="1"/>
  <c r="D913" i="32"/>
  <c r="K889" i="32"/>
  <c r="H871" i="32"/>
  <c r="A908" i="32"/>
  <c r="B908" i="32" s="1"/>
  <c r="D927" i="32"/>
  <c r="K876" i="32"/>
  <c r="H858" i="32"/>
  <c r="I858" i="32" s="1"/>
  <c r="A881" i="32"/>
  <c r="D900" i="32"/>
  <c r="A931" i="32"/>
  <c r="B931" i="32" s="1"/>
  <c r="D950" i="32"/>
  <c r="H852" i="32"/>
  <c r="I852" i="32" s="1"/>
  <c r="H857" i="32"/>
  <c r="I857" i="32" s="1"/>
  <c r="H850" i="32"/>
  <c r="I850" i="32" s="1"/>
  <c r="I853" i="32"/>
  <c r="H851" i="32"/>
  <c r="I851" i="32" s="1"/>
  <c r="A860" i="32"/>
  <c r="B860" i="32" s="1"/>
  <c r="A861" i="32"/>
  <c r="B861" i="32" s="1"/>
  <c r="A867" i="32"/>
  <c r="B867" i="32" s="1"/>
  <c r="B862" i="32"/>
  <c r="A859" i="32"/>
  <c r="B859" i="32" s="1"/>
  <c r="A901" i="32"/>
  <c r="B901" i="32" s="1"/>
  <c r="D920" i="32"/>
  <c r="K878" i="32"/>
  <c r="H860" i="32"/>
  <c r="I860" i="32" s="1"/>
  <c r="H867" i="32"/>
  <c r="I867" i="32" s="1"/>
  <c r="K885" i="32"/>
  <c r="A888" i="32"/>
  <c r="B888" i="32" s="1"/>
  <c r="D907" i="32"/>
  <c r="K1126" i="32"/>
  <c r="H1108" i="32"/>
  <c r="I1108" i="32" s="1"/>
  <c r="H872" i="32"/>
  <c r="I872" i="32" s="1"/>
  <c r="K890" i="32"/>
  <c r="A896" i="32"/>
  <c r="B896" i="32" s="1"/>
  <c r="D915" i="32"/>
  <c r="K1114" i="32"/>
  <c r="H1096" i="32"/>
  <c r="I1096" i="32" s="1"/>
  <c r="H933" i="32"/>
  <c r="I933" i="32" s="1"/>
  <c r="K951" i="32"/>
  <c r="H855" i="32"/>
  <c r="I855" i="32" s="1"/>
  <c r="K873" i="32"/>
  <c r="K1100" i="32"/>
  <c r="H1082" i="32"/>
  <c r="I1082" i="32" s="1"/>
  <c r="D952" i="32"/>
  <c r="A933" i="32"/>
  <c r="B933" i="32" s="1"/>
  <c r="A906" i="32"/>
  <c r="B906" i="32" s="1"/>
  <c r="D925" i="32"/>
  <c r="H951" i="32" l="1"/>
  <c r="I951" i="32" s="1"/>
  <c r="K969" i="32"/>
  <c r="K899" i="32"/>
  <c r="H881" i="32"/>
  <c r="I881" i="32" s="1"/>
  <c r="K1132" i="32"/>
  <c r="H1114" i="32"/>
  <c r="I1114" i="32" s="1"/>
  <c r="A950" i="32"/>
  <c r="B950" i="32" s="1"/>
  <c r="D969" i="32"/>
  <c r="H870" i="32"/>
  <c r="I870" i="32" s="1"/>
  <c r="H868" i="32"/>
  <c r="I868" i="32" s="1"/>
  <c r="I871" i="32"/>
  <c r="H875" i="32"/>
  <c r="I875" i="32" s="1"/>
  <c r="H869" i="32"/>
  <c r="I869" i="32" s="1"/>
  <c r="D966" i="32"/>
  <c r="A947" i="32"/>
  <c r="B947" i="32" s="1"/>
  <c r="H878" i="32"/>
  <c r="I878" i="32" s="1"/>
  <c r="K896" i="32"/>
  <c r="A925" i="32"/>
  <c r="B925" i="32" s="1"/>
  <c r="D944" i="32"/>
  <c r="A920" i="32"/>
  <c r="B920" i="32" s="1"/>
  <c r="D939" i="32"/>
  <c r="D940" i="32"/>
  <c r="A921" i="32"/>
  <c r="B921" i="32" s="1"/>
  <c r="D930" i="32"/>
  <c r="A911" i="32"/>
  <c r="B911" i="32" s="1"/>
  <c r="A886" i="32"/>
  <c r="B886" i="32" s="1"/>
  <c r="A880" i="32"/>
  <c r="B880" i="32" s="1"/>
  <c r="A878" i="32"/>
  <c r="B878" i="32" s="1"/>
  <c r="B881" i="32"/>
  <c r="A879" i="32"/>
  <c r="B879" i="32" s="1"/>
  <c r="K1118" i="32"/>
  <c r="H1100" i="32"/>
  <c r="I1100" i="32" s="1"/>
  <c r="K1144" i="32"/>
  <c r="H1126" i="32"/>
  <c r="I1126" i="32" s="1"/>
  <c r="K894" i="32"/>
  <c r="H876" i="32"/>
  <c r="I876" i="32" s="1"/>
  <c r="H883" i="32"/>
  <c r="I883" i="32" s="1"/>
  <c r="K901" i="32"/>
  <c r="K891" i="32"/>
  <c r="H873" i="32"/>
  <c r="I873" i="32" s="1"/>
  <c r="D926" i="32"/>
  <c r="A907" i="32"/>
  <c r="B907" i="32" s="1"/>
  <c r="A927" i="32"/>
  <c r="B927" i="32" s="1"/>
  <c r="D946" i="32"/>
  <c r="H885" i="32"/>
  <c r="I885" i="32" s="1"/>
  <c r="K903" i="32"/>
  <c r="K907" i="32"/>
  <c r="H889" i="32"/>
  <c r="A913" i="32"/>
  <c r="B913" i="32" s="1"/>
  <c r="D932" i="32"/>
  <c r="D934" i="32"/>
  <c r="A915" i="32"/>
  <c r="B915" i="32" s="1"/>
  <c r="H890" i="32"/>
  <c r="I890" i="32" s="1"/>
  <c r="K908" i="32"/>
  <c r="A900" i="32"/>
  <c r="D919" i="32"/>
  <c r="A922" i="32"/>
  <c r="B922" i="32" s="1"/>
  <c r="D941" i="32"/>
  <c r="K895" i="32"/>
  <c r="H877" i="32"/>
  <c r="I877" i="32" s="1"/>
  <c r="A952" i="32"/>
  <c r="B952" i="32" s="1"/>
  <c r="D971" i="32"/>
  <c r="A942" i="32"/>
  <c r="B942" i="32" s="1"/>
  <c r="D961" i="32"/>
  <c r="A986" i="32"/>
  <c r="B986" i="32" s="1"/>
  <c r="D1005" i="32"/>
  <c r="K1152" i="32"/>
  <c r="H1134" i="32"/>
  <c r="I1134" i="32" s="1"/>
  <c r="A930" i="32" l="1"/>
  <c r="B930" i="32" s="1"/>
  <c r="D949" i="32"/>
  <c r="A940" i="32"/>
  <c r="B940" i="32" s="1"/>
  <c r="D959" i="32"/>
  <c r="D938" i="32"/>
  <c r="A919" i="32"/>
  <c r="A946" i="32"/>
  <c r="B946" i="32" s="1"/>
  <c r="D965" i="32"/>
  <c r="D988" i="32"/>
  <c r="A969" i="32"/>
  <c r="B969" i="32" s="1"/>
  <c r="K1170" i="32"/>
  <c r="H1152" i="32"/>
  <c r="I1152" i="32" s="1"/>
  <c r="A898" i="32"/>
  <c r="B898" i="32" s="1"/>
  <c r="A905" i="32"/>
  <c r="B905" i="32" s="1"/>
  <c r="A897" i="32"/>
  <c r="B897" i="32" s="1"/>
  <c r="A899" i="32"/>
  <c r="B899" i="32" s="1"/>
  <c r="B900" i="32"/>
  <c r="K1136" i="32"/>
  <c r="H1118" i="32"/>
  <c r="I1118" i="32" s="1"/>
  <c r="A944" i="32"/>
  <c r="B944" i="32" s="1"/>
  <c r="D963" i="32"/>
  <c r="D1024" i="32"/>
  <c r="A1005" i="32"/>
  <c r="B1005" i="32" s="1"/>
  <c r="K926" i="32"/>
  <c r="H908" i="32"/>
  <c r="I908" i="32" s="1"/>
  <c r="A926" i="32"/>
  <c r="B926" i="32" s="1"/>
  <c r="D945" i="32"/>
  <c r="H896" i="32"/>
  <c r="I896" i="32" s="1"/>
  <c r="K914" i="32"/>
  <c r="K1150" i="32"/>
  <c r="H1132" i="32"/>
  <c r="I1132" i="32" s="1"/>
  <c r="H886" i="32"/>
  <c r="I886" i="32" s="1"/>
  <c r="H888" i="32"/>
  <c r="I888" i="32" s="1"/>
  <c r="I889" i="32"/>
  <c r="H887" i="32"/>
  <c r="I887" i="32" s="1"/>
  <c r="H893" i="32"/>
  <c r="I893" i="32" s="1"/>
  <c r="K913" i="32"/>
  <c r="H895" i="32"/>
  <c r="I895" i="32" s="1"/>
  <c r="H907" i="32"/>
  <c r="K925" i="32"/>
  <c r="D960" i="32"/>
  <c r="A941" i="32"/>
  <c r="B941" i="32" s="1"/>
  <c r="H903" i="32"/>
  <c r="I903" i="32" s="1"/>
  <c r="K921" i="32"/>
  <c r="A939" i="32"/>
  <c r="B939" i="32" s="1"/>
  <c r="D958" i="32"/>
  <c r="A961" i="32"/>
  <c r="B961" i="32" s="1"/>
  <c r="D980" i="32"/>
  <c r="A934" i="32"/>
  <c r="B934" i="32" s="1"/>
  <c r="D953" i="32"/>
  <c r="H891" i="32"/>
  <c r="I891" i="32" s="1"/>
  <c r="K909" i="32"/>
  <c r="K917" i="32"/>
  <c r="H899" i="32"/>
  <c r="I899" i="32" s="1"/>
  <c r="D990" i="32"/>
  <c r="A971" i="32"/>
  <c r="B971" i="32" s="1"/>
  <c r="A932" i="32"/>
  <c r="B932" i="32" s="1"/>
  <c r="D951" i="32"/>
  <c r="K919" i="32"/>
  <c r="H901" i="32"/>
  <c r="I901" i="32" s="1"/>
  <c r="A966" i="32"/>
  <c r="B966" i="32" s="1"/>
  <c r="D985" i="32"/>
  <c r="K987" i="32"/>
  <c r="H969" i="32"/>
  <c r="I969" i="32" s="1"/>
  <c r="H894" i="32"/>
  <c r="I894" i="32" s="1"/>
  <c r="K912" i="32"/>
  <c r="K1162" i="32"/>
  <c r="H1144" i="32"/>
  <c r="I1144" i="32" s="1"/>
  <c r="A980" i="32" l="1"/>
  <c r="B980" i="32" s="1"/>
  <c r="D999" i="32"/>
  <c r="A951" i="32"/>
  <c r="B951" i="32" s="1"/>
  <c r="D970" i="32"/>
  <c r="A958" i="32"/>
  <c r="B958" i="32" s="1"/>
  <c r="D977" i="32"/>
  <c r="D1043" i="32"/>
  <c r="A1024" i="32"/>
  <c r="B1024" i="32" s="1"/>
  <c r="A990" i="32"/>
  <c r="B990" i="32" s="1"/>
  <c r="D1009" i="32"/>
  <c r="K930" i="32"/>
  <c r="H912" i="32"/>
  <c r="I912" i="32" s="1"/>
  <c r="K1168" i="32"/>
  <c r="H1150" i="32"/>
  <c r="I1150" i="32" s="1"/>
  <c r="K935" i="32"/>
  <c r="H917" i="32"/>
  <c r="I917" i="32" s="1"/>
  <c r="A960" i="32"/>
  <c r="B960" i="32" s="1"/>
  <c r="D979" i="32"/>
  <c r="H914" i="32"/>
  <c r="I914" i="32" s="1"/>
  <c r="K932" i="32"/>
  <c r="A938" i="32"/>
  <c r="D957" i="32"/>
  <c r="K1005" i="32"/>
  <c r="H987" i="32"/>
  <c r="I987" i="32" s="1"/>
  <c r="I907" i="32"/>
  <c r="H906" i="32"/>
  <c r="I906" i="32" s="1"/>
  <c r="H905" i="32"/>
  <c r="I905" i="32" s="1"/>
  <c r="H904" i="32"/>
  <c r="I904" i="32" s="1"/>
  <c r="H911" i="32"/>
  <c r="I911" i="32" s="1"/>
  <c r="D964" i="32"/>
  <c r="A945" i="32"/>
  <c r="B945" i="32" s="1"/>
  <c r="A988" i="32"/>
  <c r="B988" i="32" s="1"/>
  <c r="D1007" i="32"/>
  <c r="H921" i="32"/>
  <c r="I921" i="32" s="1"/>
  <c r="K939" i="32"/>
  <c r="K1180" i="32"/>
  <c r="H1162" i="32"/>
  <c r="I1162" i="32" s="1"/>
  <c r="K1154" i="32"/>
  <c r="H1136" i="32"/>
  <c r="I1136" i="32" s="1"/>
  <c r="K944" i="32"/>
  <c r="H926" i="32"/>
  <c r="I926" i="32" s="1"/>
  <c r="K937" i="32"/>
  <c r="H919" i="32"/>
  <c r="I919" i="32" s="1"/>
  <c r="K1188" i="32"/>
  <c r="H1170" i="32"/>
  <c r="I1170" i="32" s="1"/>
  <c r="D982" i="32"/>
  <c r="A963" i="32"/>
  <c r="B963" i="32" s="1"/>
  <c r="A965" i="32"/>
  <c r="B965" i="32" s="1"/>
  <c r="D984" i="32"/>
  <c r="A924" i="32"/>
  <c r="B924" i="32" s="1"/>
  <c r="A918" i="32"/>
  <c r="B918" i="32" s="1"/>
  <c r="A916" i="32"/>
  <c r="B916" i="32" s="1"/>
  <c r="A917" i="32"/>
  <c r="B917" i="32" s="1"/>
  <c r="B919" i="32"/>
  <c r="H909" i="32"/>
  <c r="I909" i="32" s="1"/>
  <c r="K927" i="32"/>
  <c r="K943" i="32"/>
  <c r="H925" i="32"/>
  <c r="D978" i="32"/>
  <c r="A959" i="32"/>
  <c r="B959" i="32" s="1"/>
  <c r="D1004" i="32"/>
  <c r="A985" i="32"/>
  <c r="B985" i="32" s="1"/>
  <c r="D972" i="32"/>
  <c r="A953" i="32"/>
  <c r="B953" i="32" s="1"/>
  <c r="A949" i="32"/>
  <c r="B949" i="32" s="1"/>
  <c r="D968" i="32"/>
  <c r="H913" i="32"/>
  <c r="I913" i="32" s="1"/>
  <c r="K931" i="32"/>
  <c r="K1198" i="32" l="1"/>
  <c r="H1180" i="32"/>
  <c r="I1180" i="32" s="1"/>
  <c r="A978" i="32"/>
  <c r="B978" i="32" s="1"/>
  <c r="D997" i="32"/>
  <c r="K948" i="32"/>
  <c r="H930" i="32"/>
  <c r="I930" i="32" s="1"/>
  <c r="A968" i="32"/>
  <c r="B968" i="32" s="1"/>
  <c r="D987" i="32"/>
  <c r="H937" i="32"/>
  <c r="I937" i="32" s="1"/>
  <c r="K955" i="32"/>
  <c r="A964" i="32"/>
  <c r="B964" i="32" s="1"/>
  <c r="D983" i="32"/>
  <c r="A979" i="32"/>
  <c r="B979" i="32" s="1"/>
  <c r="D998" i="32"/>
  <c r="A972" i="32"/>
  <c r="B972" i="32" s="1"/>
  <c r="D991" i="32"/>
  <c r="H935" i="32"/>
  <c r="I935" i="32" s="1"/>
  <c r="K953" i="32"/>
  <c r="K957" i="32"/>
  <c r="H939" i="32"/>
  <c r="I939" i="32" s="1"/>
  <c r="D1028" i="32"/>
  <c r="A1009" i="32"/>
  <c r="B1009" i="32" s="1"/>
  <c r="K961" i="32"/>
  <c r="H943" i="32"/>
  <c r="D1026" i="32"/>
  <c r="A1007" i="32"/>
  <c r="B1007" i="32" s="1"/>
  <c r="H931" i="32"/>
  <c r="I931" i="32" s="1"/>
  <c r="K949" i="32"/>
  <c r="K1206" i="32"/>
  <c r="H1188" i="32"/>
  <c r="I1188" i="32" s="1"/>
  <c r="H944" i="32"/>
  <c r="I944" i="32" s="1"/>
  <c r="K962" i="32"/>
  <c r="A970" i="32"/>
  <c r="B970" i="32" s="1"/>
  <c r="D989" i="32"/>
  <c r="K1172" i="32"/>
  <c r="H1154" i="32"/>
  <c r="I1154" i="32" s="1"/>
  <c r="A999" i="32"/>
  <c r="B999" i="32" s="1"/>
  <c r="D1018" i="32"/>
  <c r="K1023" i="32"/>
  <c r="H1005" i="32"/>
  <c r="I1005" i="32" s="1"/>
  <c r="H923" i="32"/>
  <c r="I923" i="32" s="1"/>
  <c r="I925" i="32"/>
  <c r="H929" i="32"/>
  <c r="I929" i="32" s="1"/>
  <c r="H924" i="32"/>
  <c r="I924" i="32" s="1"/>
  <c r="H922" i="32"/>
  <c r="I922" i="32" s="1"/>
  <c r="A982" i="32"/>
  <c r="B982" i="32" s="1"/>
  <c r="D1001" i="32"/>
  <c r="A957" i="32"/>
  <c r="D976" i="32"/>
  <c r="A936" i="32"/>
  <c r="B936" i="32" s="1"/>
  <c r="B938" i="32"/>
  <c r="A937" i="32"/>
  <c r="B937" i="32" s="1"/>
  <c r="A943" i="32"/>
  <c r="B943" i="32" s="1"/>
  <c r="A935" i="32"/>
  <c r="B935" i="32" s="1"/>
  <c r="H927" i="32"/>
  <c r="I927" i="32" s="1"/>
  <c r="K945" i="32"/>
  <c r="K950" i="32"/>
  <c r="H932" i="32"/>
  <c r="I932" i="32" s="1"/>
  <c r="D1062" i="32"/>
  <c r="A1043" i="32"/>
  <c r="B1043" i="32" s="1"/>
  <c r="D996" i="32"/>
  <c r="A977" i="32"/>
  <c r="B977" i="32" s="1"/>
  <c r="A1004" i="32"/>
  <c r="B1004" i="32" s="1"/>
  <c r="D1023" i="32"/>
  <c r="A984" i="32"/>
  <c r="B984" i="32" s="1"/>
  <c r="D1003" i="32"/>
  <c r="K1186" i="32"/>
  <c r="H1168" i="32"/>
  <c r="I1168" i="32" s="1"/>
  <c r="A962" i="32" l="1"/>
  <c r="B962" i="32" s="1"/>
  <c r="A956" i="32"/>
  <c r="B956" i="32" s="1"/>
  <c r="A954" i="32"/>
  <c r="B954" i="32" s="1"/>
  <c r="B957" i="32"/>
  <c r="A955" i="32"/>
  <c r="B955" i="32" s="1"/>
  <c r="D1081" i="32"/>
  <c r="A1062" i="32"/>
  <c r="B1062" i="32" s="1"/>
  <c r="A1001" i="32"/>
  <c r="B1001" i="32" s="1"/>
  <c r="D1020" i="32"/>
  <c r="K979" i="32"/>
  <c r="H961" i="32"/>
  <c r="A983" i="32"/>
  <c r="B983" i="32" s="1"/>
  <c r="D1002" i="32"/>
  <c r="K1190" i="32"/>
  <c r="H1172" i="32"/>
  <c r="I1172" i="32" s="1"/>
  <c r="H955" i="32"/>
  <c r="I955" i="32" s="1"/>
  <c r="K973" i="32"/>
  <c r="K968" i="32"/>
  <c r="H950" i="32"/>
  <c r="I950" i="32" s="1"/>
  <c r="A1028" i="32"/>
  <c r="B1028" i="32" s="1"/>
  <c r="D1047" i="32"/>
  <c r="K963" i="32"/>
  <c r="H945" i="32"/>
  <c r="I945" i="32" s="1"/>
  <c r="A987" i="32"/>
  <c r="B987" i="32" s="1"/>
  <c r="D1006" i="32"/>
  <c r="K1204" i="32"/>
  <c r="H1186" i="32"/>
  <c r="I1186" i="32" s="1"/>
  <c r="D1022" i="32"/>
  <c r="A1003" i="32"/>
  <c r="B1003" i="32" s="1"/>
  <c r="K971" i="32"/>
  <c r="H953" i="32"/>
  <c r="I953" i="32" s="1"/>
  <c r="A1023" i="32"/>
  <c r="B1023" i="32" s="1"/>
  <c r="D1042" i="32"/>
  <c r="K967" i="32"/>
  <c r="H949" i="32"/>
  <c r="I949" i="32" s="1"/>
  <c r="A997" i="32"/>
  <c r="B997" i="32" s="1"/>
  <c r="D1016" i="32"/>
  <c r="K1041" i="32"/>
  <c r="H1023" i="32"/>
  <c r="I1023" i="32" s="1"/>
  <c r="D1037" i="32"/>
  <c r="A1018" i="32"/>
  <c r="B1018" i="32" s="1"/>
  <c r="A998" i="32"/>
  <c r="B998" i="32" s="1"/>
  <c r="D1017" i="32"/>
  <c r="H942" i="32"/>
  <c r="I942" i="32" s="1"/>
  <c r="H941" i="32"/>
  <c r="I941" i="32" s="1"/>
  <c r="I943" i="32"/>
  <c r="H947" i="32"/>
  <c r="I947" i="32" s="1"/>
  <c r="H940" i="32"/>
  <c r="I940" i="32" s="1"/>
  <c r="D1008" i="32"/>
  <c r="A989" i="32"/>
  <c r="B989" i="32" s="1"/>
  <c r="H962" i="32"/>
  <c r="I962" i="32" s="1"/>
  <c r="K980" i="32"/>
  <c r="H957" i="32"/>
  <c r="I957" i="32" s="1"/>
  <c r="K975" i="32"/>
  <c r="K1224" i="32"/>
  <c r="H1206" i="32"/>
  <c r="I1206" i="32" s="1"/>
  <c r="H948" i="32"/>
  <c r="I948" i="32" s="1"/>
  <c r="K966" i="32"/>
  <c r="D1010" i="32"/>
  <c r="A991" i="32"/>
  <c r="B991" i="32" s="1"/>
  <c r="A996" i="32"/>
  <c r="B996" i="32" s="1"/>
  <c r="D1015" i="32"/>
  <c r="A976" i="32"/>
  <c r="D995" i="32"/>
  <c r="D1045" i="32"/>
  <c r="A1026" i="32"/>
  <c r="B1026" i="32" s="1"/>
  <c r="K1216" i="32"/>
  <c r="H1198" i="32"/>
  <c r="I1198" i="32" s="1"/>
  <c r="D1066" i="32" l="1"/>
  <c r="A1047" i="32"/>
  <c r="B1047" i="32" s="1"/>
  <c r="H959" i="32"/>
  <c r="I959" i="32" s="1"/>
  <c r="H965" i="32"/>
  <c r="I965" i="32" s="1"/>
  <c r="I961" i="32"/>
  <c r="H958" i="32"/>
  <c r="I958" i="32" s="1"/>
  <c r="H960" i="32"/>
  <c r="I960" i="32" s="1"/>
  <c r="H963" i="32"/>
  <c r="I963" i="32" s="1"/>
  <c r="K981" i="32"/>
  <c r="A1042" i="32"/>
  <c r="B1042" i="32" s="1"/>
  <c r="D1061" i="32"/>
  <c r="K989" i="32"/>
  <c r="H971" i="32"/>
  <c r="I971" i="32" s="1"/>
  <c r="D1100" i="32"/>
  <c r="A1081" i="32"/>
  <c r="B1081" i="32" s="1"/>
  <c r="D1014" i="32"/>
  <c r="A995" i="32"/>
  <c r="K998" i="32"/>
  <c r="H980" i="32"/>
  <c r="I980" i="32" s="1"/>
  <c r="D1056" i="32"/>
  <c r="A1037" i="32"/>
  <c r="B1037" i="32" s="1"/>
  <c r="D1041" i="32"/>
  <c r="A1022" i="32"/>
  <c r="B1022" i="32" s="1"/>
  <c r="A1015" i="32"/>
  <c r="B1015" i="32" s="1"/>
  <c r="D1034" i="32"/>
  <c r="A1010" i="32"/>
  <c r="B1010" i="32" s="1"/>
  <c r="D1029" i="32"/>
  <c r="H966" i="32"/>
  <c r="I966" i="32" s="1"/>
  <c r="K984" i="32"/>
  <c r="K985" i="32"/>
  <c r="H967" i="32"/>
  <c r="I967" i="32" s="1"/>
  <c r="H979" i="32"/>
  <c r="K997" i="32"/>
  <c r="D1039" i="32"/>
  <c r="A1020" i="32"/>
  <c r="B1020" i="32" s="1"/>
  <c r="K1234" i="32"/>
  <c r="H1216" i="32"/>
  <c r="I1216" i="32" s="1"/>
  <c r="K1242" i="32"/>
  <c r="H1224" i="32"/>
  <c r="I1224" i="32" s="1"/>
  <c r="D1036" i="32"/>
  <c r="A1017" i="32"/>
  <c r="B1017" i="32" s="1"/>
  <c r="H975" i="32"/>
  <c r="I975" i="32" s="1"/>
  <c r="K993" i="32"/>
  <c r="H968" i="32"/>
  <c r="I968" i="32" s="1"/>
  <c r="K986" i="32"/>
  <c r="D1064" i="32"/>
  <c r="A1045" i="32"/>
  <c r="B1045" i="32" s="1"/>
  <c r="H973" i="32"/>
  <c r="I973" i="32" s="1"/>
  <c r="K991" i="32"/>
  <c r="A974" i="32"/>
  <c r="B974" i="32" s="1"/>
  <c r="A973" i="32"/>
  <c r="B973" i="32" s="1"/>
  <c r="A975" i="32"/>
  <c r="B975" i="32" s="1"/>
  <c r="A981" i="32"/>
  <c r="B981" i="32" s="1"/>
  <c r="B976" i="32"/>
  <c r="H1041" i="32"/>
  <c r="I1041" i="32" s="1"/>
  <c r="K1059" i="32"/>
  <c r="K1222" i="32"/>
  <c r="H1204" i="32"/>
  <c r="I1204" i="32" s="1"/>
  <c r="K1208" i="32"/>
  <c r="H1190" i="32"/>
  <c r="I1190" i="32" s="1"/>
  <c r="D1027" i="32"/>
  <c r="A1008" i="32"/>
  <c r="B1008" i="32" s="1"/>
  <c r="A1016" i="32"/>
  <c r="B1016" i="32" s="1"/>
  <c r="D1035" i="32"/>
  <c r="D1025" i="32"/>
  <c r="A1006" i="32"/>
  <c r="B1006" i="32" s="1"/>
  <c r="A1002" i="32"/>
  <c r="B1002" i="32" s="1"/>
  <c r="D1021" i="32"/>
  <c r="K1252" i="32" l="1"/>
  <c r="H1234" i="32"/>
  <c r="I1234" i="32" s="1"/>
  <c r="K1007" i="32"/>
  <c r="H989" i="32"/>
  <c r="I989" i="32" s="1"/>
  <c r="K1226" i="32"/>
  <c r="H1208" i="32"/>
  <c r="I1208" i="32" s="1"/>
  <c r="A1064" i="32"/>
  <c r="B1064" i="32" s="1"/>
  <c r="D1083" i="32"/>
  <c r="A1039" i="32"/>
  <c r="B1039" i="32" s="1"/>
  <c r="D1058" i="32"/>
  <c r="K1240" i="32"/>
  <c r="H1222" i="32"/>
  <c r="I1222" i="32" s="1"/>
  <c r="K1004" i="32"/>
  <c r="H986" i="32"/>
  <c r="I986" i="32" s="1"/>
  <c r="K1015" i="32"/>
  <c r="H997" i="32"/>
  <c r="H981" i="32"/>
  <c r="I981" i="32" s="1"/>
  <c r="K999" i="32"/>
  <c r="D1040" i="32"/>
  <c r="A1021" i="32"/>
  <c r="B1021" i="32" s="1"/>
  <c r="H1059" i="32"/>
  <c r="I1059" i="32" s="1"/>
  <c r="K1077" i="32"/>
  <c r="H983" i="32"/>
  <c r="I983" i="32" s="1"/>
  <c r="H978" i="32"/>
  <c r="I978" i="32" s="1"/>
  <c r="H976" i="32"/>
  <c r="I976" i="32" s="1"/>
  <c r="I979" i="32"/>
  <c r="H977" i="32"/>
  <c r="I977" i="32" s="1"/>
  <c r="K1011" i="32"/>
  <c r="H993" i="32"/>
  <c r="I993" i="32" s="1"/>
  <c r="H985" i="32"/>
  <c r="I985" i="32" s="1"/>
  <c r="K1003" i="32"/>
  <c r="K1016" i="32"/>
  <c r="H998" i="32"/>
  <c r="I998" i="32" s="1"/>
  <c r="A1025" i="32"/>
  <c r="B1025" i="32" s="1"/>
  <c r="D1044" i="32"/>
  <c r="A1000" i="32"/>
  <c r="B1000" i="32" s="1"/>
  <c r="A994" i="32"/>
  <c r="B994" i="32" s="1"/>
  <c r="A992" i="32"/>
  <c r="B992" i="32" s="1"/>
  <c r="A993" i="32"/>
  <c r="B993" i="32" s="1"/>
  <c r="B995" i="32"/>
  <c r="A1035" i="32"/>
  <c r="B1035" i="32" s="1"/>
  <c r="D1054" i="32"/>
  <c r="D1055" i="32"/>
  <c r="A1036" i="32"/>
  <c r="B1036" i="32" s="1"/>
  <c r="D1033" i="32"/>
  <c r="A1014" i="32"/>
  <c r="D1048" i="32"/>
  <c r="A1029" i="32"/>
  <c r="B1029" i="32" s="1"/>
  <c r="D1080" i="32"/>
  <c r="A1061" i="32"/>
  <c r="B1061" i="32" s="1"/>
  <c r="A1041" i="32"/>
  <c r="B1041" i="32" s="1"/>
  <c r="D1060" i="32"/>
  <c r="A1056" i="32"/>
  <c r="B1056" i="32" s="1"/>
  <c r="D1075" i="32"/>
  <c r="K1002" i="32"/>
  <c r="H984" i="32"/>
  <c r="I984" i="32" s="1"/>
  <c r="K1260" i="32"/>
  <c r="H1242" i="32"/>
  <c r="I1242" i="32" s="1"/>
  <c r="A1100" i="32"/>
  <c r="B1100" i="32" s="1"/>
  <c r="D1119" i="32"/>
  <c r="D1046" i="32"/>
  <c r="A1027" i="32"/>
  <c r="B1027" i="32" s="1"/>
  <c r="H991" i="32"/>
  <c r="I991" i="32" s="1"/>
  <c r="K1009" i="32"/>
  <c r="D1053" i="32"/>
  <c r="A1034" i="32"/>
  <c r="B1034" i="32" s="1"/>
  <c r="A1066" i="32"/>
  <c r="B1066" i="32" s="1"/>
  <c r="D1085" i="32"/>
  <c r="C66" i="31"/>
  <c r="C65" i="31"/>
  <c r="C64" i="31"/>
  <c r="C63" i="31"/>
  <c r="C62" i="31"/>
  <c r="C61" i="31"/>
  <c r="C60" i="31"/>
  <c r="C59" i="31"/>
  <c r="C42" i="23" s="1"/>
  <c r="C66" i="30"/>
  <c r="C65" i="30"/>
  <c r="C64" i="30"/>
  <c r="C63" i="30"/>
  <c r="C62" i="30"/>
  <c r="C61" i="30"/>
  <c r="C60" i="30"/>
  <c r="C59" i="30"/>
  <c r="C31" i="23" s="1"/>
  <c r="C13" i="29"/>
  <c r="C18" i="29"/>
  <c r="L84" i="31"/>
  <c r="J84" i="31"/>
  <c r="F84" i="31"/>
  <c r="D84" i="31"/>
  <c r="L83" i="31"/>
  <c r="J83" i="31"/>
  <c r="H83" i="31"/>
  <c r="F83" i="31"/>
  <c r="D83" i="31"/>
  <c r="L80" i="31"/>
  <c r="J79" i="31"/>
  <c r="H79" i="31"/>
  <c r="L78" i="31"/>
  <c r="H78" i="31"/>
  <c r="F78" i="31"/>
  <c r="L77" i="31"/>
  <c r="J77" i="31"/>
  <c r="H77" i="31"/>
  <c r="F77" i="31"/>
  <c r="J76" i="31"/>
  <c r="H76" i="31"/>
  <c r="F76" i="31"/>
  <c r="L75" i="31"/>
  <c r="J75" i="31"/>
  <c r="H75" i="31"/>
  <c r="F75" i="31"/>
  <c r="D76" i="31" s="1"/>
  <c r="BR66" i="31"/>
  <c r="BQ66" i="31"/>
  <c r="BP66" i="31"/>
  <c r="BO66" i="31"/>
  <c r="BN66" i="31"/>
  <c r="BM66" i="31"/>
  <c r="BC66" i="31"/>
  <c r="BB66" i="31"/>
  <c r="BA66" i="31"/>
  <c r="AZ66" i="31"/>
  <c r="AY66" i="31"/>
  <c r="AX66" i="31"/>
  <c r="AP66" i="31"/>
  <c r="AO66" i="31"/>
  <c r="AN66" i="31"/>
  <c r="AM66" i="31"/>
  <c r="AL66" i="31"/>
  <c r="AK66" i="31"/>
  <c r="AJ66" i="31"/>
  <c r="AI66" i="31"/>
  <c r="AA66" i="31"/>
  <c r="Z66" i="31"/>
  <c r="Y66" i="31"/>
  <c r="X66" i="31"/>
  <c r="BX65" i="31"/>
  <c r="BW65" i="31"/>
  <c r="BV65" i="31"/>
  <c r="BU65" i="31"/>
  <c r="BT65" i="31"/>
  <c r="BS65" i="31"/>
  <c r="BR65" i="31"/>
  <c r="BQ65" i="31"/>
  <c r="BP65" i="31"/>
  <c r="BO65" i="31"/>
  <c r="BN65" i="31"/>
  <c r="BM65" i="31"/>
  <c r="BI65" i="31"/>
  <c r="BH65" i="31"/>
  <c r="BG65" i="31"/>
  <c r="BF65" i="31"/>
  <c r="BE65" i="31"/>
  <c r="BD65" i="31"/>
  <c r="BC65" i="31"/>
  <c r="BB65" i="31"/>
  <c r="BA65" i="31"/>
  <c r="AZ65" i="31"/>
  <c r="AY65" i="31"/>
  <c r="AX65" i="31"/>
  <c r="AT65" i="31"/>
  <c r="AS65" i="31"/>
  <c r="AR65" i="31"/>
  <c r="AQ65" i="31"/>
  <c r="AP65" i="31"/>
  <c r="AO65" i="31"/>
  <c r="AN65" i="31"/>
  <c r="AM65" i="31"/>
  <c r="AL65" i="31"/>
  <c r="AK65" i="31"/>
  <c r="AJ65" i="31"/>
  <c r="AI65" i="31"/>
  <c r="AE65" i="31"/>
  <c r="AD65" i="31"/>
  <c r="AC65" i="31"/>
  <c r="AB65" i="31"/>
  <c r="AA65" i="31"/>
  <c r="Z65" i="31"/>
  <c r="Y65" i="31"/>
  <c r="X65" i="31"/>
  <c r="W65" i="31"/>
  <c r="V65" i="31"/>
  <c r="U65" i="31"/>
  <c r="T65" i="31"/>
  <c r="P65" i="31"/>
  <c r="O65" i="31"/>
  <c r="N65" i="31"/>
  <c r="M65" i="31"/>
  <c r="L65" i="31"/>
  <c r="K65" i="31"/>
  <c r="J65" i="31"/>
  <c r="I65" i="31"/>
  <c r="H65" i="31"/>
  <c r="G65" i="31"/>
  <c r="F65" i="31"/>
  <c r="BX64" i="31"/>
  <c r="BW64" i="31"/>
  <c r="BV64" i="31"/>
  <c r="BU64" i="31"/>
  <c r="BT64" i="31"/>
  <c r="BS64" i="31"/>
  <c r="BR64" i="31"/>
  <c r="BQ64" i="31"/>
  <c r="BP64" i="31"/>
  <c r="BO64" i="31"/>
  <c r="BN64" i="31"/>
  <c r="BM64" i="31"/>
  <c r="BI64" i="31"/>
  <c r="BH64" i="31"/>
  <c r="BG64" i="31"/>
  <c r="BF64" i="31"/>
  <c r="BE64" i="31"/>
  <c r="BD64" i="31"/>
  <c r="BC64" i="31"/>
  <c r="BB64" i="31"/>
  <c r="BA64" i="31"/>
  <c r="AZ64" i="31"/>
  <c r="AY64" i="31"/>
  <c r="AX64" i="31"/>
  <c r="AT64" i="31"/>
  <c r="AS64" i="31"/>
  <c r="AR64" i="31"/>
  <c r="AQ64" i="31"/>
  <c r="AP64" i="31"/>
  <c r="AO64" i="31"/>
  <c r="AN64" i="31"/>
  <c r="AM64" i="31"/>
  <c r="AL64" i="31"/>
  <c r="AK64" i="31"/>
  <c r="AJ64" i="31"/>
  <c r="AI64" i="31"/>
  <c r="AE64" i="31"/>
  <c r="AD64" i="31"/>
  <c r="AC64" i="31"/>
  <c r="AB64" i="31"/>
  <c r="AA64" i="31"/>
  <c r="Z64" i="31"/>
  <c r="Y64" i="31"/>
  <c r="X64" i="31"/>
  <c r="W64" i="31"/>
  <c r="V64" i="31"/>
  <c r="U64" i="31"/>
  <c r="T64" i="31"/>
  <c r="P64" i="31"/>
  <c r="O64" i="31"/>
  <c r="N64" i="31"/>
  <c r="M64" i="31"/>
  <c r="L64" i="31"/>
  <c r="K64" i="31"/>
  <c r="J64" i="31"/>
  <c r="I64" i="31"/>
  <c r="H64" i="31"/>
  <c r="G64" i="31"/>
  <c r="F64" i="31"/>
  <c r="BW61" i="31"/>
  <c r="BV61" i="31"/>
  <c r="BU61" i="31"/>
  <c r="BT61" i="31"/>
  <c r="BS61" i="31"/>
  <c r="BR61" i="31"/>
  <c r="BI61" i="31"/>
  <c r="BH61" i="31"/>
  <c r="BG61" i="31"/>
  <c r="BF61" i="31"/>
  <c r="BE61" i="31"/>
  <c r="BD61" i="31"/>
  <c r="BC61" i="31"/>
  <c r="AX61" i="31"/>
  <c r="AT61" i="31"/>
  <c r="AS61" i="31"/>
  <c r="AR61" i="31"/>
  <c r="AI61" i="31"/>
  <c r="AA61" i="31"/>
  <c r="Z61" i="31"/>
  <c r="Y61" i="31"/>
  <c r="K61" i="31"/>
  <c r="J61" i="31"/>
  <c r="BX60" i="31"/>
  <c r="BW60" i="31"/>
  <c r="BV60" i="31"/>
  <c r="BU60" i="31"/>
  <c r="BT60" i="31"/>
  <c r="BS60" i="31"/>
  <c r="BR60" i="31"/>
  <c r="BQ60" i="31"/>
  <c r="BP60" i="31"/>
  <c r="BO60" i="31"/>
  <c r="BN60" i="31"/>
  <c r="BM60" i="31"/>
  <c r="BI60" i="31"/>
  <c r="BH60" i="31"/>
  <c r="BG60" i="31"/>
  <c r="BF60" i="31"/>
  <c r="BE60" i="31"/>
  <c r="BD60" i="31"/>
  <c r="BC60" i="31"/>
  <c r="BB60" i="31"/>
  <c r="BA60" i="31"/>
  <c r="AZ60" i="31"/>
  <c r="AY60" i="31"/>
  <c r="AX60" i="31"/>
  <c r="AT60" i="31"/>
  <c r="AS60" i="31"/>
  <c r="AR60" i="31"/>
  <c r="AQ60" i="31"/>
  <c r="AP60" i="31"/>
  <c r="AO60" i="31"/>
  <c r="AN60" i="31"/>
  <c r="AM60" i="31"/>
  <c r="AL60" i="31"/>
  <c r="AK60" i="31"/>
  <c r="AJ60" i="31"/>
  <c r="AI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P60" i="31"/>
  <c r="O60" i="31"/>
  <c r="N60" i="31"/>
  <c r="M60" i="31"/>
  <c r="L60" i="31"/>
  <c r="K60" i="31"/>
  <c r="J60" i="31"/>
  <c r="I60" i="31"/>
  <c r="H60" i="31"/>
  <c r="G60" i="31"/>
  <c r="F60" i="31"/>
  <c r="BX59" i="31"/>
  <c r="BW59" i="31"/>
  <c r="BV59" i="31"/>
  <c r="BU59" i="31"/>
  <c r="BT59" i="31"/>
  <c r="BS59" i="31"/>
  <c r="BR59" i="31"/>
  <c r="BQ59" i="31"/>
  <c r="BP59" i="31"/>
  <c r="BO59" i="31"/>
  <c r="BN59" i="31"/>
  <c r="BM59" i="31"/>
  <c r="BI59" i="31"/>
  <c r="BH59" i="31"/>
  <c r="BG59" i="31"/>
  <c r="BF59" i="31"/>
  <c r="BE59" i="31"/>
  <c r="BD59" i="31"/>
  <c r="BC59" i="31"/>
  <c r="BB59" i="31"/>
  <c r="BA59" i="31"/>
  <c r="AZ59" i="31"/>
  <c r="AY59" i="31"/>
  <c r="AX59" i="31"/>
  <c r="AT59" i="31"/>
  <c r="AS59" i="31"/>
  <c r="AR59" i="31"/>
  <c r="AQ59" i="31"/>
  <c r="AP59" i="31"/>
  <c r="AO59" i="31"/>
  <c r="AN59" i="31"/>
  <c r="AM59" i="31"/>
  <c r="AL59" i="31"/>
  <c r="AK59" i="31"/>
  <c r="AJ59" i="31"/>
  <c r="AI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P59" i="31"/>
  <c r="O59" i="31"/>
  <c r="N59" i="31"/>
  <c r="M59" i="31"/>
  <c r="L59" i="31"/>
  <c r="K59" i="31"/>
  <c r="J59" i="31"/>
  <c r="I59" i="31"/>
  <c r="H59" i="31"/>
  <c r="G59" i="31"/>
  <c r="F59" i="31"/>
  <c r="D66" i="31"/>
  <c r="D65" i="31"/>
  <c r="D64" i="31"/>
  <c r="D63" i="31"/>
  <c r="D62" i="31"/>
  <c r="D61" i="31"/>
  <c r="BX66" i="31"/>
  <c r="BW66" i="31"/>
  <c r="BV66" i="31"/>
  <c r="BU66" i="31"/>
  <c r="BT66" i="31"/>
  <c r="BS66" i="31"/>
  <c r="BI66" i="31"/>
  <c r="BH66" i="31"/>
  <c r="BG66" i="31"/>
  <c r="BF66" i="31"/>
  <c r="BE66" i="31"/>
  <c r="BD66" i="31"/>
  <c r="AT66" i="31"/>
  <c r="AS66" i="31"/>
  <c r="AR66" i="31"/>
  <c r="AQ66" i="31"/>
  <c r="AE66" i="31"/>
  <c r="AD66" i="31"/>
  <c r="AC66" i="31"/>
  <c r="AB66" i="31"/>
  <c r="W66" i="31"/>
  <c r="V66" i="31"/>
  <c r="U66" i="31"/>
  <c r="T66" i="31"/>
  <c r="P66" i="31"/>
  <c r="O66" i="31"/>
  <c r="N66" i="31"/>
  <c r="M66" i="31"/>
  <c r="L66" i="31"/>
  <c r="K66" i="31"/>
  <c r="J66" i="31"/>
  <c r="I66" i="31"/>
  <c r="H66" i="31"/>
  <c r="G66" i="31"/>
  <c r="F66" i="31"/>
  <c r="D60" i="31"/>
  <c r="BX61" i="31"/>
  <c r="BQ61" i="31"/>
  <c r="BP61" i="31"/>
  <c r="BO61" i="31"/>
  <c r="BN61" i="31"/>
  <c r="BM61" i="31"/>
  <c r="BB61" i="31"/>
  <c r="BA61" i="31"/>
  <c r="AZ61" i="31"/>
  <c r="AY61" i="31"/>
  <c r="AQ61" i="31"/>
  <c r="AP61" i="31"/>
  <c r="AO61" i="31"/>
  <c r="AN61" i="31"/>
  <c r="AM61" i="31"/>
  <c r="AL61" i="31"/>
  <c r="AK61" i="31"/>
  <c r="AJ61" i="31"/>
  <c r="AE61" i="31"/>
  <c r="AD61" i="31"/>
  <c r="AC61" i="31"/>
  <c r="AB61" i="31"/>
  <c r="X61" i="31"/>
  <c r="W61" i="31"/>
  <c r="V61" i="31"/>
  <c r="U61" i="31"/>
  <c r="T61" i="31"/>
  <c r="P61" i="31"/>
  <c r="O61" i="31"/>
  <c r="N61" i="31"/>
  <c r="M61" i="31"/>
  <c r="L61" i="31"/>
  <c r="I61" i="31"/>
  <c r="H61" i="31"/>
  <c r="G61" i="31"/>
  <c r="F61" i="31"/>
  <c r="D59" i="31"/>
  <c r="D82" i="30"/>
  <c r="F77" i="30"/>
  <c r="L76" i="30"/>
  <c r="F76" i="30"/>
  <c r="F75" i="30"/>
  <c r="H73" i="30"/>
  <c r="BU66" i="30"/>
  <c r="BT66" i="30"/>
  <c r="BP66" i="30"/>
  <c r="BO66" i="30"/>
  <c r="BN66" i="30"/>
  <c r="BC66" i="30"/>
  <c r="BB66" i="30"/>
  <c r="BA66" i="30"/>
  <c r="AP66" i="30"/>
  <c r="AO66" i="30"/>
  <c r="AN66" i="30"/>
  <c r="AM66" i="30"/>
  <c r="AL66" i="30"/>
  <c r="AK66" i="30"/>
  <c r="AJ66" i="30"/>
  <c r="AI66" i="30"/>
  <c r="AC66" i="30"/>
  <c r="AB66" i="30"/>
  <c r="AA66" i="30"/>
  <c r="Y66" i="30"/>
  <c r="X66" i="30"/>
  <c r="W66" i="30"/>
  <c r="V66" i="30"/>
  <c r="U66" i="30"/>
  <c r="L66" i="30"/>
  <c r="K66" i="30"/>
  <c r="BX65" i="30"/>
  <c r="BW65" i="30"/>
  <c r="BV65" i="30"/>
  <c r="BU65" i="30"/>
  <c r="BT65" i="30"/>
  <c r="BS65" i="30"/>
  <c r="BR65" i="30"/>
  <c r="BQ65" i="30"/>
  <c r="BP65" i="30"/>
  <c r="BO65" i="30"/>
  <c r="BN65" i="30"/>
  <c r="BM65" i="30"/>
  <c r="BI65" i="30"/>
  <c r="BH65" i="30"/>
  <c r="BG65" i="30"/>
  <c r="BF65" i="30"/>
  <c r="BE65" i="30"/>
  <c r="BD65" i="30"/>
  <c r="BC65" i="30"/>
  <c r="BB65" i="30"/>
  <c r="BA65" i="30"/>
  <c r="AZ65" i="30"/>
  <c r="AY65" i="30"/>
  <c r="AX65" i="30"/>
  <c r="AT65" i="30"/>
  <c r="AS65" i="30"/>
  <c r="AR65" i="30"/>
  <c r="AQ65" i="30"/>
  <c r="AP65" i="30"/>
  <c r="AO65" i="30"/>
  <c r="AN65" i="30"/>
  <c r="AM65" i="30"/>
  <c r="AL65" i="30"/>
  <c r="AK65" i="30"/>
  <c r="AJ65" i="30"/>
  <c r="AI65" i="30"/>
  <c r="AE65" i="30"/>
  <c r="AD65" i="30"/>
  <c r="AC65" i="30"/>
  <c r="AB65" i="30"/>
  <c r="AA65" i="30"/>
  <c r="Z65" i="30"/>
  <c r="Y65" i="30"/>
  <c r="X65" i="30"/>
  <c r="W65" i="30"/>
  <c r="V65" i="30"/>
  <c r="U65" i="30"/>
  <c r="T65" i="30"/>
  <c r="P65" i="30"/>
  <c r="O65" i="30"/>
  <c r="N65" i="30"/>
  <c r="M65" i="30"/>
  <c r="L65" i="30"/>
  <c r="K65" i="30"/>
  <c r="J65" i="30"/>
  <c r="I65" i="30"/>
  <c r="H65" i="30"/>
  <c r="G65" i="30"/>
  <c r="F65" i="30"/>
  <c r="BX64" i="30"/>
  <c r="BW64" i="30"/>
  <c r="BV64" i="30"/>
  <c r="BU64" i="30"/>
  <c r="BT64" i="30"/>
  <c r="BS64" i="30"/>
  <c r="BR64" i="30"/>
  <c r="BQ64" i="30"/>
  <c r="BP64" i="30"/>
  <c r="BO64" i="30"/>
  <c r="BN64" i="30"/>
  <c r="BM64" i="30"/>
  <c r="BI64" i="30"/>
  <c r="BH64" i="30"/>
  <c r="BG64" i="30"/>
  <c r="BF64" i="30"/>
  <c r="BE64" i="30"/>
  <c r="BD64" i="30"/>
  <c r="BC64" i="30"/>
  <c r="BB64" i="30"/>
  <c r="BA64" i="30"/>
  <c r="AZ64" i="30"/>
  <c r="AY64" i="30"/>
  <c r="AX64" i="30"/>
  <c r="AT64" i="30"/>
  <c r="AS64" i="30"/>
  <c r="AR64" i="30"/>
  <c r="AQ64" i="30"/>
  <c r="AP64" i="30"/>
  <c r="AO64" i="30"/>
  <c r="AN64" i="30"/>
  <c r="AM64" i="30"/>
  <c r="AL64" i="30"/>
  <c r="AK64" i="30"/>
  <c r="AJ64" i="30"/>
  <c r="AI64" i="30"/>
  <c r="AE64" i="30"/>
  <c r="AD64" i="30"/>
  <c r="AC64" i="30"/>
  <c r="AB64" i="30"/>
  <c r="AA64" i="30"/>
  <c r="Z64" i="30"/>
  <c r="Y64" i="30"/>
  <c r="X64" i="30"/>
  <c r="W64" i="30"/>
  <c r="V64" i="30"/>
  <c r="U64" i="30"/>
  <c r="T64" i="30"/>
  <c r="P64" i="30"/>
  <c r="O64" i="30"/>
  <c r="N64" i="30"/>
  <c r="M64" i="30"/>
  <c r="L64" i="30"/>
  <c r="K64" i="30"/>
  <c r="J64" i="30"/>
  <c r="I64" i="30"/>
  <c r="H64" i="30"/>
  <c r="G64" i="30"/>
  <c r="F64" i="30"/>
  <c r="BW61" i="30"/>
  <c r="BV61" i="30"/>
  <c r="BU61" i="30"/>
  <c r="BN61" i="30"/>
  <c r="BM61" i="30"/>
  <c r="BI61" i="30"/>
  <c r="BH61" i="30"/>
  <c r="BG61" i="30"/>
  <c r="BF61" i="30"/>
  <c r="BC61" i="30"/>
  <c r="AX61" i="30"/>
  <c r="AS61" i="30"/>
  <c r="AR61" i="30"/>
  <c r="AQ61" i="30"/>
  <c r="AP61" i="30"/>
  <c r="AO61" i="30"/>
  <c r="AN61" i="30"/>
  <c r="AK61" i="30"/>
  <c r="AJ61" i="30"/>
  <c r="AI61" i="30"/>
  <c r="AB61" i="30"/>
  <c r="AA61" i="30"/>
  <c r="Z61" i="30"/>
  <c r="Y61" i="30"/>
  <c r="T61" i="30"/>
  <c r="N61" i="30"/>
  <c r="M61" i="30"/>
  <c r="L61" i="30"/>
  <c r="K61" i="30"/>
  <c r="J61" i="30"/>
  <c r="F61" i="30"/>
  <c r="BX60" i="30"/>
  <c r="BW60" i="30"/>
  <c r="BV60" i="30"/>
  <c r="BU60" i="30"/>
  <c r="BT60" i="30"/>
  <c r="BS60" i="30"/>
  <c r="BR60" i="30"/>
  <c r="BQ60" i="30"/>
  <c r="BP60" i="30"/>
  <c r="BO60" i="30"/>
  <c r="BN60" i="30"/>
  <c r="BM60" i="30"/>
  <c r="BI60" i="30"/>
  <c r="BH60" i="30"/>
  <c r="BG60" i="30"/>
  <c r="BF60" i="30"/>
  <c r="BE60" i="30"/>
  <c r="BD60" i="30"/>
  <c r="BC60" i="30"/>
  <c r="BB60" i="30"/>
  <c r="BA60" i="30"/>
  <c r="AZ60" i="30"/>
  <c r="AY60" i="30"/>
  <c r="AX60" i="30"/>
  <c r="AT60" i="30"/>
  <c r="AS60" i="30"/>
  <c r="AR60" i="30"/>
  <c r="AQ60" i="30"/>
  <c r="AP60" i="30"/>
  <c r="AO60" i="30"/>
  <c r="AN60" i="30"/>
  <c r="AM60" i="30"/>
  <c r="AL60" i="30"/>
  <c r="AK60" i="30"/>
  <c r="AJ60" i="30"/>
  <c r="AI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P60" i="30"/>
  <c r="O60" i="30"/>
  <c r="N60" i="30"/>
  <c r="M60" i="30"/>
  <c r="L60" i="30"/>
  <c r="K60" i="30"/>
  <c r="J60" i="30"/>
  <c r="I60" i="30"/>
  <c r="H60" i="30"/>
  <c r="G60" i="30"/>
  <c r="F60" i="30"/>
  <c r="BX59" i="30"/>
  <c r="BW59" i="30"/>
  <c r="BV59" i="30"/>
  <c r="BU59" i="30"/>
  <c r="BT59" i="30"/>
  <c r="BS59" i="30"/>
  <c r="BR59" i="30"/>
  <c r="BQ59" i="30"/>
  <c r="BP59" i="30"/>
  <c r="BO59" i="30"/>
  <c r="BN59" i="30"/>
  <c r="BM59" i="30"/>
  <c r="BI59" i="30"/>
  <c r="BH59" i="30"/>
  <c r="BG59" i="30"/>
  <c r="BF59" i="30"/>
  <c r="BE59" i="30"/>
  <c r="BD59" i="30"/>
  <c r="BC59" i="30"/>
  <c r="BB59" i="30"/>
  <c r="BA59" i="30"/>
  <c r="AZ59" i="30"/>
  <c r="AY59" i="30"/>
  <c r="AX59" i="30"/>
  <c r="AT59" i="30"/>
  <c r="AS59" i="30"/>
  <c r="AR59" i="30"/>
  <c r="AQ59" i="30"/>
  <c r="AP59" i="30"/>
  <c r="AO59" i="30"/>
  <c r="AN59" i="30"/>
  <c r="AM59" i="30"/>
  <c r="AL59" i="30"/>
  <c r="AK59" i="30"/>
  <c r="AJ59" i="30"/>
  <c r="AI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P59" i="30"/>
  <c r="O59" i="30"/>
  <c r="N59" i="30"/>
  <c r="M59" i="30"/>
  <c r="L59" i="30"/>
  <c r="K59" i="30"/>
  <c r="J59" i="30"/>
  <c r="I59" i="30"/>
  <c r="H59" i="30"/>
  <c r="G59" i="30"/>
  <c r="F59" i="30"/>
  <c r="D66" i="30"/>
  <c r="D65" i="30"/>
  <c r="D64" i="30"/>
  <c r="D63" i="30"/>
  <c r="H76" i="30"/>
  <c r="D62" i="30"/>
  <c r="D61" i="30"/>
  <c r="BX66" i="30"/>
  <c r="BW66" i="30"/>
  <c r="BV66" i="30"/>
  <c r="BS66" i="30"/>
  <c r="BR66" i="30"/>
  <c r="BQ66" i="30"/>
  <c r="BM66" i="30"/>
  <c r="BI66" i="30"/>
  <c r="BH66" i="30"/>
  <c r="BG66" i="30"/>
  <c r="BF66" i="30"/>
  <c r="BE66" i="30"/>
  <c r="BD66" i="30"/>
  <c r="AZ66" i="30"/>
  <c r="AY66" i="30"/>
  <c r="AX66" i="30"/>
  <c r="AT66" i="30"/>
  <c r="AS66" i="30"/>
  <c r="AR66" i="30"/>
  <c r="AQ66" i="30"/>
  <c r="AE66" i="30"/>
  <c r="AD66" i="30"/>
  <c r="Z66" i="30"/>
  <c r="T66" i="30"/>
  <c r="P66" i="30"/>
  <c r="O66" i="30"/>
  <c r="N66" i="30"/>
  <c r="M66" i="30"/>
  <c r="J66" i="30"/>
  <c r="I66" i="30"/>
  <c r="H66" i="30"/>
  <c r="G66" i="30"/>
  <c r="F66" i="30"/>
  <c r="D60" i="30"/>
  <c r="BX61" i="30"/>
  <c r="BT61" i="30"/>
  <c r="BS61" i="30"/>
  <c r="BR61" i="30"/>
  <c r="BQ61" i="30"/>
  <c r="BP61" i="30"/>
  <c r="BO61" i="30"/>
  <c r="BE61" i="30"/>
  <c r="BD61" i="30"/>
  <c r="BB61" i="30"/>
  <c r="BA61" i="30"/>
  <c r="AZ61" i="30"/>
  <c r="AY61" i="30"/>
  <c r="AT61" i="30"/>
  <c r="AM61" i="30"/>
  <c r="AL61" i="30"/>
  <c r="AE61" i="30"/>
  <c r="AD61" i="30"/>
  <c r="AC61" i="30"/>
  <c r="X61" i="30"/>
  <c r="W61" i="30"/>
  <c r="V61" i="30"/>
  <c r="U61" i="30"/>
  <c r="P61" i="30"/>
  <c r="O61" i="30"/>
  <c r="I61" i="30"/>
  <c r="H61" i="30"/>
  <c r="G61" i="30"/>
  <c r="D59" i="30"/>
  <c r="H84" i="29"/>
  <c r="J78" i="29"/>
  <c r="H78" i="29"/>
  <c r="F78" i="29"/>
  <c r="F77" i="29"/>
  <c r="F76" i="29"/>
  <c r="C8" i="29"/>
  <c r="D66" i="29"/>
  <c r="C43" i="29"/>
  <c r="D65" i="29"/>
  <c r="C38" i="29"/>
  <c r="D64" i="29"/>
  <c r="C33" i="29"/>
  <c r="D63" i="29"/>
  <c r="C28" i="29"/>
  <c r="D62" i="29"/>
  <c r="C23" i="29"/>
  <c r="D61" i="29"/>
  <c r="D60" i="29"/>
  <c r="D59" i="29"/>
  <c r="M69" i="12"/>
  <c r="K69" i="12"/>
  <c r="I69" i="12"/>
  <c r="L66" i="12"/>
  <c r="M65" i="12"/>
  <c r="L65" i="12"/>
  <c r="K65" i="12"/>
  <c r="J65" i="12"/>
  <c r="I65" i="12"/>
  <c r="H65" i="12"/>
  <c r="G65" i="12"/>
  <c r="F65" i="12"/>
  <c r="R44" i="12"/>
  <c r="E84" i="12" s="1"/>
  <c r="R43" i="12"/>
  <c r="R39" i="12"/>
  <c r="E82" i="12" s="1"/>
  <c r="R38" i="12"/>
  <c r="R34" i="12"/>
  <c r="E80" i="12" s="1"/>
  <c r="R33" i="12"/>
  <c r="R29" i="12"/>
  <c r="E78" i="12" s="1"/>
  <c r="R28" i="12"/>
  <c r="R24" i="12"/>
  <c r="E76" i="12" s="1"/>
  <c r="R23" i="12"/>
  <c r="R19" i="12"/>
  <c r="R18" i="12"/>
  <c r="M66" i="12"/>
  <c r="K66" i="12"/>
  <c r="J66" i="12"/>
  <c r="I66" i="12"/>
  <c r="H66" i="12"/>
  <c r="G66" i="12"/>
  <c r="F66" i="12"/>
  <c r="R14" i="12"/>
  <c r="E72" i="12" s="1"/>
  <c r="R13" i="12"/>
  <c r="R9" i="12"/>
  <c r="E70" i="12" s="1"/>
  <c r="R8" i="12"/>
  <c r="C66" i="12"/>
  <c r="C65" i="12"/>
  <c r="C64" i="12"/>
  <c r="C63" i="12"/>
  <c r="C62" i="12"/>
  <c r="C61" i="12"/>
  <c r="C60" i="12"/>
  <c r="C59" i="12"/>
  <c r="C35" i="41" s="1"/>
  <c r="G12" i="23" l="1"/>
  <c r="O72" i="12"/>
  <c r="N83" i="31"/>
  <c r="P83" i="31" s="1"/>
  <c r="D60" i="12"/>
  <c r="E71" i="12"/>
  <c r="D12" i="23"/>
  <c r="O70" i="12"/>
  <c r="Y12" i="23"/>
  <c r="O84" i="12"/>
  <c r="V12" i="23"/>
  <c r="O82" i="12"/>
  <c r="S12" i="23"/>
  <c r="O80" i="12"/>
  <c r="P12" i="23"/>
  <c r="O78" i="12"/>
  <c r="M12" i="23"/>
  <c r="O76" i="12"/>
  <c r="C43" i="30"/>
  <c r="X31" i="23"/>
  <c r="C38" i="30"/>
  <c r="U31" i="23"/>
  <c r="C33" i="30"/>
  <c r="R31" i="23"/>
  <c r="C28" i="30"/>
  <c r="O31" i="23"/>
  <c r="C23" i="30"/>
  <c r="L31" i="23"/>
  <c r="C18" i="30"/>
  <c r="I31" i="23"/>
  <c r="C13" i="30"/>
  <c r="F31" i="23"/>
  <c r="C43" i="31"/>
  <c r="X42" i="23"/>
  <c r="C38" i="31"/>
  <c r="U42" i="23"/>
  <c r="C33" i="31"/>
  <c r="R42" i="23"/>
  <c r="C28" i="31"/>
  <c r="O42" i="23"/>
  <c r="C23" i="31"/>
  <c r="L42" i="23"/>
  <c r="C18" i="31"/>
  <c r="I42" i="23"/>
  <c r="C13" i="31"/>
  <c r="F42" i="23"/>
  <c r="X9" i="23"/>
  <c r="C42" i="41"/>
  <c r="C31" i="41"/>
  <c r="U9" i="23"/>
  <c r="C41" i="41"/>
  <c r="C30" i="41"/>
  <c r="R9" i="23"/>
  <c r="C40" i="41"/>
  <c r="C29" i="41"/>
  <c r="O9" i="23"/>
  <c r="C39" i="41"/>
  <c r="C28" i="41"/>
  <c r="L9" i="23"/>
  <c r="C38" i="41"/>
  <c r="C27" i="41"/>
  <c r="I9" i="23"/>
  <c r="C37" i="41"/>
  <c r="C26" i="41"/>
  <c r="F9" i="23"/>
  <c r="C36" i="41"/>
  <c r="C25" i="41"/>
  <c r="E35" i="41"/>
  <c r="D35" i="41"/>
  <c r="C9" i="23"/>
  <c r="C24" i="41"/>
  <c r="J78" i="31"/>
  <c r="H84" i="31"/>
  <c r="L76" i="31"/>
  <c r="N76" i="31" s="1"/>
  <c r="P76" i="31" s="1"/>
  <c r="D66" i="12"/>
  <c r="J15" i="21" s="1"/>
  <c r="E83" i="12"/>
  <c r="D65" i="12"/>
  <c r="J14" i="21" s="1"/>
  <c r="E81" i="12"/>
  <c r="D64" i="12"/>
  <c r="J13" i="21" s="1"/>
  <c r="E79" i="12"/>
  <c r="D63" i="12"/>
  <c r="J12" i="21" s="1"/>
  <c r="E77" i="12"/>
  <c r="D62" i="12"/>
  <c r="J11" i="21" s="1"/>
  <c r="E75" i="12"/>
  <c r="E74" i="12"/>
  <c r="D61" i="12"/>
  <c r="J10" i="21" s="1"/>
  <c r="E73" i="12"/>
  <c r="L70" i="12"/>
  <c r="F70" i="12"/>
  <c r="H69" i="12"/>
  <c r="L73" i="12"/>
  <c r="J72" i="12"/>
  <c r="H81" i="12"/>
  <c r="G69" i="12"/>
  <c r="E69" i="12"/>
  <c r="L69" i="12"/>
  <c r="L77" i="12"/>
  <c r="J73" i="12"/>
  <c r="L78" i="12"/>
  <c r="F77" i="12"/>
  <c r="D59" i="12"/>
  <c r="F79" i="31"/>
  <c r="F73" i="31"/>
  <c r="H73" i="31"/>
  <c r="J73" i="31"/>
  <c r="L74" i="31"/>
  <c r="E60" i="31"/>
  <c r="E61" i="31"/>
  <c r="E62" i="31"/>
  <c r="E66" i="31"/>
  <c r="E63" i="31"/>
  <c r="E64" i="31"/>
  <c r="E59" i="31"/>
  <c r="E65" i="31"/>
  <c r="D81" i="31"/>
  <c r="F81" i="31"/>
  <c r="H75" i="30"/>
  <c r="E60" i="30"/>
  <c r="F83" i="30"/>
  <c r="H83" i="30"/>
  <c r="J83" i="30"/>
  <c r="L83" i="30"/>
  <c r="J84" i="30"/>
  <c r="L84" i="30"/>
  <c r="J76" i="30"/>
  <c r="E65" i="30"/>
  <c r="E61" i="30"/>
  <c r="E64" i="30"/>
  <c r="H77" i="30"/>
  <c r="J77" i="30"/>
  <c r="L77" i="30"/>
  <c r="F81" i="30"/>
  <c r="H81" i="30"/>
  <c r="J82" i="30"/>
  <c r="E63" i="30"/>
  <c r="J75" i="30"/>
  <c r="E62" i="30"/>
  <c r="D73" i="30"/>
  <c r="F73" i="30"/>
  <c r="J73" i="30"/>
  <c r="L73" i="30"/>
  <c r="F74" i="30"/>
  <c r="L79" i="30"/>
  <c r="D80" i="30"/>
  <c r="F80" i="30"/>
  <c r="E59" i="30"/>
  <c r="E66" i="30"/>
  <c r="D73" i="29"/>
  <c r="D74" i="29"/>
  <c r="H74" i="29"/>
  <c r="J74" i="29"/>
  <c r="H73" i="29"/>
  <c r="F74" i="29"/>
  <c r="D82" i="29"/>
  <c r="L73" i="29"/>
  <c r="L77" i="29"/>
  <c r="L78" i="29"/>
  <c r="J73" i="29"/>
  <c r="E64" i="29"/>
  <c r="E60" i="29"/>
  <c r="E63" i="29"/>
  <c r="D81" i="29"/>
  <c r="F81" i="29"/>
  <c r="H82" i="29"/>
  <c r="F73" i="29"/>
  <c r="E61" i="29"/>
  <c r="L79" i="29"/>
  <c r="D80" i="29"/>
  <c r="E65" i="29"/>
  <c r="E62" i="29"/>
  <c r="H75" i="29"/>
  <c r="J75" i="29"/>
  <c r="L75" i="29"/>
  <c r="L76" i="29"/>
  <c r="H79" i="29"/>
  <c r="J79" i="29"/>
  <c r="F83" i="29"/>
  <c r="J83" i="29"/>
  <c r="L83" i="29"/>
  <c r="E66" i="29"/>
  <c r="F82" i="12"/>
  <c r="H77" i="12"/>
  <c r="J74" i="12"/>
  <c r="R15" i="12"/>
  <c r="E60" i="12"/>
  <c r="R45" i="12"/>
  <c r="E66" i="12"/>
  <c r="K15" i="21" s="1"/>
  <c r="L15" i="21" s="1"/>
  <c r="R30" i="12"/>
  <c r="E63" i="12"/>
  <c r="K12" i="21" s="1"/>
  <c r="J78" i="12"/>
  <c r="H75" i="12"/>
  <c r="H76" i="12"/>
  <c r="H83" i="12"/>
  <c r="R40" i="12"/>
  <c r="E65" i="12"/>
  <c r="K14" i="21" s="1"/>
  <c r="R25" i="12"/>
  <c r="E62" i="12"/>
  <c r="K11" i="21" s="1"/>
  <c r="L11" i="21" s="1"/>
  <c r="F81" i="12"/>
  <c r="H73" i="12"/>
  <c r="R35" i="12"/>
  <c r="E64" i="12"/>
  <c r="K13" i="21" s="1"/>
  <c r="J81" i="12"/>
  <c r="R20" i="12"/>
  <c r="E61" i="12"/>
  <c r="K10" i="21" s="1"/>
  <c r="L81" i="12"/>
  <c r="F73" i="12"/>
  <c r="F74" i="12"/>
  <c r="H71" i="12"/>
  <c r="H79" i="12"/>
  <c r="H80" i="12"/>
  <c r="J77" i="12"/>
  <c r="J69" i="12"/>
  <c r="J70" i="12"/>
  <c r="C8" i="30"/>
  <c r="X12" i="34"/>
  <c r="W12" i="34" s="1"/>
  <c r="X23" i="34"/>
  <c r="W23" i="34" s="1"/>
  <c r="X11" i="34"/>
  <c r="W11" i="34" s="1"/>
  <c r="X22" i="34"/>
  <c r="W22" i="34" s="1"/>
  <c r="X10" i="34"/>
  <c r="W10" i="34" s="1"/>
  <c r="X21" i="34"/>
  <c r="W21" i="34" s="1"/>
  <c r="X9" i="34"/>
  <c r="W9" i="34" s="1"/>
  <c r="X19" i="34"/>
  <c r="W19" i="34" s="1"/>
  <c r="X7" i="34"/>
  <c r="W7" i="34" s="1"/>
  <c r="X18" i="34"/>
  <c r="W18" i="34" s="1"/>
  <c r="X6" i="34"/>
  <c r="W6" i="34" s="1"/>
  <c r="X20" i="34"/>
  <c r="W20" i="34" s="1"/>
  <c r="X17" i="34"/>
  <c r="W17" i="34" s="1"/>
  <c r="X5" i="34"/>
  <c r="W5" i="34" s="1"/>
  <c r="X8" i="34"/>
  <c r="W8" i="34" s="1"/>
  <c r="X16" i="34"/>
  <c r="W16" i="34" s="1"/>
  <c r="X15" i="34"/>
  <c r="W15" i="34" s="1"/>
  <c r="X14" i="34"/>
  <c r="W14" i="34" s="1"/>
  <c r="X13" i="34"/>
  <c r="W13" i="34" s="1"/>
  <c r="C18" i="12"/>
  <c r="I10" i="21"/>
  <c r="C23" i="12"/>
  <c r="I11" i="21"/>
  <c r="C28" i="12"/>
  <c r="I12" i="21"/>
  <c r="C33" i="12"/>
  <c r="I13" i="21"/>
  <c r="C38" i="12"/>
  <c r="I14" i="21"/>
  <c r="C43" i="12"/>
  <c r="I15" i="21"/>
  <c r="C8" i="31"/>
  <c r="X17" i="35"/>
  <c r="W17" i="35" s="1"/>
  <c r="X5" i="35"/>
  <c r="W5" i="35" s="1"/>
  <c r="X16" i="35"/>
  <c r="W16" i="35" s="1"/>
  <c r="X15" i="35"/>
  <c r="W15" i="35" s="1"/>
  <c r="X14" i="35"/>
  <c r="W14" i="35" s="1"/>
  <c r="X12" i="35"/>
  <c r="W12" i="35" s="1"/>
  <c r="X18" i="35"/>
  <c r="W18" i="35" s="1"/>
  <c r="X23" i="35"/>
  <c r="W23" i="35" s="1"/>
  <c r="X11" i="35"/>
  <c r="W11" i="35" s="1"/>
  <c r="X22" i="35"/>
  <c r="W22" i="35" s="1"/>
  <c r="X10" i="35"/>
  <c r="W10" i="35" s="1"/>
  <c r="X21" i="35"/>
  <c r="W21" i="35" s="1"/>
  <c r="X9" i="35"/>
  <c r="W9" i="35" s="1"/>
  <c r="X20" i="35"/>
  <c r="W20" i="35" s="1"/>
  <c r="X8" i="35"/>
  <c r="W8" i="35" s="1"/>
  <c r="X19" i="35"/>
  <c r="W19" i="35" s="1"/>
  <c r="X7" i="35"/>
  <c r="W7" i="35" s="1"/>
  <c r="X6" i="35"/>
  <c r="W6" i="35" s="1"/>
  <c r="X13" i="35"/>
  <c r="W13" i="35" s="1"/>
  <c r="C13" i="12"/>
  <c r="I9" i="21"/>
  <c r="X14" i="17"/>
  <c r="W14" i="17" s="1"/>
  <c r="X13" i="17"/>
  <c r="W13" i="17" s="1"/>
  <c r="X11" i="17"/>
  <c r="W11" i="17" s="1"/>
  <c r="X10" i="17"/>
  <c r="W10" i="17" s="1"/>
  <c r="X12" i="17"/>
  <c r="W12" i="17" s="1"/>
  <c r="X23" i="17"/>
  <c r="W23" i="17" s="1"/>
  <c r="X22" i="17"/>
  <c r="W22" i="17" s="1"/>
  <c r="X21" i="17"/>
  <c r="W21" i="17" s="1"/>
  <c r="X9" i="17"/>
  <c r="W9" i="17" s="1"/>
  <c r="X20" i="17"/>
  <c r="W20" i="17" s="1"/>
  <c r="X8" i="17"/>
  <c r="W8" i="17" s="1"/>
  <c r="X19" i="17"/>
  <c r="W19" i="17" s="1"/>
  <c r="X7" i="17"/>
  <c r="W7" i="17" s="1"/>
  <c r="X18" i="17"/>
  <c r="W18" i="17" s="1"/>
  <c r="X6" i="17"/>
  <c r="W6" i="17" s="1"/>
  <c r="X15" i="17"/>
  <c r="W15" i="17" s="1"/>
  <c r="X17" i="17"/>
  <c r="W17" i="17" s="1"/>
  <c r="X5" i="17"/>
  <c r="W5" i="17" s="1"/>
  <c r="X16" i="17"/>
  <c r="W16" i="17" s="1"/>
  <c r="E59" i="12"/>
  <c r="R10" i="12"/>
  <c r="E59" i="29"/>
  <c r="C8" i="12"/>
  <c r="I8" i="21"/>
  <c r="A1044" i="32"/>
  <c r="B1044" i="32" s="1"/>
  <c r="D1063" i="32"/>
  <c r="D1104" i="32"/>
  <c r="A1085" i="32"/>
  <c r="B1085" i="32" s="1"/>
  <c r="H1003" i="32"/>
  <c r="I1003" i="32" s="1"/>
  <c r="K1021" i="32"/>
  <c r="H1009" i="32"/>
  <c r="I1009" i="32" s="1"/>
  <c r="K1027" i="32"/>
  <c r="A1060" i="32"/>
  <c r="B1060" i="32" s="1"/>
  <c r="D1079" i="32"/>
  <c r="H1015" i="32"/>
  <c r="K1033" i="32"/>
  <c r="K1025" i="32"/>
  <c r="H1007" i="32"/>
  <c r="I1007" i="32" s="1"/>
  <c r="A1119" i="32"/>
  <c r="B1119" i="32" s="1"/>
  <c r="D1138" i="32"/>
  <c r="D1067" i="32"/>
  <c r="A1048" i="32"/>
  <c r="B1048" i="32" s="1"/>
  <c r="K1258" i="32"/>
  <c r="H1240" i="32"/>
  <c r="I1240" i="32" s="1"/>
  <c r="K1095" i="32"/>
  <c r="H1077" i="32"/>
  <c r="I1077" i="32" s="1"/>
  <c r="A1033" i="32"/>
  <c r="D1052" i="32"/>
  <c r="A1083" i="32"/>
  <c r="B1083" i="32" s="1"/>
  <c r="D1102" i="32"/>
  <c r="K1020" i="32"/>
  <c r="H1002" i="32"/>
  <c r="I1002" i="32" s="1"/>
  <c r="D1074" i="32"/>
  <c r="A1055" i="32"/>
  <c r="B1055" i="32" s="1"/>
  <c r="A1075" i="32"/>
  <c r="B1075" i="32" s="1"/>
  <c r="D1094" i="32"/>
  <c r="A1054" i="32"/>
  <c r="B1054" i="32" s="1"/>
  <c r="D1073" i="32"/>
  <c r="K1017" i="32"/>
  <c r="H999" i="32"/>
  <c r="I999" i="32" s="1"/>
  <c r="H996" i="32"/>
  <c r="I996" i="32" s="1"/>
  <c r="H995" i="32"/>
  <c r="I995" i="32" s="1"/>
  <c r="I997" i="32"/>
  <c r="H1001" i="32"/>
  <c r="I1001" i="32" s="1"/>
  <c r="H994" i="32"/>
  <c r="I994" i="32" s="1"/>
  <c r="A1013" i="32"/>
  <c r="B1013" i="32" s="1"/>
  <c r="A1019" i="32"/>
  <c r="B1019" i="32" s="1"/>
  <c r="B1014" i="32"/>
  <c r="A1012" i="32"/>
  <c r="B1012" i="32" s="1"/>
  <c r="A1011" i="32"/>
  <c r="B1011" i="32" s="1"/>
  <c r="D1077" i="32"/>
  <c r="A1058" i="32"/>
  <c r="B1058" i="32" s="1"/>
  <c r="K1278" i="32"/>
  <c r="H1260" i="32"/>
  <c r="I1260" i="32" s="1"/>
  <c r="K1034" i="32"/>
  <c r="H1016" i="32"/>
  <c r="I1016" i="32" s="1"/>
  <c r="D1059" i="32"/>
  <c r="A1040" i="32"/>
  <c r="B1040" i="32" s="1"/>
  <c r="A1053" i="32"/>
  <c r="B1053" i="32" s="1"/>
  <c r="D1072" i="32"/>
  <c r="K1244" i="32"/>
  <c r="H1226" i="32"/>
  <c r="I1226" i="32" s="1"/>
  <c r="H1011" i="32"/>
  <c r="I1011" i="32" s="1"/>
  <c r="K1029" i="32"/>
  <c r="A1046" i="32"/>
  <c r="B1046" i="32" s="1"/>
  <c r="D1065" i="32"/>
  <c r="D1099" i="32"/>
  <c r="A1080" i="32"/>
  <c r="B1080" i="32" s="1"/>
  <c r="K1022" i="32"/>
  <c r="H1004" i="32"/>
  <c r="I1004" i="32" s="1"/>
  <c r="K1270" i="32"/>
  <c r="H1252" i="32"/>
  <c r="I1252" i="32" s="1"/>
  <c r="D73" i="31"/>
  <c r="L73" i="31"/>
  <c r="H81" i="31"/>
  <c r="J81" i="31"/>
  <c r="L81" i="31"/>
  <c r="H79" i="30"/>
  <c r="D77" i="30" s="1"/>
  <c r="D84" i="30"/>
  <c r="H84" i="30"/>
  <c r="J79" i="30"/>
  <c r="H80" i="30"/>
  <c r="D83" i="30"/>
  <c r="F79" i="30"/>
  <c r="J81" i="30"/>
  <c r="L81" i="30"/>
  <c r="F79" i="29"/>
  <c r="H81" i="29"/>
  <c r="J81" i="29"/>
  <c r="L81" i="29"/>
  <c r="L82" i="29"/>
  <c r="H80" i="29"/>
  <c r="D83" i="29"/>
  <c r="D84" i="29"/>
  <c r="F84" i="29"/>
  <c r="J83" i="12"/>
  <c r="F75" i="12"/>
  <c r="F80" i="12"/>
  <c r="F84" i="12"/>
  <c r="H70" i="12"/>
  <c r="H74" i="12"/>
  <c r="H78" i="12"/>
  <c r="J79" i="12"/>
  <c r="L79" i="12"/>
  <c r="J84" i="12"/>
  <c r="F76" i="12"/>
  <c r="F79" i="12"/>
  <c r="F83" i="12"/>
  <c r="H82" i="12"/>
  <c r="J80" i="12"/>
  <c r="L84" i="12"/>
  <c r="J75" i="12"/>
  <c r="J76" i="12"/>
  <c r="J82" i="12"/>
  <c r="L75" i="12"/>
  <c r="L83" i="12"/>
  <c r="L71" i="12"/>
  <c r="F71" i="12"/>
  <c r="F72" i="12"/>
  <c r="Q25" i="12"/>
  <c r="K9" i="21" l="1"/>
  <c r="E25" i="41"/>
  <c r="N81" i="31"/>
  <c r="P81" i="31" s="1"/>
  <c r="N73" i="31"/>
  <c r="P73" i="31" s="1"/>
  <c r="A8" i="36"/>
  <c r="D25" i="41"/>
  <c r="J9" i="21"/>
  <c r="O71" i="12"/>
  <c r="G11" i="23"/>
  <c r="F14" i="23" s="1"/>
  <c r="N77" i="30"/>
  <c r="P77" i="30" s="1"/>
  <c r="N83" i="30"/>
  <c r="P83" i="30" s="1"/>
  <c r="N73" i="30"/>
  <c r="P73" i="30" s="1"/>
  <c r="N81" i="29"/>
  <c r="P81" i="29" s="1"/>
  <c r="N73" i="29"/>
  <c r="P73" i="29" s="1"/>
  <c r="N73" i="12"/>
  <c r="N79" i="12"/>
  <c r="K8" i="21"/>
  <c r="E24" i="41"/>
  <c r="N70" i="12"/>
  <c r="P70" i="12" s="1"/>
  <c r="N77" i="12"/>
  <c r="N81" i="12"/>
  <c r="N75" i="12"/>
  <c r="N83" i="12"/>
  <c r="J8" i="21"/>
  <c r="D24" i="41"/>
  <c r="D79" i="31"/>
  <c r="N84" i="31"/>
  <c r="P84" i="31" s="1"/>
  <c r="Y11" i="23"/>
  <c r="X14" i="23" s="1"/>
  <c r="O83" i="12"/>
  <c r="V11" i="23"/>
  <c r="U14" i="23" s="1"/>
  <c r="O81" i="12"/>
  <c r="S11" i="23"/>
  <c r="R14" i="23" s="1"/>
  <c r="O79" i="12"/>
  <c r="P11" i="23"/>
  <c r="O14" i="23" s="1"/>
  <c r="O77" i="12"/>
  <c r="M11" i="23"/>
  <c r="L14" i="23" s="1"/>
  <c r="O75" i="12"/>
  <c r="J12" i="23"/>
  <c r="O74" i="12"/>
  <c r="J11" i="23"/>
  <c r="O73" i="12"/>
  <c r="D11" i="23"/>
  <c r="C14" i="23" s="1"/>
  <c r="O69" i="12"/>
  <c r="E42" i="41"/>
  <c r="D42" i="41"/>
  <c r="D41" i="41"/>
  <c r="E41" i="41"/>
  <c r="D40" i="41"/>
  <c r="E40" i="41"/>
  <c r="D39" i="41"/>
  <c r="E39" i="41"/>
  <c r="D38" i="41"/>
  <c r="E38" i="41"/>
  <c r="D37" i="41"/>
  <c r="E37" i="41"/>
  <c r="E36" i="41"/>
  <c r="D36" i="41"/>
  <c r="F35" i="41"/>
  <c r="L14" i="21"/>
  <c r="L10" i="21"/>
  <c r="D74" i="31"/>
  <c r="F80" i="31"/>
  <c r="D80" i="31"/>
  <c r="J82" i="31"/>
  <c r="L79" i="31"/>
  <c r="D77" i="31" s="1"/>
  <c r="N77" i="31" s="1"/>
  <c r="P77" i="31" s="1"/>
  <c r="H82" i="31"/>
  <c r="F82" i="31"/>
  <c r="D82" i="31"/>
  <c r="H80" i="31"/>
  <c r="J80" i="31"/>
  <c r="L82" i="31"/>
  <c r="J74" i="31"/>
  <c r="F74" i="31"/>
  <c r="H74" i="31"/>
  <c r="L82" i="30"/>
  <c r="H82" i="30"/>
  <c r="L74" i="30"/>
  <c r="L78" i="30"/>
  <c r="J74" i="30"/>
  <c r="D75" i="30" s="1"/>
  <c r="J78" i="30"/>
  <c r="F84" i="30"/>
  <c r="F78" i="30"/>
  <c r="D74" i="30"/>
  <c r="J80" i="30"/>
  <c r="H74" i="30"/>
  <c r="H78" i="30"/>
  <c r="L80" i="30"/>
  <c r="L75" i="30"/>
  <c r="F82" i="30"/>
  <c r="N82" i="30" s="1"/>
  <c r="P82" i="30" s="1"/>
  <c r="D81" i="30"/>
  <c r="N81" i="30" s="1"/>
  <c r="P81" i="30" s="1"/>
  <c r="H83" i="29"/>
  <c r="N83" i="29" s="1"/>
  <c r="P83" i="29" s="1"/>
  <c r="F75" i="29"/>
  <c r="D76" i="29" s="1"/>
  <c r="F80" i="29"/>
  <c r="L80" i="29"/>
  <c r="J80" i="29"/>
  <c r="J82" i="29"/>
  <c r="J76" i="29"/>
  <c r="L74" i="29"/>
  <c r="N74" i="29" s="1"/>
  <c r="P74" i="29" s="1"/>
  <c r="F82" i="29"/>
  <c r="L84" i="29"/>
  <c r="H76" i="29"/>
  <c r="J84" i="29"/>
  <c r="J77" i="29"/>
  <c r="D77" i="29"/>
  <c r="H77" i="29"/>
  <c r="L13" i="21"/>
  <c r="L12" i="21"/>
  <c r="H72" i="12"/>
  <c r="L76" i="12"/>
  <c r="N76" i="12" s="1"/>
  <c r="P76" i="12" s="1"/>
  <c r="F78" i="12"/>
  <c r="N78" i="12" s="1"/>
  <c r="P78" i="12" s="1"/>
  <c r="J71" i="12"/>
  <c r="N71" i="12" s="1"/>
  <c r="L72" i="12"/>
  <c r="L74" i="12"/>
  <c r="N74" i="12" s="1"/>
  <c r="L82" i="12"/>
  <c r="N82" i="12" s="1"/>
  <c r="P82" i="12" s="1"/>
  <c r="L80" i="12"/>
  <c r="N80" i="12" s="1"/>
  <c r="P80" i="12" s="1"/>
  <c r="H84" i="12"/>
  <c r="N84" i="12" s="1"/>
  <c r="P84" i="12" s="1"/>
  <c r="Q45" i="12"/>
  <c r="F69" i="12"/>
  <c r="Q35" i="12"/>
  <c r="Q30" i="12"/>
  <c r="Q40" i="12"/>
  <c r="A6" i="36"/>
  <c r="A4" i="36"/>
  <c r="A5" i="36"/>
  <c r="A7" i="36"/>
  <c r="Q10" i="12"/>
  <c r="H1013" i="32"/>
  <c r="I1013" i="32" s="1"/>
  <c r="H1012" i="32"/>
  <c r="I1012" i="32" s="1"/>
  <c r="I1015" i="32"/>
  <c r="H1019" i="32"/>
  <c r="I1019" i="32" s="1"/>
  <c r="H1014" i="32"/>
  <c r="I1014" i="32" s="1"/>
  <c r="A1073" i="32"/>
  <c r="B1073" i="32" s="1"/>
  <c r="D1092" i="32"/>
  <c r="A1079" i="32"/>
  <c r="B1079" i="32" s="1"/>
  <c r="D1098" i="32"/>
  <c r="K1262" i="32"/>
  <c r="H1244" i="32"/>
  <c r="I1244" i="32" s="1"/>
  <c r="D1091" i="32"/>
  <c r="A1072" i="32"/>
  <c r="B1072" i="32" s="1"/>
  <c r="A1094" i="32"/>
  <c r="B1094" i="32" s="1"/>
  <c r="D1113" i="32"/>
  <c r="H1027" i="32"/>
  <c r="I1027" i="32" s="1"/>
  <c r="K1045" i="32"/>
  <c r="K1288" i="32"/>
  <c r="H1270" i="32"/>
  <c r="I1270" i="32" s="1"/>
  <c r="K1276" i="32"/>
  <c r="H1258" i="32"/>
  <c r="I1258" i="32" s="1"/>
  <c r="H1021" i="32"/>
  <c r="I1021" i="32" s="1"/>
  <c r="K1039" i="32"/>
  <c r="K1040" i="32"/>
  <c r="H1022" i="32"/>
  <c r="I1022" i="32" s="1"/>
  <c r="A1059" i="32"/>
  <c r="B1059" i="32" s="1"/>
  <c r="D1078" i="32"/>
  <c r="D1093" i="32"/>
  <c r="A1074" i="32"/>
  <c r="B1074" i="32" s="1"/>
  <c r="D1118" i="32"/>
  <c r="A1099" i="32"/>
  <c r="B1099" i="32" s="1"/>
  <c r="K1052" i="32"/>
  <c r="H1034" i="32"/>
  <c r="I1034" i="32" s="1"/>
  <c r="K1038" i="32"/>
  <c r="H1020" i="32"/>
  <c r="I1020" i="32" s="1"/>
  <c r="D1123" i="32"/>
  <c r="A1104" i="32"/>
  <c r="B1104" i="32" s="1"/>
  <c r="H1029" i="32"/>
  <c r="I1029" i="32" s="1"/>
  <c r="K1047" i="32"/>
  <c r="A1052" i="32"/>
  <c r="D1071" i="32"/>
  <c r="H1033" i="32"/>
  <c r="K1051" i="32"/>
  <c r="A1077" i="32"/>
  <c r="B1077" i="32" s="1"/>
  <c r="D1096" i="32"/>
  <c r="K1035" i="32"/>
  <c r="H1017" i="32"/>
  <c r="I1017" i="32" s="1"/>
  <c r="A1032" i="32"/>
  <c r="B1032" i="32" s="1"/>
  <c r="A1030" i="32"/>
  <c r="B1030" i="32" s="1"/>
  <c r="B1033" i="32"/>
  <c r="A1038" i="32"/>
  <c r="B1038" i="32" s="1"/>
  <c r="A1031" i="32"/>
  <c r="B1031" i="32" s="1"/>
  <c r="H1095" i="32"/>
  <c r="I1095" i="32" s="1"/>
  <c r="K1113" i="32"/>
  <c r="A1067" i="32"/>
  <c r="B1067" i="32" s="1"/>
  <c r="D1086" i="32"/>
  <c r="D1157" i="32"/>
  <c r="A1138" i="32"/>
  <c r="B1138" i="32" s="1"/>
  <c r="D1084" i="32"/>
  <c r="A1065" i="32"/>
  <c r="B1065" i="32" s="1"/>
  <c r="D1121" i="32"/>
  <c r="A1102" i="32"/>
  <c r="B1102" i="32" s="1"/>
  <c r="A1063" i="32"/>
  <c r="B1063" i="32" s="1"/>
  <c r="D1082" i="32"/>
  <c r="K1296" i="32"/>
  <c r="H1278" i="32"/>
  <c r="I1278" i="32" s="1"/>
  <c r="K1043" i="32"/>
  <c r="H1025" i="32"/>
  <c r="I1025" i="32" s="1"/>
  <c r="N82" i="29" l="1"/>
  <c r="P82" i="29" s="1"/>
  <c r="L9" i="21"/>
  <c r="F25" i="41"/>
  <c r="I14" i="23"/>
  <c r="F37" i="41"/>
  <c r="N74" i="31"/>
  <c r="P74" i="31" s="1"/>
  <c r="N80" i="31"/>
  <c r="P80" i="31" s="1"/>
  <c r="N82" i="31"/>
  <c r="P82" i="31" s="1"/>
  <c r="C13" i="41"/>
  <c r="P71" i="12"/>
  <c r="P83" i="12"/>
  <c r="N80" i="30"/>
  <c r="P80" i="30" s="1"/>
  <c r="N74" i="30"/>
  <c r="P74" i="30" s="1"/>
  <c r="N75" i="30"/>
  <c r="P75" i="30" s="1"/>
  <c r="F24" i="41"/>
  <c r="N84" i="29"/>
  <c r="P84" i="29" s="1"/>
  <c r="N80" i="29"/>
  <c r="P80" i="29" s="1"/>
  <c r="L8" i="21"/>
  <c r="N76" i="29"/>
  <c r="P76" i="29" s="1"/>
  <c r="N77" i="29"/>
  <c r="P77" i="29" s="1"/>
  <c r="P81" i="12"/>
  <c r="P79" i="12"/>
  <c r="P77" i="12"/>
  <c r="P75" i="12"/>
  <c r="P73" i="12"/>
  <c r="N72" i="12"/>
  <c r="P72" i="12" s="1"/>
  <c r="P74" i="12"/>
  <c r="N79" i="31"/>
  <c r="P79" i="31" s="1"/>
  <c r="D79" i="30"/>
  <c r="N79" i="30" s="1"/>
  <c r="P79" i="30" s="1"/>
  <c r="N84" i="30"/>
  <c r="P84" i="30" s="1"/>
  <c r="Q20" i="12"/>
  <c r="N69" i="12"/>
  <c r="P69" i="12" s="1"/>
  <c r="C16" i="41"/>
  <c r="F42" i="41"/>
  <c r="F41" i="41"/>
  <c r="F40" i="41"/>
  <c r="F38" i="41"/>
  <c r="F39" i="41"/>
  <c r="F36" i="41"/>
  <c r="D78" i="30"/>
  <c r="N78" i="30" s="1"/>
  <c r="P78" i="30" s="1"/>
  <c r="D76" i="30"/>
  <c r="N76" i="30" s="1"/>
  <c r="P76" i="30" s="1"/>
  <c r="D79" i="29"/>
  <c r="N79" i="29" s="1"/>
  <c r="P79" i="29" s="1"/>
  <c r="D75" i="29"/>
  <c r="N75" i="29" s="1"/>
  <c r="P75" i="29" s="1"/>
  <c r="D7" i="36"/>
  <c r="E7" i="36" s="1"/>
  <c r="F7" i="36" s="1"/>
  <c r="D5" i="36"/>
  <c r="E5" i="36" s="1"/>
  <c r="F5" i="36" s="1"/>
  <c r="D6" i="36"/>
  <c r="E6" i="36" s="1"/>
  <c r="F6" i="36" s="1"/>
  <c r="D9" i="36"/>
  <c r="E9" i="36" s="1"/>
  <c r="F9" i="36" s="1"/>
  <c r="D8" i="36"/>
  <c r="E8" i="36" s="1"/>
  <c r="F8" i="36" s="1"/>
  <c r="D10" i="36"/>
  <c r="E10" i="36" s="1"/>
  <c r="F10" i="36" s="1"/>
  <c r="K1058" i="32"/>
  <c r="H1040" i="32"/>
  <c r="I1040" i="32" s="1"/>
  <c r="K1053" i="32"/>
  <c r="H1035" i="32"/>
  <c r="I1035" i="32" s="1"/>
  <c r="K1056" i="32"/>
  <c r="H1038" i="32"/>
  <c r="I1038" i="32" s="1"/>
  <c r="D1176" i="32"/>
  <c r="A1157" i="32"/>
  <c r="B1157" i="32" s="1"/>
  <c r="K1061" i="32"/>
  <c r="H1043" i="32"/>
  <c r="I1043" i="32" s="1"/>
  <c r="H1030" i="32"/>
  <c r="I1030" i="32" s="1"/>
  <c r="H1037" i="32"/>
  <c r="I1037" i="32" s="1"/>
  <c r="I1033" i="32"/>
  <c r="H1032" i="32"/>
  <c r="I1032" i="32" s="1"/>
  <c r="H1031" i="32"/>
  <c r="I1031" i="32" s="1"/>
  <c r="D1137" i="32"/>
  <c r="A1118" i="32"/>
  <c r="B1118" i="32" s="1"/>
  <c r="K1306" i="32"/>
  <c r="H1288" i="32"/>
  <c r="I1288" i="32" s="1"/>
  <c r="K1314" i="32"/>
  <c r="H1296" i="32"/>
  <c r="I1296" i="32" s="1"/>
  <c r="D1090" i="32"/>
  <c r="A1071" i="32"/>
  <c r="H1045" i="32"/>
  <c r="I1045" i="32" s="1"/>
  <c r="K1063" i="32"/>
  <c r="A1082" i="32"/>
  <c r="B1082" i="32" s="1"/>
  <c r="D1101" i="32"/>
  <c r="A1057" i="32"/>
  <c r="B1057" i="32" s="1"/>
  <c r="A1050" i="32"/>
  <c r="B1050" i="32" s="1"/>
  <c r="A1049" i="32"/>
  <c r="B1049" i="32" s="1"/>
  <c r="A1051" i="32"/>
  <c r="B1051" i="32" s="1"/>
  <c r="B1052" i="32"/>
  <c r="D1112" i="32"/>
  <c r="A1093" i="32"/>
  <c r="B1093" i="32" s="1"/>
  <c r="H1047" i="32"/>
  <c r="I1047" i="32" s="1"/>
  <c r="K1065" i="32"/>
  <c r="A1078" i="32"/>
  <c r="B1078" i="32" s="1"/>
  <c r="D1097" i="32"/>
  <c r="D1132" i="32"/>
  <c r="A1113" i="32"/>
  <c r="B1113" i="32" s="1"/>
  <c r="A1091" i="32"/>
  <c r="B1091" i="32" s="1"/>
  <c r="D1110" i="32"/>
  <c r="D1103" i="32"/>
  <c r="A1084" i="32"/>
  <c r="B1084" i="32" s="1"/>
  <c r="K1280" i="32"/>
  <c r="H1262" i="32"/>
  <c r="I1262" i="32" s="1"/>
  <c r="D1115" i="32"/>
  <c r="A1096" i="32"/>
  <c r="B1096" i="32" s="1"/>
  <c r="A1098" i="32"/>
  <c r="B1098" i="32" s="1"/>
  <c r="D1117" i="32"/>
  <c r="K1070" i="32"/>
  <c r="H1052" i="32"/>
  <c r="I1052" i="32" s="1"/>
  <c r="D1142" i="32"/>
  <c r="A1123" i="32"/>
  <c r="B1123" i="32" s="1"/>
  <c r="K1057" i="32"/>
  <c r="H1039" i="32"/>
  <c r="I1039" i="32" s="1"/>
  <c r="D1105" i="32"/>
  <c r="A1086" i="32"/>
  <c r="B1086" i="32" s="1"/>
  <c r="K1294" i="32"/>
  <c r="H1276" i="32"/>
  <c r="I1276" i="32" s="1"/>
  <c r="K1069" i="32"/>
  <c r="H1051" i="32"/>
  <c r="D1111" i="32"/>
  <c r="A1092" i="32"/>
  <c r="B1092" i="32" s="1"/>
  <c r="K1131" i="32"/>
  <c r="H1113" i="32"/>
  <c r="I1113" i="32" s="1"/>
  <c r="D1140" i="32"/>
  <c r="A1121" i="32"/>
  <c r="B1121" i="32" s="1"/>
  <c r="B3" i="7"/>
  <c r="C8" i="21" l="1"/>
  <c r="C7" i="41"/>
  <c r="D8" i="43"/>
  <c r="D10" i="43"/>
  <c r="C10" i="41"/>
  <c r="D75" i="31"/>
  <c r="N75" i="31" s="1"/>
  <c r="P75" i="31" s="1"/>
  <c r="D78" i="31"/>
  <c r="N78" i="31" s="1"/>
  <c r="P78" i="31" s="1"/>
  <c r="D78" i="29"/>
  <c r="N78" i="29" s="1"/>
  <c r="P78" i="29" s="1"/>
  <c r="D9" i="43" s="1"/>
  <c r="B4" i="7"/>
  <c r="B5" i="7" s="1"/>
  <c r="B6" i="7" s="1"/>
  <c r="K1312" i="32"/>
  <c r="H1294" i="32"/>
  <c r="I1294" i="32" s="1"/>
  <c r="D1134" i="32"/>
  <c r="A1115" i="32"/>
  <c r="B1115" i="32" s="1"/>
  <c r="K1298" i="32"/>
  <c r="H1280" i="32"/>
  <c r="I1280" i="32" s="1"/>
  <c r="D1131" i="32"/>
  <c r="A1112" i="32"/>
  <c r="B1112" i="32" s="1"/>
  <c r="H1057" i="32"/>
  <c r="I1057" i="32" s="1"/>
  <c r="K1075" i="32"/>
  <c r="A1103" i="32"/>
  <c r="B1103" i="32" s="1"/>
  <c r="D1122" i="32"/>
  <c r="D1195" i="32"/>
  <c r="A1176" i="32"/>
  <c r="B1176" i="32" s="1"/>
  <c r="A1110" i="32"/>
  <c r="B1110" i="32" s="1"/>
  <c r="D1129" i="32"/>
  <c r="A1142" i="32"/>
  <c r="B1142" i="32" s="1"/>
  <c r="D1161" i="32"/>
  <c r="A1111" i="32"/>
  <c r="B1111" i="32" s="1"/>
  <c r="D1130" i="32"/>
  <c r="K1083" i="32"/>
  <c r="H1065" i="32"/>
  <c r="I1065" i="32" s="1"/>
  <c r="A1076" i="32"/>
  <c r="B1076" i="32" s="1"/>
  <c r="A1069" i="32"/>
  <c r="B1069" i="32" s="1"/>
  <c r="A1070" i="32"/>
  <c r="B1070" i="32" s="1"/>
  <c r="A1068" i="32"/>
  <c r="B1068" i="32" s="1"/>
  <c r="B1071" i="32"/>
  <c r="A1090" i="32"/>
  <c r="D1109" i="32"/>
  <c r="D1124" i="32"/>
  <c r="A1105" i="32"/>
  <c r="B1105" i="32" s="1"/>
  <c r="K1079" i="32"/>
  <c r="H1061" i="32"/>
  <c r="I1061" i="32" s="1"/>
  <c r="K1332" i="32"/>
  <c r="H1314" i="32"/>
  <c r="I1314" i="32" s="1"/>
  <c r="D1159" i="32"/>
  <c r="A1140" i="32"/>
  <c r="B1140" i="32" s="1"/>
  <c r="K1324" i="32"/>
  <c r="H1306" i="32"/>
  <c r="I1306" i="32" s="1"/>
  <c r="H1131" i="32"/>
  <c r="I1131" i="32" s="1"/>
  <c r="K1149" i="32"/>
  <c r="K1074" i="32"/>
  <c r="H1056" i="32"/>
  <c r="I1056" i="32" s="1"/>
  <c r="A1137" i="32"/>
  <c r="B1137" i="32" s="1"/>
  <c r="D1156" i="32"/>
  <c r="K1088" i="32"/>
  <c r="H1070" i="32"/>
  <c r="I1070" i="32" s="1"/>
  <c r="A1132" i="32"/>
  <c r="B1132" i="32" s="1"/>
  <c r="D1151" i="32"/>
  <c r="D1120" i="32"/>
  <c r="A1101" i="32"/>
  <c r="B1101" i="32" s="1"/>
  <c r="K1071" i="32"/>
  <c r="H1053" i="32"/>
  <c r="I1053" i="32" s="1"/>
  <c r="H1050" i="32"/>
  <c r="I1050" i="32" s="1"/>
  <c r="H1048" i="32"/>
  <c r="I1048" i="32" s="1"/>
  <c r="H1049" i="32"/>
  <c r="I1049" i="32" s="1"/>
  <c r="H1055" i="32"/>
  <c r="I1055" i="32" s="1"/>
  <c r="I1051" i="32"/>
  <c r="D1136" i="32"/>
  <c r="A1117" i="32"/>
  <c r="B1117" i="32" s="1"/>
  <c r="A1097" i="32"/>
  <c r="B1097" i="32" s="1"/>
  <c r="D1116" i="32"/>
  <c r="H1069" i="32"/>
  <c r="K1087" i="32"/>
  <c r="H1063" i="32"/>
  <c r="I1063" i="32" s="1"/>
  <c r="K1081" i="32"/>
  <c r="K1076" i="32"/>
  <c r="H1058" i="32"/>
  <c r="I1058" i="32" s="1"/>
  <c r="C18" i="21" l="1"/>
  <c r="B8" i="21"/>
  <c r="D13" i="21" s="1"/>
  <c r="D11" i="43"/>
  <c r="C5" i="43" s="1"/>
  <c r="U5" i="17"/>
  <c r="N45" i="37" s="1"/>
  <c r="N17" i="37" s="1" a="1"/>
  <c r="B7" i="7"/>
  <c r="A1159" i="32"/>
  <c r="B1159" i="32" s="1"/>
  <c r="D1178" i="32"/>
  <c r="D1155" i="32"/>
  <c r="A1136" i="32"/>
  <c r="B1136" i="32" s="1"/>
  <c r="K1106" i="32"/>
  <c r="H1088" i="32"/>
  <c r="I1088" i="32" s="1"/>
  <c r="H1075" i="32"/>
  <c r="I1075" i="32" s="1"/>
  <c r="K1093" i="32"/>
  <c r="A1156" i="32"/>
  <c r="B1156" i="32" s="1"/>
  <c r="D1175" i="32"/>
  <c r="H1083" i="32"/>
  <c r="I1083" i="32" s="1"/>
  <c r="K1101" i="32"/>
  <c r="K1097" i="32"/>
  <c r="H1079" i="32"/>
  <c r="I1079" i="32" s="1"/>
  <c r="D1149" i="32"/>
  <c r="A1130" i="32"/>
  <c r="B1130" i="32" s="1"/>
  <c r="K1094" i="32"/>
  <c r="H1076" i="32"/>
  <c r="I1076" i="32" s="1"/>
  <c r="H1081" i="32"/>
  <c r="I1081" i="32" s="1"/>
  <c r="K1099" i="32"/>
  <c r="A1124" i="32"/>
  <c r="B1124" i="32" s="1"/>
  <c r="D1143" i="32"/>
  <c r="H1149" i="32"/>
  <c r="I1149" i="32" s="1"/>
  <c r="K1167" i="32"/>
  <c r="K1316" i="32"/>
  <c r="H1298" i="32"/>
  <c r="I1298" i="32" s="1"/>
  <c r="K1105" i="32"/>
  <c r="H1087" i="32"/>
  <c r="H1071" i="32"/>
  <c r="I1071" i="32" s="1"/>
  <c r="K1089" i="32"/>
  <c r="A1087" i="32"/>
  <c r="B1087" i="32" s="1"/>
  <c r="B1090" i="32"/>
  <c r="A1088" i="32"/>
  <c r="B1088" i="32" s="1"/>
  <c r="A1095" i="32"/>
  <c r="B1095" i="32" s="1"/>
  <c r="A1089" i="32"/>
  <c r="B1089" i="32" s="1"/>
  <c r="A1129" i="32"/>
  <c r="B1129" i="32" s="1"/>
  <c r="D1148" i="32"/>
  <c r="A1134" i="32"/>
  <c r="B1134" i="32" s="1"/>
  <c r="D1153" i="32"/>
  <c r="A1122" i="32"/>
  <c r="B1122" i="32" s="1"/>
  <c r="D1141" i="32"/>
  <c r="K1350" i="32"/>
  <c r="H1332" i="32"/>
  <c r="I1332" i="32" s="1"/>
  <c r="D1150" i="32"/>
  <c r="A1131" i="32"/>
  <c r="B1131" i="32" s="1"/>
  <c r="K1092" i="32"/>
  <c r="H1074" i="32"/>
  <c r="I1074" i="32" s="1"/>
  <c r="A1161" i="32"/>
  <c r="B1161" i="32" s="1"/>
  <c r="D1180" i="32"/>
  <c r="D1128" i="32"/>
  <c r="A1109" i="32"/>
  <c r="I1069" i="32"/>
  <c r="H1066" i="32"/>
  <c r="I1066" i="32" s="1"/>
  <c r="H1068" i="32"/>
  <c r="I1068" i="32" s="1"/>
  <c r="H1073" i="32"/>
  <c r="I1073" i="32" s="1"/>
  <c r="H1067" i="32"/>
  <c r="I1067" i="32" s="1"/>
  <c r="A1116" i="32"/>
  <c r="B1116" i="32" s="1"/>
  <c r="D1135" i="32"/>
  <c r="D1139" i="32"/>
  <c r="A1120" i="32"/>
  <c r="B1120" i="32" s="1"/>
  <c r="K1342" i="32"/>
  <c r="H1324" i="32"/>
  <c r="I1324" i="32" s="1"/>
  <c r="D1170" i="32"/>
  <c r="A1151" i="32"/>
  <c r="B1151" i="32" s="1"/>
  <c r="D1214" i="32"/>
  <c r="A1195" i="32"/>
  <c r="B1195" i="32" s="1"/>
  <c r="K1330" i="32"/>
  <c r="H1312" i="32"/>
  <c r="I1312" i="32" s="1"/>
  <c r="D8" i="21" l="1"/>
  <c r="B9" i="21"/>
  <c r="I45" i="37"/>
  <c r="I17" i="37" s="1" a="1"/>
  <c r="M45" i="37"/>
  <c r="M17" i="37" s="1" a="1"/>
  <c r="D45" i="37"/>
  <c r="D53" i="37"/>
  <c r="B8" i="7"/>
  <c r="K1119" i="32"/>
  <c r="H1101" i="32"/>
  <c r="I1101" i="32" s="1"/>
  <c r="A1139" i="32"/>
  <c r="B1139" i="32" s="1"/>
  <c r="D1158" i="32"/>
  <c r="A1135" i="32"/>
  <c r="B1135" i="32" s="1"/>
  <c r="D1154" i="32"/>
  <c r="A1175" i="32"/>
  <c r="B1175" i="32" s="1"/>
  <c r="D1194" i="32"/>
  <c r="A1150" i="32"/>
  <c r="B1150" i="32" s="1"/>
  <c r="D1169" i="32"/>
  <c r="H1093" i="32"/>
  <c r="I1093" i="32" s="1"/>
  <c r="K1111" i="32"/>
  <c r="K1368" i="32"/>
  <c r="H1350" i="32"/>
  <c r="I1350" i="32" s="1"/>
  <c r="K1107" i="32"/>
  <c r="H1089" i="32"/>
  <c r="I1089" i="32" s="1"/>
  <c r="D1233" i="32"/>
  <c r="A1214" i="32"/>
  <c r="B1214" i="32" s="1"/>
  <c r="A1141" i="32"/>
  <c r="B1141" i="32" s="1"/>
  <c r="D1160" i="32"/>
  <c r="I1087" i="32"/>
  <c r="H1084" i="32"/>
  <c r="I1084" i="32" s="1"/>
  <c r="H1091" i="32"/>
  <c r="I1091" i="32" s="1"/>
  <c r="H1086" i="32"/>
  <c r="I1086" i="32" s="1"/>
  <c r="H1085" i="32"/>
  <c r="I1085" i="32" s="1"/>
  <c r="A1170" i="32"/>
  <c r="B1170" i="32" s="1"/>
  <c r="D1189" i="32"/>
  <c r="A1108" i="32"/>
  <c r="B1108" i="32" s="1"/>
  <c r="B1109" i="32"/>
  <c r="A1106" i="32"/>
  <c r="B1106" i="32" s="1"/>
  <c r="A1114" i="32"/>
  <c r="B1114" i="32" s="1"/>
  <c r="A1107" i="32"/>
  <c r="B1107" i="32" s="1"/>
  <c r="A1153" i="32"/>
  <c r="B1153" i="32" s="1"/>
  <c r="D1172" i="32"/>
  <c r="K1123" i="32"/>
  <c r="H1105" i="32"/>
  <c r="A1149" i="32"/>
  <c r="B1149" i="32" s="1"/>
  <c r="D1168" i="32"/>
  <c r="D1174" i="32"/>
  <c r="A1155" i="32"/>
  <c r="B1155" i="32" s="1"/>
  <c r="H1099" i="32"/>
  <c r="I1099" i="32" s="1"/>
  <c r="K1117" i="32"/>
  <c r="K1185" i="32"/>
  <c r="H1167" i="32"/>
  <c r="I1167" i="32" s="1"/>
  <c r="K1110" i="32"/>
  <c r="H1092" i="32"/>
  <c r="I1092" i="32" s="1"/>
  <c r="D1162" i="32"/>
  <c r="A1143" i="32"/>
  <c r="B1143" i="32" s="1"/>
  <c r="K1348" i="32"/>
  <c r="H1330" i="32"/>
  <c r="I1330" i="32" s="1"/>
  <c r="K1112" i="32"/>
  <c r="H1094" i="32"/>
  <c r="I1094" i="32" s="1"/>
  <c r="K1124" i="32"/>
  <c r="H1106" i="32"/>
  <c r="I1106" i="32" s="1"/>
  <c r="D1147" i="32"/>
  <c r="A1128" i="32"/>
  <c r="A1178" i="32"/>
  <c r="B1178" i="32" s="1"/>
  <c r="D1197" i="32"/>
  <c r="K1360" i="32"/>
  <c r="H1342" i="32"/>
  <c r="I1342" i="32" s="1"/>
  <c r="D1199" i="32"/>
  <c r="A1180" i="32"/>
  <c r="B1180" i="32" s="1"/>
  <c r="A1148" i="32"/>
  <c r="B1148" i="32" s="1"/>
  <c r="D1167" i="32"/>
  <c r="K1334" i="32"/>
  <c r="H1316" i="32"/>
  <c r="I1316" i="32" s="1"/>
  <c r="K1115" i="32"/>
  <c r="H1097" i="32"/>
  <c r="I1097" i="32" s="1"/>
  <c r="D18" i="21" l="1"/>
  <c r="G18" i="21"/>
  <c r="P45" i="37"/>
  <c r="D8" i="37"/>
  <c r="D17" i="37" a="1"/>
  <c r="P17" i="37" s="1"/>
  <c r="D19" i="37" a="1"/>
  <c r="P19" i="37" s="1"/>
  <c r="P53" i="37"/>
  <c r="B9" i="7"/>
  <c r="A1197" i="32"/>
  <c r="B1197" i="32" s="1"/>
  <c r="D1216" i="32"/>
  <c r="K1128" i="32"/>
  <c r="H1110" i="32"/>
  <c r="I1110" i="32" s="1"/>
  <c r="A1194" i="32"/>
  <c r="B1194" i="32" s="1"/>
  <c r="D1213" i="32"/>
  <c r="A1147" i="32"/>
  <c r="D1166" i="32"/>
  <c r="D1173" i="32"/>
  <c r="A1154" i="32"/>
  <c r="B1154" i="32" s="1"/>
  <c r="D1187" i="32"/>
  <c r="A1168" i="32"/>
  <c r="B1168" i="32" s="1"/>
  <c r="I1105" i="32"/>
  <c r="H1109" i="32"/>
  <c r="I1109" i="32" s="1"/>
  <c r="H1103" i="32"/>
  <c r="I1103" i="32" s="1"/>
  <c r="H1102" i="32"/>
  <c r="I1102" i="32" s="1"/>
  <c r="H1104" i="32"/>
  <c r="I1104" i="32" s="1"/>
  <c r="H1111" i="32"/>
  <c r="I1111" i="32" s="1"/>
  <c r="K1129" i="32"/>
  <c r="H1360" i="32"/>
  <c r="I1360" i="32" s="1"/>
  <c r="K1378" i="32"/>
  <c r="A1162" i="32"/>
  <c r="B1162" i="32" s="1"/>
  <c r="D1181" i="32"/>
  <c r="H1123" i="32"/>
  <c r="K1141" i="32"/>
  <c r="A1172" i="32"/>
  <c r="B1172" i="32" s="1"/>
  <c r="D1191" i="32"/>
  <c r="A1169" i="32"/>
  <c r="B1169" i="32" s="1"/>
  <c r="D1188" i="32"/>
  <c r="B1128" i="32"/>
  <c r="A1125" i="32"/>
  <c r="B1125" i="32" s="1"/>
  <c r="A1133" i="32"/>
  <c r="B1133" i="32" s="1"/>
  <c r="A1127" i="32"/>
  <c r="B1127" i="32" s="1"/>
  <c r="A1126" i="32"/>
  <c r="B1126" i="32" s="1"/>
  <c r="A1160" i="32"/>
  <c r="B1160" i="32" s="1"/>
  <c r="D1179" i="32"/>
  <c r="K1133" i="32"/>
  <c r="H1115" i="32"/>
  <c r="I1115" i="32" s="1"/>
  <c r="K1203" i="32"/>
  <c r="H1185" i="32"/>
  <c r="I1185" i="32" s="1"/>
  <c r="H1117" i="32"/>
  <c r="I1117" i="32" s="1"/>
  <c r="K1135" i="32"/>
  <c r="K1352" i="32"/>
  <c r="H1334" i="32"/>
  <c r="I1334" i="32" s="1"/>
  <c r="K1142" i="32"/>
  <c r="H1124" i="32"/>
  <c r="I1124" i="32" s="1"/>
  <c r="A1233" i="32"/>
  <c r="B1233" i="32" s="1"/>
  <c r="D1252" i="32"/>
  <c r="D1186" i="32"/>
  <c r="A1167" i="32"/>
  <c r="B1167" i="32" s="1"/>
  <c r="D1177" i="32"/>
  <c r="A1158" i="32"/>
  <c r="B1158" i="32" s="1"/>
  <c r="K1130" i="32"/>
  <c r="H1112" i="32"/>
  <c r="I1112" i="32" s="1"/>
  <c r="D1193" i="32"/>
  <c r="A1174" i="32"/>
  <c r="B1174" i="32" s="1"/>
  <c r="A1189" i="32"/>
  <c r="B1189" i="32" s="1"/>
  <c r="D1208" i="32"/>
  <c r="H1107" i="32"/>
  <c r="I1107" i="32" s="1"/>
  <c r="K1125" i="32"/>
  <c r="D1218" i="32"/>
  <c r="A1199" i="32"/>
  <c r="B1199" i="32" s="1"/>
  <c r="K1366" i="32"/>
  <c r="H1348" i="32"/>
  <c r="I1348" i="32" s="1"/>
  <c r="K1386" i="32"/>
  <c r="H1368" i="32"/>
  <c r="I1368" i="32" s="1"/>
  <c r="H1119" i="32"/>
  <c r="I1119" i="32" s="1"/>
  <c r="K1137" i="32"/>
  <c r="D12" i="37" l="1"/>
  <c r="D20" i="37"/>
  <c r="B10" i="7"/>
  <c r="K1143" i="32"/>
  <c r="H1125" i="32"/>
  <c r="I1125" i="32" s="1"/>
  <c r="D1200" i="32"/>
  <c r="A1181" i="32"/>
  <c r="B1181" i="32" s="1"/>
  <c r="A1187" i="32"/>
  <c r="B1187" i="32" s="1"/>
  <c r="D1206" i="32"/>
  <c r="A1208" i="32"/>
  <c r="B1208" i="32" s="1"/>
  <c r="D1227" i="32"/>
  <c r="K1160" i="32"/>
  <c r="H1142" i="32"/>
  <c r="I1142" i="32" s="1"/>
  <c r="K1370" i="32"/>
  <c r="H1352" i="32"/>
  <c r="I1352" i="32" s="1"/>
  <c r="B1147" i="32"/>
  <c r="A1144" i="32"/>
  <c r="B1144" i="32" s="1"/>
  <c r="A1152" i="32"/>
  <c r="B1152" i="32" s="1"/>
  <c r="A1145" i="32"/>
  <c r="B1145" i="32" s="1"/>
  <c r="A1146" i="32"/>
  <c r="B1146" i="32" s="1"/>
  <c r="K1153" i="32"/>
  <c r="H1135" i="32"/>
  <c r="I1135" i="32" s="1"/>
  <c r="H1386" i="32"/>
  <c r="I1386" i="32" s="1"/>
  <c r="K1404" i="32"/>
  <c r="K1148" i="32"/>
  <c r="H1130" i="32"/>
  <c r="I1130" i="32" s="1"/>
  <c r="D1207" i="32"/>
  <c r="A1188" i="32"/>
  <c r="B1188" i="32" s="1"/>
  <c r="K1384" i="32"/>
  <c r="H1366" i="32"/>
  <c r="I1366" i="32" s="1"/>
  <c r="D1196" i="32"/>
  <c r="A1177" i="32"/>
  <c r="B1177" i="32" s="1"/>
  <c r="K1221" i="32"/>
  <c r="H1203" i="32"/>
  <c r="I1203" i="32" s="1"/>
  <c r="A1191" i="32"/>
  <c r="B1191" i="32" s="1"/>
  <c r="D1210" i="32"/>
  <c r="K1146" i="32"/>
  <c r="H1128" i="32"/>
  <c r="I1128" i="32" s="1"/>
  <c r="I1123" i="32"/>
  <c r="H1120" i="32"/>
  <c r="I1120" i="32" s="1"/>
  <c r="H1127" i="32"/>
  <c r="I1127" i="32" s="1"/>
  <c r="H1122" i="32"/>
  <c r="I1122" i="32" s="1"/>
  <c r="H1121" i="32"/>
  <c r="I1121" i="32" s="1"/>
  <c r="D1271" i="32"/>
  <c r="A1252" i="32"/>
  <c r="B1252" i="32" s="1"/>
  <c r="D1198" i="32"/>
  <c r="A1179" i="32"/>
  <c r="B1179" i="32" s="1"/>
  <c r="H1378" i="32"/>
  <c r="I1378" i="32" s="1"/>
  <c r="K1396" i="32"/>
  <c r="D1192" i="32"/>
  <c r="A1173" i="32"/>
  <c r="B1173" i="32" s="1"/>
  <c r="H1137" i="32"/>
  <c r="I1137" i="32" s="1"/>
  <c r="K1155" i="32"/>
  <c r="A1166" i="32"/>
  <c r="D1185" i="32"/>
  <c r="D1212" i="32"/>
  <c r="A1193" i="32"/>
  <c r="B1193" i="32" s="1"/>
  <c r="H1129" i="32"/>
  <c r="I1129" i="32" s="1"/>
  <c r="K1147" i="32"/>
  <c r="D1232" i="32"/>
  <c r="A1213" i="32"/>
  <c r="B1213" i="32" s="1"/>
  <c r="D1235" i="32"/>
  <c r="A1216" i="32"/>
  <c r="B1216" i="32" s="1"/>
  <c r="D1237" i="32"/>
  <c r="A1218" i="32"/>
  <c r="B1218" i="32" s="1"/>
  <c r="D1205" i="32"/>
  <c r="A1186" i="32"/>
  <c r="B1186" i="32" s="1"/>
  <c r="H1133" i="32"/>
  <c r="I1133" i="32" s="1"/>
  <c r="K1151" i="32"/>
  <c r="H1141" i="32"/>
  <c r="K1159" i="32"/>
  <c r="B11" i="7" l="1"/>
  <c r="A1207" i="32"/>
  <c r="B1207" i="32" s="1"/>
  <c r="D1226" i="32"/>
  <c r="D1254" i="32"/>
  <c r="A1235" i="32"/>
  <c r="B1235" i="32" s="1"/>
  <c r="D1211" i="32"/>
  <c r="A1192" i="32"/>
  <c r="B1192" i="32" s="1"/>
  <c r="H1370" i="32"/>
  <c r="I1370" i="32" s="1"/>
  <c r="K1388" i="32"/>
  <c r="A1210" i="32"/>
  <c r="B1210" i="32" s="1"/>
  <c r="D1229" i="32"/>
  <c r="K1422" i="32"/>
  <c r="H1404" i="32"/>
  <c r="I1404" i="32" s="1"/>
  <c r="H1159" i="32"/>
  <c r="K1177" i="32"/>
  <c r="K1165" i="32"/>
  <c r="H1147" i="32"/>
  <c r="I1147" i="32" s="1"/>
  <c r="D1246" i="32"/>
  <c r="A1227" i="32"/>
  <c r="B1227" i="32" s="1"/>
  <c r="A1198" i="32"/>
  <c r="B1198" i="32" s="1"/>
  <c r="D1217" i="32"/>
  <c r="H1221" i="32"/>
  <c r="I1221" i="32" s="1"/>
  <c r="K1239" i="32"/>
  <c r="D1224" i="32"/>
  <c r="A1205" i="32"/>
  <c r="B1205" i="32" s="1"/>
  <c r="H1396" i="32"/>
  <c r="I1396" i="32" s="1"/>
  <c r="K1414" i="32"/>
  <c r="K1164" i="32"/>
  <c r="H1146" i="32"/>
  <c r="I1146" i="32" s="1"/>
  <c r="K1166" i="32"/>
  <c r="H1148" i="32"/>
  <c r="I1148" i="32" s="1"/>
  <c r="D1251" i="32"/>
  <c r="A1232" i="32"/>
  <c r="B1232" i="32" s="1"/>
  <c r="K1178" i="32"/>
  <c r="H1160" i="32"/>
  <c r="I1160" i="32" s="1"/>
  <c r="H1138" i="32"/>
  <c r="I1138" i="32" s="1"/>
  <c r="H1139" i="32"/>
  <c r="I1139" i="32" s="1"/>
  <c r="H1140" i="32"/>
  <c r="I1140" i="32" s="1"/>
  <c r="H1145" i="32"/>
  <c r="I1145" i="32" s="1"/>
  <c r="I1141" i="32"/>
  <c r="K1169" i="32"/>
  <c r="H1151" i="32"/>
  <c r="I1151" i="32" s="1"/>
  <c r="K1171" i="32"/>
  <c r="H1153" i="32"/>
  <c r="I1153" i="32" s="1"/>
  <c r="D1225" i="32"/>
  <c r="A1206" i="32"/>
  <c r="B1206" i="32" s="1"/>
  <c r="A1212" i="32"/>
  <c r="B1212" i="32" s="1"/>
  <c r="D1231" i="32"/>
  <c r="A1271" i="32"/>
  <c r="B1271" i="32" s="1"/>
  <c r="D1290" i="32"/>
  <c r="D1204" i="32"/>
  <c r="A1185" i="32"/>
  <c r="A1196" i="32"/>
  <c r="B1196" i="32" s="1"/>
  <c r="D1215" i="32"/>
  <c r="A1163" i="32"/>
  <c r="B1163" i="32" s="1"/>
  <c r="B1166" i="32"/>
  <c r="A1165" i="32"/>
  <c r="B1165" i="32" s="1"/>
  <c r="A1171" i="32"/>
  <c r="B1171" i="32" s="1"/>
  <c r="A1164" i="32"/>
  <c r="B1164" i="32" s="1"/>
  <c r="A1200" i="32"/>
  <c r="B1200" i="32" s="1"/>
  <c r="D1219" i="32"/>
  <c r="K1173" i="32"/>
  <c r="H1155" i="32"/>
  <c r="I1155" i="32" s="1"/>
  <c r="H1384" i="32"/>
  <c r="I1384" i="32" s="1"/>
  <c r="K1402" i="32"/>
  <c r="A1237" i="32"/>
  <c r="B1237" i="32" s="1"/>
  <c r="D1256" i="32"/>
  <c r="H1143" i="32"/>
  <c r="I1143" i="32" s="1"/>
  <c r="K1161" i="32"/>
  <c r="B12" i="7" l="1"/>
  <c r="H1422" i="32"/>
  <c r="I1422" i="32" s="1"/>
  <c r="K1440" i="32"/>
  <c r="H1239" i="32"/>
  <c r="I1239" i="32" s="1"/>
  <c r="K1257" i="32"/>
  <c r="D1248" i="32"/>
  <c r="A1229" i="32"/>
  <c r="B1229" i="32" s="1"/>
  <c r="K1196" i="32"/>
  <c r="H1178" i="32"/>
  <c r="I1178" i="32" s="1"/>
  <c r="D1236" i="32"/>
  <c r="A1217" i="32"/>
  <c r="B1217" i="32" s="1"/>
  <c r="K1406" i="32"/>
  <c r="H1388" i="32"/>
  <c r="I1388" i="32" s="1"/>
  <c r="D1270" i="32"/>
  <c r="A1251" i="32"/>
  <c r="B1251" i="32" s="1"/>
  <c r="A1256" i="32"/>
  <c r="B1256" i="32" s="1"/>
  <c r="D1275" i="32"/>
  <c r="D1265" i="32"/>
  <c r="A1246" i="32"/>
  <c r="B1246" i="32" s="1"/>
  <c r="H1402" i="32"/>
  <c r="I1402" i="32" s="1"/>
  <c r="K1420" i="32"/>
  <c r="H1169" i="32"/>
  <c r="I1169" i="32" s="1"/>
  <c r="K1187" i="32"/>
  <c r="B1185" i="32"/>
  <c r="A1183" i="32"/>
  <c r="B1183" i="32" s="1"/>
  <c r="A1190" i="32"/>
  <c r="B1190" i="32" s="1"/>
  <c r="A1182" i="32"/>
  <c r="B1182" i="32" s="1"/>
  <c r="A1184" i="32"/>
  <c r="B1184" i="32" s="1"/>
  <c r="K1182" i="32"/>
  <c r="H1164" i="32"/>
  <c r="I1164" i="32" s="1"/>
  <c r="H1165" i="32"/>
  <c r="I1165" i="32" s="1"/>
  <c r="K1183" i="32"/>
  <c r="D1273" i="32"/>
  <c r="A1254" i="32"/>
  <c r="B1254" i="32" s="1"/>
  <c r="D1244" i="32"/>
  <c r="A1225" i="32"/>
  <c r="B1225" i="32" s="1"/>
  <c r="K1184" i="32"/>
  <c r="H1166" i="32"/>
  <c r="I1166" i="32" s="1"/>
  <c r="D1230" i="32"/>
  <c r="A1211" i="32"/>
  <c r="B1211" i="32" s="1"/>
  <c r="H1414" i="32"/>
  <c r="I1414" i="32" s="1"/>
  <c r="K1432" i="32"/>
  <c r="H1177" i="32"/>
  <c r="K1195" i="32"/>
  <c r="D1245" i="32"/>
  <c r="A1226" i="32"/>
  <c r="B1226" i="32" s="1"/>
  <c r="D1238" i="32"/>
  <c r="A1219" i="32"/>
  <c r="B1219" i="32" s="1"/>
  <c r="A1231" i="32"/>
  <c r="B1231" i="32" s="1"/>
  <c r="D1250" i="32"/>
  <c r="D1243" i="32"/>
  <c r="A1224" i="32"/>
  <c r="B1224" i="32" s="1"/>
  <c r="H1161" i="32"/>
  <c r="I1161" i="32" s="1"/>
  <c r="K1179" i="32"/>
  <c r="H1171" i="32"/>
  <c r="I1171" i="32" s="1"/>
  <c r="K1189" i="32"/>
  <c r="A1215" i="32"/>
  <c r="B1215" i="32" s="1"/>
  <c r="D1234" i="32"/>
  <c r="D1223" i="32"/>
  <c r="A1204" i="32"/>
  <c r="K1191" i="32"/>
  <c r="H1173" i="32"/>
  <c r="I1173" i="32" s="1"/>
  <c r="A1290" i="32"/>
  <c r="B1290" i="32" s="1"/>
  <c r="D1309" i="32"/>
  <c r="H1157" i="32"/>
  <c r="I1157" i="32" s="1"/>
  <c r="H1163" i="32"/>
  <c r="I1163" i="32" s="1"/>
  <c r="H1158" i="32"/>
  <c r="I1158" i="32" s="1"/>
  <c r="I1159" i="32"/>
  <c r="H1156" i="32"/>
  <c r="I1156" i="32" s="1"/>
  <c r="B13" i="7" l="1"/>
  <c r="H1191" i="32"/>
  <c r="I1191" i="32" s="1"/>
  <c r="K1209" i="32"/>
  <c r="D1257" i="32"/>
  <c r="A1238" i="32"/>
  <c r="B1238" i="32" s="1"/>
  <c r="A1203" i="32"/>
  <c r="B1203" i="32" s="1"/>
  <c r="B1204" i="32"/>
  <c r="A1209" i="32"/>
  <c r="B1209" i="32" s="1"/>
  <c r="A1202" i="32"/>
  <c r="B1202" i="32" s="1"/>
  <c r="A1201" i="32"/>
  <c r="B1201" i="32" s="1"/>
  <c r="K1424" i="32"/>
  <c r="H1406" i="32"/>
  <c r="I1406" i="32" s="1"/>
  <c r="A1244" i="32"/>
  <c r="B1244" i="32" s="1"/>
  <c r="D1263" i="32"/>
  <c r="K1205" i="32"/>
  <c r="H1187" i="32"/>
  <c r="I1187" i="32" s="1"/>
  <c r="D1253" i="32"/>
  <c r="A1234" i="32"/>
  <c r="B1234" i="32" s="1"/>
  <c r="A1273" i="32"/>
  <c r="B1273" i="32" s="1"/>
  <c r="D1292" i="32"/>
  <c r="H1189" i="32"/>
  <c r="I1189" i="32" s="1"/>
  <c r="K1207" i="32"/>
  <c r="H1195" i="32"/>
  <c r="K1213" i="32"/>
  <c r="K1201" i="32"/>
  <c r="H1183" i="32"/>
  <c r="I1183" i="32" s="1"/>
  <c r="K1214" i="32"/>
  <c r="H1196" i="32"/>
  <c r="I1196" i="32" s="1"/>
  <c r="K1197" i="32"/>
  <c r="H1179" i="32"/>
  <c r="I1179" i="32" s="1"/>
  <c r="D1284" i="32"/>
  <c r="A1265" i="32"/>
  <c r="B1265" i="32" s="1"/>
  <c r="K1458" i="32"/>
  <c r="H1440" i="32"/>
  <c r="I1440" i="32" s="1"/>
  <c r="K1202" i="32"/>
  <c r="H1184" i="32"/>
  <c r="I1184" i="32" s="1"/>
  <c r="D1242" i="32"/>
  <c r="A1223" i="32"/>
  <c r="D1255" i="32"/>
  <c r="A1236" i="32"/>
  <c r="B1236" i="32" s="1"/>
  <c r="D1264" i="32"/>
  <c r="A1245" i="32"/>
  <c r="B1245" i="32" s="1"/>
  <c r="H1420" i="32"/>
  <c r="I1420" i="32" s="1"/>
  <c r="K1438" i="32"/>
  <c r="H1181" i="32"/>
  <c r="I1181" i="32" s="1"/>
  <c r="I1177" i="32"/>
  <c r="H1174" i="32"/>
  <c r="I1174" i="32" s="1"/>
  <c r="H1176" i="32"/>
  <c r="I1176" i="32" s="1"/>
  <c r="H1175" i="32"/>
  <c r="I1175" i="32" s="1"/>
  <c r="K1450" i="32"/>
  <c r="H1432" i="32"/>
  <c r="I1432" i="32" s="1"/>
  <c r="A1248" i="32"/>
  <c r="B1248" i="32" s="1"/>
  <c r="D1267" i="32"/>
  <c r="K1200" i="32"/>
  <c r="H1182" i="32"/>
  <c r="I1182" i="32" s="1"/>
  <c r="D1294" i="32"/>
  <c r="A1275" i="32"/>
  <c r="B1275" i="32" s="1"/>
  <c r="H1257" i="32"/>
  <c r="I1257" i="32" s="1"/>
  <c r="K1275" i="32"/>
  <c r="A1309" i="32"/>
  <c r="B1309" i="32" s="1"/>
  <c r="D1328" i="32"/>
  <c r="D1262" i="32"/>
  <c r="A1243" i="32"/>
  <c r="B1243" i="32" s="1"/>
  <c r="D1249" i="32"/>
  <c r="A1230" i="32"/>
  <c r="B1230" i="32" s="1"/>
  <c r="D1269" i="32"/>
  <c r="A1250" i="32"/>
  <c r="B1250" i="32" s="1"/>
  <c r="A1270" i="32"/>
  <c r="B1270" i="32" s="1"/>
  <c r="D1289" i="32"/>
  <c r="B14" i="7" l="1"/>
  <c r="B15" i="7" s="1"/>
  <c r="B16" i="7" s="1"/>
  <c r="B17" i="7" s="1"/>
  <c r="B18" i="7" s="1"/>
  <c r="B19" i="7" s="1"/>
  <c r="B20" i="7" s="1"/>
  <c r="B21" i="7" s="1"/>
  <c r="U9" i="34"/>
  <c r="U14" i="34"/>
  <c r="U14" i="33"/>
  <c r="U14" i="35"/>
  <c r="U22" i="17"/>
  <c r="U23" i="17"/>
  <c r="U10" i="17"/>
  <c r="U11" i="17"/>
  <c r="J41" i="37" s="1"/>
  <c r="U20" i="17"/>
  <c r="U21" i="35"/>
  <c r="U14" i="17"/>
  <c r="M41" i="37" s="1"/>
  <c r="U9" i="33"/>
  <c r="U21" i="17"/>
  <c r="U21" i="33"/>
  <c r="U9" i="35"/>
  <c r="U13" i="17"/>
  <c r="L41" i="37" s="1"/>
  <c r="U12" i="17"/>
  <c r="K41" i="37" s="1"/>
  <c r="U16" i="17"/>
  <c r="O41" i="37" s="1"/>
  <c r="U15" i="17"/>
  <c r="N41" i="37" s="1"/>
  <c r="U17" i="17"/>
  <c r="I1195" i="32"/>
  <c r="H1193" i="32"/>
  <c r="I1193" i="32" s="1"/>
  <c r="H1199" i="32"/>
  <c r="I1199" i="32" s="1"/>
  <c r="H1194" i="32"/>
  <c r="I1194" i="32" s="1"/>
  <c r="H1192" i="32"/>
  <c r="I1192" i="32" s="1"/>
  <c r="H1207" i="32"/>
  <c r="I1207" i="32" s="1"/>
  <c r="K1225" i="32"/>
  <c r="K1476" i="32"/>
  <c r="H1458" i="32"/>
  <c r="I1458" i="32" s="1"/>
  <c r="A1292" i="32"/>
  <c r="B1292" i="32" s="1"/>
  <c r="D1311" i="32"/>
  <c r="A1267" i="32"/>
  <c r="B1267" i="32" s="1"/>
  <c r="D1286" i="32"/>
  <c r="D1272" i="32"/>
  <c r="A1253" i="32"/>
  <c r="B1253" i="32" s="1"/>
  <c r="K1223" i="32"/>
  <c r="H1205" i="32"/>
  <c r="I1205" i="32" s="1"/>
  <c r="K1227" i="32"/>
  <c r="H1209" i="32"/>
  <c r="I1209" i="32" s="1"/>
  <c r="D1347" i="32"/>
  <c r="A1328" i="32"/>
  <c r="B1328" i="32" s="1"/>
  <c r="D1261" i="32"/>
  <c r="A1242" i="32"/>
  <c r="K1219" i="32"/>
  <c r="H1201" i="32"/>
  <c r="I1201" i="32" s="1"/>
  <c r="H1213" i="32"/>
  <c r="K1231" i="32"/>
  <c r="H1275" i="32"/>
  <c r="I1275" i="32" s="1"/>
  <c r="K1293" i="32"/>
  <c r="K1220" i="32"/>
  <c r="H1202" i="32"/>
  <c r="I1202" i="32" s="1"/>
  <c r="K1442" i="32"/>
  <c r="H1424" i="32"/>
  <c r="I1424" i="32" s="1"/>
  <c r="A1289" i="32"/>
  <c r="B1289" i="32" s="1"/>
  <c r="D1308" i="32"/>
  <c r="D1313" i="32"/>
  <c r="A1294" i="32"/>
  <c r="B1294" i="32" s="1"/>
  <c r="K1456" i="32"/>
  <c r="H1438" i="32"/>
  <c r="I1438" i="32" s="1"/>
  <c r="D1303" i="32"/>
  <c r="A1284" i="32"/>
  <c r="B1284" i="32" s="1"/>
  <c r="D1288" i="32"/>
  <c r="A1269" i="32"/>
  <c r="B1269" i="32" s="1"/>
  <c r="K1218" i="32"/>
  <c r="H1200" i="32"/>
  <c r="I1200" i="32" s="1"/>
  <c r="D1283" i="32"/>
  <c r="A1264" i="32"/>
  <c r="B1264" i="32" s="1"/>
  <c r="K1215" i="32"/>
  <c r="H1197" i="32"/>
  <c r="I1197" i="32" s="1"/>
  <c r="D1268" i="32"/>
  <c r="A1249" i="32"/>
  <c r="B1249" i="32" s="1"/>
  <c r="D1276" i="32"/>
  <c r="A1257" i="32"/>
  <c r="B1257" i="32" s="1"/>
  <c r="A1255" i="32"/>
  <c r="B1255" i="32" s="1"/>
  <c r="D1274" i="32"/>
  <c r="K1232" i="32"/>
  <c r="H1214" i="32"/>
  <c r="I1214" i="32" s="1"/>
  <c r="D1281" i="32"/>
  <c r="A1262" i="32"/>
  <c r="B1262" i="32" s="1"/>
  <c r="K1468" i="32"/>
  <c r="H1450" i="32"/>
  <c r="I1450" i="32" s="1"/>
  <c r="A1220" i="32"/>
  <c r="B1220" i="32" s="1"/>
  <c r="A1228" i="32"/>
  <c r="B1228" i="32" s="1"/>
  <c r="A1221" i="32"/>
  <c r="B1221" i="32" s="1"/>
  <c r="B1223" i="32"/>
  <c r="A1222" i="32"/>
  <c r="B1222" i="32" s="1"/>
  <c r="D1282" i="32"/>
  <c r="A1263" i="32"/>
  <c r="B1263" i="32" s="1"/>
  <c r="U7" i="34" l="1"/>
  <c r="U6" i="33"/>
  <c r="U8" i="33"/>
  <c r="U6" i="17"/>
  <c r="U7" i="35"/>
  <c r="U7" i="17"/>
  <c r="U6" i="35"/>
  <c r="U8" i="35"/>
  <c r="U6" i="34"/>
  <c r="U8" i="34"/>
  <c r="U9" i="17"/>
  <c r="U7" i="33"/>
  <c r="U8" i="17"/>
  <c r="I41" i="37"/>
  <c r="I16" i="37" s="1" a="1"/>
  <c r="I49" i="37"/>
  <c r="O8" i="37"/>
  <c r="O12" i="37" s="1"/>
  <c r="O16" i="37" a="1"/>
  <c r="O20" i="37" s="1"/>
  <c r="N8" i="37"/>
  <c r="N12" i="37" s="1"/>
  <c r="N16" i="37" a="1"/>
  <c r="N20" i="37" s="1"/>
  <c r="M16" i="37" a="1"/>
  <c r="M20" i="37" s="1"/>
  <c r="M8" i="37"/>
  <c r="M12" i="37" s="1"/>
  <c r="L8" i="37"/>
  <c r="L12" i="37" s="1"/>
  <c r="L16" i="37" a="1"/>
  <c r="L20" i="37" s="1"/>
  <c r="K16" i="37" a="1"/>
  <c r="K20" i="37" s="1"/>
  <c r="K8" i="37"/>
  <c r="K12" i="37" s="1"/>
  <c r="J8" i="37"/>
  <c r="J12" i="37" s="1"/>
  <c r="J16" i="37" a="1"/>
  <c r="J20" i="37" s="1"/>
  <c r="U18" i="33"/>
  <c r="U19" i="17"/>
  <c r="U15" i="33"/>
  <c r="U12" i="34"/>
  <c r="U15" i="34"/>
  <c r="U19" i="34"/>
  <c r="U11" i="35"/>
  <c r="U12" i="33"/>
  <c r="U20" i="35"/>
  <c r="U15" i="35"/>
  <c r="U10" i="33"/>
  <c r="U19" i="35"/>
  <c r="U12" i="35"/>
  <c r="U19" i="33"/>
  <c r="U10" i="35"/>
  <c r="U23" i="34"/>
  <c r="U18" i="17"/>
  <c r="U10" i="34"/>
  <c r="U20" i="34"/>
  <c r="U22" i="33"/>
  <c r="U23" i="33"/>
  <c r="U18" i="34"/>
  <c r="U17" i="34"/>
  <c r="U17" i="35"/>
  <c r="U11" i="33"/>
  <c r="U16" i="35"/>
  <c r="U13" i="35"/>
  <c r="U16" i="34"/>
  <c r="U13" i="34"/>
  <c r="U17" i="33"/>
  <c r="U20" i="33"/>
  <c r="U16" i="33"/>
  <c r="U22" i="34"/>
  <c r="U18" i="35"/>
  <c r="U23" i="35"/>
  <c r="U11" i="34"/>
  <c r="U22" i="35"/>
  <c r="U13" i="33"/>
  <c r="U21" i="34"/>
  <c r="A1241" i="32"/>
  <c r="B1241" i="32" s="1"/>
  <c r="A1239" i="32"/>
  <c r="B1239" i="32" s="1"/>
  <c r="B1242" i="32"/>
  <c r="A1240" i="32"/>
  <c r="B1240" i="32" s="1"/>
  <c r="A1247" i="32"/>
  <c r="B1247" i="32" s="1"/>
  <c r="D1330" i="32"/>
  <c r="A1311" i="32"/>
  <c r="B1311" i="32" s="1"/>
  <c r="D1300" i="32"/>
  <c r="A1281" i="32"/>
  <c r="B1281" i="32" s="1"/>
  <c r="D1302" i="32"/>
  <c r="A1283" i="32"/>
  <c r="B1283" i="32" s="1"/>
  <c r="D1280" i="32"/>
  <c r="A1261" i="32"/>
  <c r="K1250" i="32"/>
  <c r="H1232" i="32"/>
  <c r="I1232" i="32" s="1"/>
  <c r="K1236" i="32"/>
  <c r="H1218" i="32"/>
  <c r="I1218" i="32" s="1"/>
  <c r="K1460" i="32"/>
  <c r="H1442" i="32"/>
  <c r="I1442" i="32" s="1"/>
  <c r="D1366" i="32"/>
  <c r="A1347" i="32"/>
  <c r="B1347" i="32" s="1"/>
  <c r="K1243" i="32"/>
  <c r="H1225" i="32"/>
  <c r="I1225" i="32" s="1"/>
  <c r="K1238" i="32"/>
  <c r="H1220" i="32"/>
  <c r="I1220" i="32" s="1"/>
  <c r="D1295" i="32"/>
  <c r="A1276" i="32"/>
  <c r="B1276" i="32" s="1"/>
  <c r="A1303" i="32"/>
  <c r="B1303" i="32" s="1"/>
  <c r="D1322" i="32"/>
  <c r="K1241" i="32"/>
  <c r="H1223" i="32"/>
  <c r="I1223" i="32" s="1"/>
  <c r="H1231" i="32"/>
  <c r="K1249" i="32"/>
  <c r="K1233" i="32"/>
  <c r="H1215" i="32"/>
  <c r="I1215" i="32" s="1"/>
  <c r="A1313" i="32"/>
  <c r="B1313" i="32" s="1"/>
  <c r="D1332" i="32"/>
  <c r="H1219" i="32"/>
  <c r="I1219" i="32" s="1"/>
  <c r="K1237" i="32"/>
  <c r="D1327" i="32"/>
  <c r="A1308" i="32"/>
  <c r="B1308" i="32" s="1"/>
  <c r="K1474" i="32"/>
  <c r="H1456" i="32"/>
  <c r="I1456" i="32" s="1"/>
  <c r="K1486" i="32"/>
  <c r="H1468" i="32"/>
  <c r="I1468" i="32" s="1"/>
  <c r="K1494" i="32"/>
  <c r="H1476" i="32"/>
  <c r="I1476" i="32" s="1"/>
  <c r="D1301" i="32"/>
  <c r="A1282" i="32"/>
  <c r="B1282" i="32" s="1"/>
  <c r="D1293" i="32"/>
  <c r="A1274" i="32"/>
  <c r="B1274" i="32" s="1"/>
  <c r="D1307" i="32"/>
  <c r="A1288" i="32"/>
  <c r="B1288" i="32" s="1"/>
  <c r="H1227" i="32"/>
  <c r="I1227" i="32" s="1"/>
  <c r="K1245" i="32"/>
  <c r="K1311" i="32"/>
  <c r="H1293" i="32"/>
  <c r="I1293" i="32" s="1"/>
  <c r="A1268" i="32"/>
  <c r="B1268" i="32" s="1"/>
  <c r="D1287" i="32"/>
  <c r="H1217" i="32"/>
  <c r="I1217" i="32" s="1"/>
  <c r="H1212" i="32"/>
  <c r="I1212" i="32" s="1"/>
  <c r="H1211" i="32"/>
  <c r="I1211" i="32" s="1"/>
  <c r="H1210" i="32"/>
  <c r="I1210" i="32" s="1"/>
  <c r="I1213" i="32"/>
  <c r="A1272" i="32"/>
  <c r="B1272" i="32" s="1"/>
  <c r="D1291" i="32"/>
  <c r="D1305" i="32"/>
  <c r="A1286" i="32"/>
  <c r="B1286" i="32" s="1"/>
  <c r="P41" i="37" l="1"/>
  <c r="I8" i="37"/>
  <c r="P8" i="37" s="1"/>
  <c r="P12" i="37" s="1"/>
  <c r="P49" i="37"/>
  <c r="I18" i="37" a="1"/>
  <c r="P18" i="37" s="1"/>
  <c r="P16" i="37"/>
  <c r="K1256" i="32"/>
  <c r="H1238" i="32"/>
  <c r="I1238" i="32" s="1"/>
  <c r="K1329" i="32"/>
  <c r="H1311" i="32"/>
  <c r="I1311" i="32" s="1"/>
  <c r="A1305" i="32"/>
  <c r="B1305" i="32" s="1"/>
  <c r="D1324" i="32"/>
  <c r="K1512" i="32"/>
  <c r="H1494" i="32"/>
  <c r="I1494" i="32" s="1"/>
  <c r="H1233" i="32"/>
  <c r="I1233" i="32" s="1"/>
  <c r="K1251" i="32"/>
  <c r="K1261" i="32"/>
  <c r="H1243" i="32"/>
  <c r="I1243" i="32" s="1"/>
  <c r="D1321" i="32"/>
  <c r="A1302" i="32"/>
  <c r="B1302" i="32" s="1"/>
  <c r="H1228" i="32"/>
  <c r="I1228" i="32" s="1"/>
  <c r="I1231" i="32"/>
  <c r="H1229" i="32"/>
  <c r="I1229" i="32" s="1"/>
  <c r="H1235" i="32"/>
  <c r="I1235" i="32" s="1"/>
  <c r="H1230" i="32"/>
  <c r="I1230" i="32" s="1"/>
  <c r="K1492" i="32"/>
  <c r="H1474" i="32"/>
  <c r="I1474" i="32" s="1"/>
  <c r="K1259" i="32"/>
  <c r="H1241" i="32"/>
  <c r="I1241" i="32" s="1"/>
  <c r="K1478" i="32"/>
  <c r="H1460" i="32"/>
  <c r="I1460" i="32" s="1"/>
  <c r="A1330" i="32"/>
  <c r="B1330" i="32" s="1"/>
  <c r="D1349" i="32"/>
  <c r="A1322" i="32"/>
  <c r="B1322" i="32" s="1"/>
  <c r="D1341" i="32"/>
  <c r="D1326" i="32"/>
  <c r="A1307" i="32"/>
  <c r="B1307" i="32" s="1"/>
  <c r="A1327" i="32"/>
  <c r="B1327" i="32" s="1"/>
  <c r="D1346" i="32"/>
  <c r="K1254" i="32"/>
  <c r="H1236" i="32"/>
  <c r="I1236" i="32" s="1"/>
  <c r="H1237" i="32"/>
  <c r="I1237" i="32" s="1"/>
  <c r="K1255" i="32"/>
  <c r="D1312" i="32"/>
  <c r="A1293" i="32"/>
  <c r="B1293" i="32" s="1"/>
  <c r="D1314" i="32"/>
  <c r="A1295" i="32"/>
  <c r="B1295" i="32" s="1"/>
  <c r="K1268" i="32"/>
  <c r="H1250" i="32"/>
  <c r="I1250" i="32" s="1"/>
  <c r="D1320" i="32"/>
  <c r="A1301" i="32"/>
  <c r="B1301" i="32" s="1"/>
  <c r="D1299" i="32"/>
  <c r="A1280" i="32"/>
  <c r="D1306" i="32"/>
  <c r="A1287" i="32"/>
  <c r="B1287" i="32" s="1"/>
  <c r="K1267" i="32"/>
  <c r="H1249" i="32"/>
  <c r="K1504" i="32"/>
  <c r="H1486" i="32"/>
  <c r="I1486" i="32" s="1"/>
  <c r="A1366" i="32"/>
  <c r="B1366" i="32" s="1"/>
  <c r="D1385" i="32"/>
  <c r="D1319" i="32"/>
  <c r="A1300" i="32"/>
  <c r="B1300" i="32" s="1"/>
  <c r="H1245" i="32"/>
  <c r="I1245" i="32" s="1"/>
  <c r="K1263" i="32"/>
  <c r="A1291" i="32"/>
  <c r="B1291" i="32" s="1"/>
  <c r="D1310" i="32"/>
  <c r="D1351" i="32"/>
  <c r="A1332" i="32"/>
  <c r="B1332" i="32" s="1"/>
  <c r="A1260" i="32"/>
  <c r="B1260" i="32" s="1"/>
  <c r="B1261" i="32"/>
  <c r="A1258" i="32"/>
  <c r="B1258" i="32" s="1"/>
  <c r="A1266" i="32"/>
  <c r="B1266" i="32" s="1"/>
  <c r="A1259" i="32"/>
  <c r="B1259" i="32" s="1"/>
  <c r="I20" i="37" l="1"/>
  <c r="P20" i="37" s="1"/>
  <c r="I12" i="37"/>
  <c r="A1306" i="32"/>
  <c r="B1306" i="32" s="1"/>
  <c r="D1325" i="32"/>
  <c r="K1496" i="32"/>
  <c r="H1478" i="32"/>
  <c r="I1478" i="32" s="1"/>
  <c r="K1281" i="32"/>
  <c r="H1263" i="32"/>
  <c r="I1263" i="32" s="1"/>
  <c r="H1259" i="32"/>
  <c r="I1259" i="32" s="1"/>
  <c r="K1277" i="32"/>
  <c r="D1404" i="32"/>
  <c r="A1385" i="32"/>
  <c r="B1385" i="32" s="1"/>
  <c r="K1286" i="32"/>
  <c r="H1268" i="32"/>
  <c r="I1268" i="32" s="1"/>
  <c r="A1326" i="32"/>
  <c r="B1326" i="32" s="1"/>
  <c r="D1345" i="32"/>
  <c r="D1343" i="32"/>
  <c r="A1324" i="32"/>
  <c r="B1324" i="32" s="1"/>
  <c r="A1279" i="32"/>
  <c r="B1279" i="32" s="1"/>
  <c r="A1278" i="32"/>
  <c r="B1278" i="32" s="1"/>
  <c r="B1280" i="32"/>
  <c r="A1277" i="32"/>
  <c r="B1277" i="32" s="1"/>
  <c r="A1285" i="32"/>
  <c r="B1285" i="32" s="1"/>
  <c r="H1261" i="32"/>
  <c r="I1261" i="32" s="1"/>
  <c r="K1279" i="32"/>
  <c r="A1299" i="32"/>
  <c r="D1318" i="32"/>
  <c r="K1272" i="32"/>
  <c r="H1254" i="32"/>
  <c r="I1254" i="32" s="1"/>
  <c r="H1251" i="32"/>
  <c r="I1251" i="32" s="1"/>
  <c r="K1269" i="32"/>
  <c r="A1346" i="32"/>
  <c r="B1346" i="32" s="1"/>
  <c r="D1365" i="32"/>
  <c r="D1338" i="32"/>
  <c r="A1319" i="32"/>
  <c r="B1319" i="32" s="1"/>
  <c r="A1320" i="32"/>
  <c r="B1320" i="32" s="1"/>
  <c r="D1339" i="32"/>
  <c r="K1510" i="32"/>
  <c r="H1492" i="32"/>
  <c r="I1492" i="32" s="1"/>
  <c r="K1530" i="32"/>
  <c r="H1512" i="32"/>
  <c r="I1512" i="32" s="1"/>
  <c r="A1341" i="32"/>
  <c r="B1341" i="32" s="1"/>
  <c r="D1360" i="32"/>
  <c r="K1522" i="32"/>
  <c r="H1504" i="32"/>
  <c r="I1504" i="32" s="1"/>
  <c r="D1333" i="32"/>
  <c r="A1314" i="32"/>
  <c r="B1314" i="32" s="1"/>
  <c r="H1248" i="32"/>
  <c r="I1248" i="32" s="1"/>
  <c r="H1246" i="32"/>
  <c r="I1246" i="32" s="1"/>
  <c r="I1249" i="32"/>
  <c r="H1247" i="32"/>
  <c r="I1247" i="32" s="1"/>
  <c r="H1253" i="32"/>
  <c r="I1253" i="32" s="1"/>
  <c r="D1368" i="32"/>
  <c r="A1349" i="32"/>
  <c r="B1349" i="32" s="1"/>
  <c r="K1347" i="32"/>
  <c r="H1329" i="32"/>
  <c r="I1329" i="32" s="1"/>
  <c r="A1351" i="32"/>
  <c r="B1351" i="32" s="1"/>
  <c r="D1370" i="32"/>
  <c r="H1267" i="32"/>
  <c r="K1285" i="32"/>
  <c r="D1331" i="32"/>
  <c r="A1312" i="32"/>
  <c r="B1312" i="32" s="1"/>
  <c r="A1310" i="32"/>
  <c r="B1310" i="32" s="1"/>
  <c r="D1329" i="32"/>
  <c r="K1273" i="32"/>
  <c r="H1255" i="32"/>
  <c r="I1255" i="32" s="1"/>
  <c r="D1340" i="32"/>
  <c r="A1321" i="32"/>
  <c r="B1321" i="32" s="1"/>
  <c r="K1274" i="32"/>
  <c r="H1256" i="32"/>
  <c r="I1256" i="32" s="1"/>
  <c r="K1528" i="32" l="1"/>
  <c r="H1510" i="32"/>
  <c r="I1510" i="32" s="1"/>
  <c r="D1350" i="32"/>
  <c r="A1331" i="32"/>
  <c r="B1331" i="32" s="1"/>
  <c r="A1339" i="32"/>
  <c r="B1339" i="32" s="1"/>
  <c r="D1358" i="32"/>
  <c r="K1304" i="32"/>
  <c r="H1286" i="32"/>
  <c r="I1286" i="32" s="1"/>
  <c r="A1333" i="32"/>
  <c r="B1333" i="32" s="1"/>
  <c r="D1352" i="32"/>
  <c r="K1540" i="32"/>
  <c r="H1522" i="32"/>
  <c r="I1522" i="32" s="1"/>
  <c r="D1379" i="32"/>
  <c r="A1360" i="32"/>
  <c r="B1360" i="32" s="1"/>
  <c r="K1514" i="32"/>
  <c r="H1496" i="32"/>
  <c r="I1496" i="32" s="1"/>
  <c r="A1298" i="32"/>
  <c r="B1298" i="32" s="1"/>
  <c r="A1296" i="32"/>
  <c r="B1296" i="32" s="1"/>
  <c r="A1297" i="32"/>
  <c r="B1297" i="32" s="1"/>
  <c r="A1304" i="32"/>
  <c r="B1304" i="32" s="1"/>
  <c r="B1299" i="32"/>
  <c r="K1297" i="32"/>
  <c r="H1279" i="32"/>
  <c r="I1279" i="32" s="1"/>
  <c r="H1285" i="32"/>
  <c r="K1303" i="32"/>
  <c r="D1389" i="32"/>
  <c r="A1370" i="32"/>
  <c r="B1370" i="32" s="1"/>
  <c r="K1295" i="32"/>
  <c r="H1277" i="32"/>
  <c r="I1277" i="32" s="1"/>
  <c r="K1292" i="32"/>
  <c r="H1274" i="32"/>
  <c r="I1274" i="32" s="1"/>
  <c r="A1340" i="32"/>
  <c r="B1340" i="32" s="1"/>
  <c r="D1359" i="32"/>
  <c r="H1281" i="32"/>
  <c r="I1281" i="32" s="1"/>
  <c r="K1299" i="32"/>
  <c r="A1329" i="32"/>
  <c r="B1329" i="32" s="1"/>
  <c r="D1348" i="32"/>
  <c r="K1548" i="32"/>
  <c r="H1530" i="32"/>
  <c r="I1530" i="32" s="1"/>
  <c r="K1290" i="32"/>
  <c r="H1272" i="32"/>
  <c r="I1272" i="32" s="1"/>
  <c r="D1364" i="32"/>
  <c r="A1345" i="32"/>
  <c r="B1345" i="32" s="1"/>
  <c r="D1344" i="32"/>
  <c r="A1325" i="32"/>
  <c r="B1325" i="32" s="1"/>
  <c r="H1264" i="32"/>
  <c r="I1264" i="32" s="1"/>
  <c r="H1265" i="32"/>
  <c r="I1265" i="32" s="1"/>
  <c r="H1271" i="32"/>
  <c r="I1271" i="32" s="1"/>
  <c r="H1266" i="32"/>
  <c r="I1266" i="32" s="1"/>
  <c r="I1267" i="32"/>
  <c r="D1423" i="32"/>
  <c r="A1404" i="32"/>
  <c r="B1404" i="32" s="1"/>
  <c r="D1357" i="32"/>
  <c r="A1338" i="32"/>
  <c r="B1338" i="32" s="1"/>
  <c r="A1365" i="32"/>
  <c r="B1365" i="32" s="1"/>
  <c r="D1384" i="32"/>
  <c r="H1347" i="32"/>
  <c r="I1347" i="32" s="1"/>
  <c r="K1365" i="32"/>
  <c r="H1269" i="32"/>
  <c r="I1269" i="32" s="1"/>
  <c r="K1287" i="32"/>
  <c r="K1291" i="32"/>
  <c r="H1273" i="32"/>
  <c r="I1273" i="32" s="1"/>
  <c r="A1368" i="32"/>
  <c r="B1368" i="32" s="1"/>
  <c r="D1387" i="32"/>
  <c r="D1362" i="32"/>
  <c r="A1343" i="32"/>
  <c r="B1343" i="32" s="1"/>
  <c r="D1337" i="32"/>
  <c r="A1318" i="32"/>
  <c r="K1383" i="32" l="1"/>
  <c r="H1365" i="32"/>
  <c r="I1365" i="32" s="1"/>
  <c r="K1315" i="32"/>
  <c r="H1297" i="32"/>
  <c r="I1297" i="32" s="1"/>
  <c r="A1352" i="32"/>
  <c r="B1352" i="32" s="1"/>
  <c r="D1371" i="32"/>
  <c r="A1359" i="32"/>
  <c r="B1359" i="32" s="1"/>
  <c r="D1378" i="32"/>
  <c r="A1358" i="32"/>
  <c r="B1358" i="32" s="1"/>
  <c r="D1377" i="32"/>
  <c r="A1362" i="32"/>
  <c r="B1362" i="32" s="1"/>
  <c r="D1381" i="32"/>
  <c r="K1305" i="32"/>
  <c r="H1287" i="32"/>
  <c r="I1287" i="32" s="1"/>
  <c r="H1284" i="32"/>
  <c r="I1284" i="32" s="1"/>
  <c r="H1282" i="32"/>
  <c r="I1282" i="32" s="1"/>
  <c r="I1285" i="32"/>
  <c r="H1289" i="32"/>
  <c r="I1289" i="32" s="1"/>
  <c r="H1283" i="32"/>
  <c r="I1283" i="32" s="1"/>
  <c r="H1299" i="32"/>
  <c r="I1299" i="32" s="1"/>
  <c r="K1317" i="32"/>
  <c r="K1558" i="32"/>
  <c r="H1540" i="32"/>
  <c r="I1540" i="32" s="1"/>
  <c r="B1318" i="32"/>
  <c r="A1316" i="32"/>
  <c r="B1316" i="32" s="1"/>
  <c r="A1317" i="32"/>
  <c r="B1317" i="32" s="1"/>
  <c r="A1323" i="32"/>
  <c r="B1323" i="32" s="1"/>
  <c r="A1315" i="32"/>
  <c r="B1315" i="32" s="1"/>
  <c r="D1403" i="32"/>
  <c r="A1384" i="32"/>
  <c r="B1384" i="32" s="1"/>
  <c r="D1363" i="32"/>
  <c r="A1344" i="32"/>
  <c r="B1344" i="32" s="1"/>
  <c r="D1356" i="32"/>
  <c r="A1337" i="32"/>
  <c r="K1322" i="32"/>
  <c r="H1304" i="32"/>
  <c r="I1304" i="32" s="1"/>
  <c r="A1364" i="32"/>
  <c r="B1364" i="32" s="1"/>
  <c r="D1383" i="32"/>
  <c r="K1310" i="32"/>
  <c r="H1292" i="32"/>
  <c r="I1292" i="32" s="1"/>
  <c r="A1357" i="32"/>
  <c r="B1357" i="32" s="1"/>
  <c r="D1376" i="32"/>
  <c r="A1387" i="32"/>
  <c r="B1387" i="32" s="1"/>
  <c r="D1406" i="32"/>
  <c r="K1308" i="32"/>
  <c r="H1290" i="32"/>
  <c r="I1290" i="32" s="1"/>
  <c r="K1313" i="32"/>
  <c r="H1295" i="32"/>
  <c r="I1295" i="32" s="1"/>
  <c r="A1423" i="32"/>
  <c r="B1423" i="32" s="1"/>
  <c r="D1442" i="32"/>
  <c r="K1532" i="32"/>
  <c r="H1514" i="32"/>
  <c r="I1514" i="32" s="1"/>
  <c r="D1369" i="32"/>
  <c r="A1350" i="32"/>
  <c r="B1350" i="32" s="1"/>
  <c r="K1566" i="32"/>
  <c r="H1548" i="32"/>
  <c r="I1548" i="32" s="1"/>
  <c r="D1408" i="32"/>
  <c r="A1389" i="32"/>
  <c r="B1389" i="32" s="1"/>
  <c r="K1309" i="32"/>
  <c r="H1291" i="32"/>
  <c r="I1291" i="32" s="1"/>
  <c r="D1367" i="32"/>
  <c r="A1348" i="32"/>
  <c r="B1348" i="32" s="1"/>
  <c r="K1321" i="32"/>
  <c r="H1303" i="32"/>
  <c r="A1379" i="32"/>
  <c r="B1379" i="32" s="1"/>
  <c r="D1398" i="32"/>
  <c r="K1546" i="32"/>
  <c r="H1528" i="32"/>
  <c r="I1528" i="32" s="1"/>
  <c r="D1400" i="32" l="1"/>
  <c r="A1381" i="32"/>
  <c r="B1381" i="32" s="1"/>
  <c r="H1309" i="32"/>
  <c r="I1309" i="32" s="1"/>
  <c r="K1327" i="32"/>
  <c r="H1313" i="32"/>
  <c r="I1313" i="32" s="1"/>
  <c r="K1331" i="32"/>
  <c r="K1340" i="32"/>
  <c r="H1322" i="32"/>
  <c r="I1322" i="32" s="1"/>
  <c r="A1336" i="32"/>
  <c r="B1336" i="32" s="1"/>
  <c r="B1337" i="32"/>
  <c r="A1334" i="32"/>
  <c r="B1334" i="32" s="1"/>
  <c r="A1342" i="32"/>
  <c r="B1342" i="32" s="1"/>
  <c r="A1335" i="32"/>
  <c r="B1335" i="32" s="1"/>
  <c r="D1427" i="32"/>
  <c r="A1408" i="32"/>
  <c r="B1408" i="32" s="1"/>
  <c r="D1375" i="32"/>
  <c r="A1356" i="32"/>
  <c r="A1406" i="32"/>
  <c r="B1406" i="32" s="1"/>
  <c r="D1425" i="32"/>
  <c r="D1397" i="32"/>
  <c r="A1378" i="32"/>
  <c r="B1378" i="32" s="1"/>
  <c r="K1584" i="32"/>
  <c r="H1566" i="32"/>
  <c r="I1566" i="32" s="1"/>
  <c r="D1382" i="32"/>
  <c r="A1363" i="32"/>
  <c r="B1363" i="32" s="1"/>
  <c r="D1395" i="32"/>
  <c r="A1376" i="32"/>
  <c r="B1376" i="32" s="1"/>
  <c r="H1307" i="32"/>
  <c r="I1307" i="32" s="1"/>
  <c r="H1302" i="32"/>
  <c r="I1302" i="32" s="1"/>
  <c r="H1301" i="32"/>
  <c r="I1301" i="32" s="1"/>
  <c r="H1300" i="32"/>
  <c r="I1300" i="32" s="1"/>
  <c r="I1303" i="32"/>
  <c r="H1321" i="32"/>
  <c r="K1339" i="32"/>
  <c r="K1550" i="32"/>
  <c r="H1532" i="32"/>
  <c r="I1532" i="32" s="1"/>
  <c r="K1328" i="32"/>
  <c r="H1310" i="32"/>
  <c r="I1310" i="32" s="1"/>
  <c r="K1333" i="32"/>
  <c r="H1315" i="32"/>
  <c r="I1315" i="32" s="1"/>
  <c r="A1377" i="32"/>
  <c r="B1377" i="32" s="1"/>
  <c r="D1396" i="32"/>
  <c r="D1417" i="32"/>
  <c r="A1398" i="32"/>
  <c r="B1398" i="32" s="1"/>
  <c r="A1371" i="32"/>
  <c r="B1371" i="32" s="1"/>
  <c r="D1390" i="32"/>
  <c r="K1576" i="32"/>
  <c r="H1558" i="32"/>
  <c r="I1558" i="32" s="1"/>
  <c r="K1326" i="32"/>
  <c r="H1308" i="32"/>
  <c r="I1308" i="32" s="1"/>
  <c r="K1335" i="32"/>
  <c r="H1317" i="32"/>
  <c r="I1317" i="32" s="1"/>
  <c r="K1564" i="32"/>
  <c r="H1546" i="32"/>
  <c r="I1546" i="32" s="1"/>
  <c r="D1388" i="32"/>
  <c r="A1369" i="32"/>
  <c r="B1369" i="32" s="1"/>
  <c r="A1403" i="32"/>
  <c r="B1403" i="32" s="1"/>
  <c r="D1422" i="32"/>
  <c r="A1442" i="32"/>
  <c r="B1442" i="32" s="1"/>
  <c r="D1461" i="32"/>
  <c r="A1383" i="32"/>
  <c r="B1383" i="32" s="1"/>
  <c r="D1402" i="32"/>
  <c r="A1367" i="32"/>
  <c r="B1367" i="32" s="1"/>
  <c r="D1386" i="32"/>
  <c r="K1323" i="32"/>
  <c r="H1305" i="32"/>
  <c r="I1305" i="32" s="1"/>
  <c r="H1383" i="32"/>
  <c r="I1383" i="32" s="1"/>
  <c r="K1401" i="32"/>
  <c r="D1401" i="32" l="1"/>
  <c r="A1382" i="32"/>
  <c r="B1382" i="32" s="1"/>
  <c r="K1594" i="32"/>
  <c r="H1576" i="32"/>
  <c r="I1576" i="32" s="1"/>
  <c r="D1441" i="32"/>
  <c r="A1422" i="32"/>
  <c r="B1422" i="32" s="1"/>
  <c r="K1602" i="32"/>
  <c r="H1584" i="32"/>
  <c r="I1584" i="32" s="1"/>
  <c r="H1319" i="32"/>
  <c r="I1319" i="32" s="1"/>
  <c r="I1321" i="32"/>
  <c r="H1318" i="32"/>
  <c r="I1318" i="32" s="1"/>
  <c r="H1320" i="32"/>
  <c r="I1320" i="32" s="1"/>
  <c r="H1325" i="32"/>
  <c r="I1325" i="32" s="1"/>
  <c r="K1419" i="32"/>
  <c r="H1401" i="32"/>
  <c r="I1401" i="32" s="1"/>
  <c r="D1416" i="32"/>
  <c r="A1397" i="32"/>
  <c r="B1397" i="32" s="1"/>
  <c r="A1388" i="32"/>
  <c r="B1388" i="32" s="1"/>
  <c r="D1407" i="32"/>
  <c r="A1425" i="32"/>
  <c r="B1425" i="32" s="1"/>
  <c r="D1444" i="32"/>
  <c r="K1358" i="32"/>
  <c r="H1340" i="32"/>
  <c r="I1340" i="32" s="1"/>
  <c r="D1415" i="32"/>
  <c r="A1396" i="32"/>
  <c r="B1396" i="32" s="1"/>
  <c r="A1353" i="32"/>
  <c r="B1353" i="32" s="1"/>
  <c r="A1354" i="32"/>
  <c r="B1354" i="32" s="1"/>
  <c r="B1356" i="32"/>
  <c r="A1361" i="32"/>
  <c r="B1361" i="32" s="1"/>
  <c r="A1355" i="32"/>
  <c r="B1355" i="32" s="1"/>
  <c r="A1386" i="32"/>
  <c r="B1386" i="32" s="1"/>
  <c r="D1405" i="32"/>
  <c r="A1375" i="32"/>
  <c r="D1394" i="32"/>
  <c r="K1345" i="32"/>
  <c r="H1327" i="32"/>
  <c r="I1327" i="32" s="1"/>
  <c r="K1353" i="32"/>
  <c r="H1335" i="32"/>
  <c r="I1335" i="32" s="1"/>
  <c r="H1333" i="32"/>
  <c r="I1333" i="32" s="1"/>
  <c r="K1351" i="32"/>
  <c r="D1480" i="32"/>
  <c r="A1461" i="32"/>
  <c r="B1461" i="32" s="1"/>
  <c r="K1568" i="32"/>
  <c r="H1550" i="32"/>
  <c r="I1550" i="32" s="1"/>
  <c r="A1390" i="32"/>
  <c r="B1390" i="32" s="1"/>
  <c r="D1409" i="32"/>
  <c r="K1357" i="32"/>
  <c r="H1339" i="32"/>
  <c r="A1417" i="32"/>
  <c r="B1417" i="32" s="1"/>
  <c r="D1436" i="32"/>
  <c r="H1331" i="32"/>
  <c r="I1331" i="32" s="1"/>
  <c r="K1349" i="32"/>
  <c r="K1341" i="32"/>
  <c r="H1323" i="32"/>
  <c r="I1323" i="32" s="1"/>
  <c r="K1582" i="32"/>
  <c r="H1564" i="32"/>
  <c r="I1564" i="32" s="1"/>
  <c r="D1421" i="32"/>
  <c r="A1402" i="32"/>
  <c r="B1402" i="32" s="1"/>
  <c r="D1414" i="32"/>
  <c r="A1395" i="32"/>
  <c r="B1395" i="32" s="1"/>
  <c r="A1427" i="32"/>
  <c r="B1427" i="32" s="1"/>
  <c r="D1446" i="32"/>
  <c r="K1344" i="32"/>
  <c r="H1326" i="32"/>
  <c r="I1326" i="32" s="1"/>
  <c r="K1346" i="32"/>
  <c r="H1328" i="32"/>
  <c r="I1328" i="32" s="1"/>
  <c r="A1400" i="32"/>
  <c r="B1400" i="32" s="1"/>
  <c r="D1419" i="32"/>
  <c r="H1343" i="32" l="1"/>
  <c r="I1343" i="32" s="1"/>
  <c r="H1338" i="32"/>
  <c r="I1338" i="32" s="1"/>
  <c r="H1337" i="32"/>
  <c r="I1337" i="32" s="1"/>
  <c r="H1336" i="32"/>
  <c r="I1336" i="32" s="1"/>
  <c r="I1339" i="32"/>
  <c r="D1434" i="32"/>
  <c r="A1415" i="32"/>
  <c r="B1415" i="32" s="1"/>
  <c r="A1414" i="32"/>
  <c r="B1414" i="32" s="1"/>
  <c r="D1433" i="32"/>
  <c r="H1357" i="32"/>
  <c r="K1375" i="32"/>
  <c r="H1345" i="32"/>
  <c r="I1345" i="32" s="1"/>
  <c r="K1363" i="32"/>
  <c r="A1394" i="32"/>
  <c r="D1413" i="32"/>
  <c r="A1419" i="32"/>
  <c r="B1419" i="32" s="1"/>
  <c r="D1438" i="32"/>
  <c r="A1405" i="32"/>
  <c r="B1405" i="32" s="1"/>
  <c r="D1424" i="32"/>
  <c r="K1600" i="32"/>
  <c r="H1582" i="32"/>
  <c r="I1582" i="32" s="1"/>
  <c r="K1586" i="32"/>
  <c r="H1568" i="32"/>
  <c r="I1568" i="32" s="1"/>
  <c r="D1426" i="32"/>
  <c r="A1407" i="32"/>
  <c r="B1407" i="32" s="1"/>
  <c r="K1620" i="32"/>
  <c r="H1602" i="32"/>
  <c r="I1602" i="32" s="1"/>
  <c r="D1499" i="32"/>
  <c r="A1480" i="32"/>
  <c r="B1480" i="32" s="1"/>
  <c r="D1460" i="32"/>
  <c r="A1441" i="32"/>
  <c r="B1441" i="32" s="1"/>
  <c r="K1362" i="32"/>
  <c r="H1344" i="32"/>
  <c r="I1344" i="32" s="1"/>
  <c r="K1612" i="32"/>
  <c r="H1594" i="32"/>
  <c r="I1594" i="32" s="1"/>
  <c r="B1375" i="32"/>
  <c r="A1372" i="32"/>
  <c r="B1372" i="32" s="1"/>
  <c r="A1373" i="32"/>
  <c r="B1373" i="32" s="1"/>
  <c r="A1374" i="32"/>
  <c r="B1374" i="32" s="1"/>
  <c r="A1380" i="32"/>
  <c r="B1380" i="32" s="1"/>
  <c r="H1341" i="32"/>
  <c r="I1341" i="32" s="1"/>
  <c r="K1359" i="32"/>
  <c r="D1428" i="32"/>
  <c r="A1409" i="32"/>
  <c r="B1409" i="32" s="1"/>
  <c r="K1376" i="32"/>
  <c r="H1358" i="32"/>
  <c r="I1358" i="32" s="1"/>
  <c r="D1440" i="32"/>
  <c r="A1421" i="32"/>
  <c r="B1421" i="32" s="1"/>
  <c r="A1444" i="32"/>
  <c r="B1444" i="32" s="1"/>
  <c r="D1463" i="32"/>
  <c r="K1364" i="32"/>
  <c r="H1346" i="32"/>
  <c r="I1346" i="32" s="1"/>
  <c r="K1367" i="32"/>
  <c r="H1349" i="32"/>
  <c r="I1349" i="32" s="1"/>
  <c r="H1351" i="32"/>
  <c r="I1351" i="32" s="1"/>
  <c r="K1369" i="32"/>
  <c r="A1416" i="32"/>
  <c r="B1416" i="32" s="1"/>
  <c r="D1435" i="32"/>
  <c r="D1465" i="32"/>
  <c r="A1446" i="32"/>
  <c r="B1446" i="32" s="1"/>
  <c r="A1436" i="32"/>
  <c r="B1436" i="32" s="1"/>
  <c r="D1455" i="32"/>
  <c r="K1437" i="32"/>
  <c r="H1419" i="32"/>
  <c r="I1419" i="32" s="1"/>
  <c r="K1371" i="32"/>
  <c r="H1353" i="32"/>
  <c r="I1353" i="32" s="1"/>
  <c r="A1401" i="32"/>
  <c r="B1401" i="32" s="1"/>
  <c r="D1420" i="32"/>
  <c r="A1440" i="32" l="1"/>
  <c r="B1440" i="32" s="1"/>
  <c r="D1459" i="32"/>
  <c r="K1393" i="32"/>
  <c r="H1375" i="32"/>
  <c r="H1355" i="32"/>
  <c r="I1355" i="32" s="1"/>
  <c r="H1356" i="32"/>
  <c r="I1356" i="32" s="1"/>
  <c r="H1361" i="32"/>
  <c r="I1361" i="32" s="1"/>
  <c r="I1357" i="32"/>
  <c r="H1354" i="32"/>
  <c r="I1354" i="32" s="1"/>
  <c r="K1394" i="32"/>
  <c r="H1376" i="32"/>
  <c r="I1376" i="32" s="1"/>
  <c r="A1433" i="32"/>
  <c r="B1433" i="32" s="1"/>
  <c r="D1452" i="32"/>
  <c r="H1369" i="32"/>
  <c r="I1369" i="32" s="1"/>
  <c r="K1387" i="32"/>
  <c r="H1362" i="32"/>
  <c r="I1362" i="32" s="1"/>
  <c r="K1380" i="32"/>
  <c r="A1424" i="32"/>
  <c r="B1424" i="32" s="1"/>
  <c r="D1443" i="32"/>
  <c r="K1385" i="32"/>
  <c r="H1367" i="32"/>
  <c r="I1367" i="32" s="1"/>
  <c r="D1482" i="32"/>
  <c r="A1463" i="32"/>
  <c r="B1463" i="32" s="1"/>
  <c r="D1445" i="32"/>
  <c r="A1426" i="32"/>
  <c r="B1426" i="32" s="1"/>
  <c r="A1465" i="32"/>
  <c r="B1465" i="32" s="1"/>
  <c r="D1484" i="32"/>
  <c r="D1454" i="32"/>
  <c r="A1435" i="32"/>
  <c r="B1435" i="32" s="1"/>
  <c r="H1612" i="32"/>
  <c r="I1612" i="32" s="1"/>
  <c r="K1630" i="32"/>
  <c r="K1604" i="32"/>
  <c r="H1586" i="32"/>
  <c r="I1586" i="32" s="1"/>
  <c r="D1439" i="32"/>
  <c r="A1420" i="32"/>
  <c r="B1420" i="32" s="1"/>
  <c r="K1618" i="32"/>
  <c r="H1600" i="32"/>
  <c r="I1600" i="32" s="1"/>
  <c r="D1447" i="32"/>
  <c r="A1428" i="32"/>
  <c r="B1428" i="32" s="1"/>
  <c r="K1377" i="32"/>
  <c r="H1359" i="32"/>
  <c r="I1359" i="32" s="1"/>
  <c r="D1479" i="32"/>
  <c r="A1460" i="32"/>
  <c r="B1460" i="32" s="1"/>
  <c r="A1434" i="32"/>
  <c r="B1434" i="32" s="1"/>
  <c r="D1453" i="32"/>
  <c r="K1389" i="32"/>
  <c r="H1371" i="32"/>
  <c r="I1371" i="32" s="1"/>
  <c r="D1457" i="32"/>
  <c r="A1438" i="32"/>
  <c r="B1438" i="32" s="1"/>
  <c r="A1499" i="32"/>
  <c r="B1499" i="32" s="1"/>
  <c r="D1518" i="32"/>
  <c r="K1455" i="32"/>
  <c r="H1437" i="32"/>
  <c r="I1437" i="32" s="1"/>
  <c r="K1382" i="32"/>
  <c r="H1364" i="32"/>
  <c r="I1364" i="32" s="1"/>
  <c r="A1413" i="32"/>
  <c r="D1432" i="32"/>
  <c r="A1455" i="32"/>
  <c r="B1455" i="32" s="1"/>
  <c r="D1474" i="32"/>
  <c r="K1638" i="32"/>
  <c r="H1620" i="32"/>
  <c r="I1620" i="32" s="1"/>
  <c r="A1393" i="32"/>
  <c r="B1393" i="32" s="1"/>
  <c r="A1399" i="32"/>
  <c r="B1399" i="32" s="1"/>
  <c r="B1394" i="32"/>
  <c r="A1391" i="32"/>
  <c r="B1391" i="32" s="1"/>
  <c r="A1392" i="32"/>
  <c r="B1392" i="32" s="1"/>
  <c r="H1363" i="32"/>
  <c r="I1363" i="32" s="1"/>
  <c r="K1381" i="32"/>
  <c r="H1638" i="32" l="1"/>
  <c r="I1638" i="32" s="1"/>
  <c r="K1656" i="32"/>
  <c r="K1636" i="32"/>
  <c r="H1618" i="32"/>
  <c r="I1618" i="32" s="1"/>
  <c r="D1464" i="32"/>
  <c r="A1445" i="32"/>
  <c r="B1445" i="32" s="1"/>
  <c r="D1493" i="32"/>
  <c r="A1474" i="32"/>
  <c r="B1474" i="32" s="1"/>
  <c r="K1407" i="32"/>
  <c r="H1389" i="32"/>
  <c r="I1389" i="32" s="1"/>
  <c r="D1458" i="32"/>
  <c r="A1439" i="32"/>
  <c r="B1439" i="32" s="1"/>
  <c r="D1501" i="32"/>
  <c r="A1482" i="32"/>
  <c r="B1482" i="32" s="1"/>
  <c r="H1394" i="32"/>
  <c r="I1394" i="32" s="1"/>
  <c r="K1412" i="32"/>
  <c r="D1451" i="32"/>
  <c r="A1432" i="32"/>
  <c r="A1453" i="32"/>
  <c r="B1453" i="32" s="1"/>
  <c r="D1472" i="32"/>
  <c r="H1381" i="32"/>
  <c r="I1381" i="32" s="1"/>
  <c r="K1399" i="32"/>
  <c r="K1622" i="32"/>
  <c r="H1604" i="32"/>
  <c r="I1604" i="32" s="1"/>
  <c r="K1403" i="32"/>
  <c r="H1385" i="32"/>
  <c r="I1385" i="32" s="1"/>
  <c r="K1398" i="32"/>
  <c r="H1380" i="32"/>
  <c r="I1380" i="32" s="1"/>
  <c r="K1473" i="32"/>
  <c r="H1455" i="32"/>
  <c r="I1455" i="32" s="1"/>
  <c r="H1377" i="32"/>
  <c r="I1377" i="32" s="1"/>
  <c r="K1395" i="32"/>
  <c r="A1454" i="32"/>
  <c r="B1454" i="32" s="1"/>
  <c r="D1473" i="32"/>
  <c r="A1457" i="32"/>
  <c r="B1457" i="32" s="1"/>
  <c r="D1476" i="32"/>
  <c r="B1413" i="32"/>
  <c r="A1412" i="32"/>
  <c r="B1412" i="32" s="1"/>
  <c r="A1410" i="32"/>
  <c r="B1410" i="32" s="1"/>
  <c r="A1411" i="32"/>
  <c r="B1411" i="32" s="1"/>
  <c r="A1418" i="32"/>
  <c r="B1418" i="32" s="1"/>
  <c r="H1630" i="32"/>
  <c r="I1630" i="32" s="1"/>
  <c r="K1648" i="32"/>
  <c r="A1443" i="32"/>
  <c r="B1443" i="32" s="1"/>
  <c r="D1462" i="32"/>
  <c r="H1382" i="32"/>
  <c r="I1382" i="32" s="1"/>
  <c r="K1400" i="32"/>
  <c r="D1498" i="32"/>
  <c r="A1479" i="32"/>
  <c r="B1479" i="32" s="1"/>
  <c r="H1374" i="32"/>
  <c r="I1374" i="32" s="1"/>
  <c r="H1379" i="32"/>
  <c r="I1379" i="32" s="1"/>
  <c r="H1372" i="32"/>
  <c r="I1372" i="32" s="1"/>
  <c r="I1375" i="32"/>
  <c r="H1373" i="32"/>
  <c r="I1373" i="32" s="1"/>
  <c r="A1518" i="32"/>
  <c r="B1518" i="32" s="1"/>
  <c r="D1537" i="32"/>
  <c r="D1503" i="32"/>
  <c r="A1484" i="32"/>
  <c r="B1484" i="32" s="1"/>
  <c r="H1387" i="32"/>
  <c r="I1387" i="32" s="1"/>
  <c r="K1405" i="32"/>
  <c r="H1393" i="32"/>
  <c r="K1411" i="32"/>
  <c r="D1466" i="32"/>
  <c r="A1447" i="32"/>
  <c r="B1447" i="32" s="1"/>
  <c r="A1459" i="32"/>
  <c r="B1459" i="32" s="1"/>
  <c r="D1478" i="32"/>
  <c r="A1452" i="32"/>
  <c r="B1452" i="32" s="1"/>
  <c r="D1471" i="32"/>
  <c r="H1405" i="32" l="1"/>
  <c r="I1405" i="32" s="1"/>
  <c r="K1423" i="32"/>
  <c r="K1418" i="32"/>
  <c r="H1400" i="32"/>
  <c r="I1400" i="32" s="1"/>
  <c r="H1622" i="32"/>
  <c r="I1622" i="32" s="1"/>
  <c r="K1640" i="32"/>
  <c r="D1492" i="32"/>
  <c r="A1473" i="32"/>
  <c r="B1473" i="32" s="1"/>
  <c r="D1481" i="32"/>
  <c r="A1462" i="32"/>
  <c r="B1462" i="32" s="1"/>
  <c r="K1425" i="32"/>
  <c r="H1407" i="32"/>
  <c r="I1407" i="32" s="1"/>
  <c r="A1537" i="32"/>
  <c r="B1537" i="32" s="1"/>
  <c r="D1556" i="32"/>
  <c r="H1648" i="32"/>
  <c r="I1648" i="32" s="1"/>
  <c r="K1666" i="32"/>
  <c r="A1493" i="32"/>
  <c r="B1493" i="32" s="1"/>
  <c r="D1512" i="32"/>
  <c r="A1478" i="32"/>
  <c r="B1478" i="32" s="1"/>
  <c r="D1497" i="32"/>
  <c r="K1491" i="32"/>
  <c r="H1473" i="32"/>
  <c r="I1473" i="32" s="1"/>
  <c r="D1470" i="32"/>
  <c r="A1451" i="32"/>
  <c r="A1464" i="32"/>
  <c r="B1464" i="32" s="1"/>
  <c r="D1483" i="32"/>
  <c r="K1430" i="32"/>
  <c r="H1412" i="32"/>
  <c r="I1412" i="32" s="1"/>
  <c r="D1485" i="32"/>
  <c r="A1466" i="32"/>
  <c r="B1466" i="32" s="1"/>
  <c r="K1416" i="32"/>
  <c r="H1398" i="32"/>
  <c r="I1398" i="32" s="1"/>
  <c r="H1636" i="32"/>
  <c r="I1636" i="32" s="1"/>
  <c r="K1654" i="32"/>
  <c r="A1458" i="32"/>
  <c r="B1458" i="32" s="1"/>
  <c r="D1477" i="32"/>
  <c r="K1417" i="32"/>
  <c r="H1399" i="32"/>
  <c r="I1399" i="32" s="1"/>
  <c r="B1432" i="32"/>
  <c r="A1437" i="32"/>
  <c r="B1437" i="32" s="1"/>
  <c r="A1431" i="32"/>
  <c r="B1431" i="32" s="1"/>
  <c r="A1429" i="32"/>
  <c r="B1429" i="32" s="1"/>
  <c r="A1430" i="32"/>
  <c r="B1430" i="32" s="1"/>
  <c r="D1517" i="32"/>
  <c r="A1498" i="32"/>
  <c r="B1498" i="32" s="1"/>
  <c r="A1476" i="32"/>
  <c r="B1476" i="32" s="1"/>
  <c r="D1495" i="32"/>
  <c r="A1503" i="32"/>
  <c r="B1503" i="32" s="1"/>
  <c r="D1522" i="32"/>
  <c r="A1471" i="32"/>
  <c r="B1471" i="32" s="1"/>
  <c r="D1490" i="32"/>
  <c r="K1413" i="32"/>
  <c r="H1395" i="32"/>
  <c r="I1395" i="32" s="1"/>
  <c r="A1472" i="32"/>
  <c r="B1472" i="32" s="1"/>
  <c r="D1491" i="32"/>
  <c r="K1429" i="32"/>
  <c r="H1411" i="32"/>
  <c r="K1674" i="32"/>
  <c r="H1656" i="32"/>
  <c r="I1656" i="32" s="1"/>
  <c r="H1397" i="32"/>
  <c r="I1397" i="32" s="1"/>
  <c r="H1391" i="32"/>
  <c r="I1391" i="32" s="1"/>
  <c r="H1390" i="32"/>
  <c r="I1390" i="32" s="1"/>
  <c r="H1392" i="32"/>
  <c r="I1392" i="32" s="1"/>
  <c r="I1393" i="32"/>
  <c r="H1403" i="32"/>
  <c r="I1403" i="32" s="1"/>
  <c r="K1421" i="32"/>
  <c r="D1520" i="32"/>
  <c r="A1501" i="32"/>
  <c r="B1501" i="32" s="1"/>
  <c r="D1496" i="32" l="1"/>
  <c r="A1477" i="32"/>
  <c r="B1477" i="32" s="1"/>
  <c r="D1514" i="32"/>
  <c r="A1495" i="32"/>
  <c r="B1495" i="32" s="1"/>
  <c r="A1448" i="32"/>
  <c r="B1448" i="32" s="1"/>
  <c r="B1451" i="32"/>
  <c r="A1449" i="32"/>
  <c r="B1449" i="32" s="1"/>
  <c r="A1450" i="32"/>
  <c r="B1450" i="32" s="1"/>
  <c r="A1456" i="32"/>
  <c r="B1456" i="32" s="1"/>
  <c r="A1470" i="32"/>
  <c r="D1489" i="32"/>
  <c r="K1443" i="32"/>
  <c r="H1425" i="32"/>
  <c r="I1425" i="32" s="1"/>
  <c r="K1692" i="32"/>
  <c r="H1674" i="32"/>
  <c r="I1674" i="32" s="1"/>
  <c r="K1672" i="32"/>
  <c r="H1654" i="32"/>
  <c r="I1654" i="32" s="1"/>
  <c r="K1509" i="32"/>
  <c r="H1491" i="32"/>
  <c r="I1491" i="32" s="1"/>
  <c r="D1500" i="32"/>
  <c r="A1481" i="32"/>
  <c r="B1481" i="32" s="1"/>
  <c r="H1429" i="32"/>
  <c r="K1447" i="32"/>
  <c r="A1517" i="32"/>
  <c r="B1517" i="32" s="1"/>
  <c r="D1536" i="32"/>
  <c r="A1497" i="32"/>
  <c r="B1497" i="32" s="1"/>
  <c r="D1516" i="32"/>
  <c r="A1520" i="32"/>
  <c r="B1520" i="32" s="1"/>
  <c r="D1539" i="32"/>
  <c r="D1510" i="32"/>
  <c r="A1491" i="32"/>
  <c r="B1491" i="32" s="1"/>
  <c r="K1434" i="32"/>
  <c r="H1416" i="32"/>
  <c r="I1416" i="32" s="1"/>
  <c r="A1492" i="32"/>
  <c r="B1492" i="32" s="1"/>
  <c r="D1511" i="32"/>
  <c r="A1512" i="32"/>
  <c r="B1512" i="32" s="1"/>
  <c r="D1531" i="32"/>
  <c r="K1658" i="32"/>
  <c r="H1640" i="32"/>
  <c r="I1640" i="32" s="1"/>
  <c r="D1504" i="32"/>
  <c r="A1485" i="32"/>
  <c r="B1485" i="32" s="1"/>
  <c r="H1413" i="32"/>
  <c r="I1413" i="32" s="1"/>
  <c r="K1431" i="32"/>
  <c r="H1418" i="32"/>
  <c r="I1418" i="32" s="1"/>
  <c r="K1436" i="32"/>
  <c r="D1502" i="32"/>
  <c r="A1483" i="32"/>
  <c r="B1483" i="32" s="1"/>
  <c r="D1575" i="32"/>
  <c r="A1556" i="32"/>
  <c r="B1556" i="32" s="1"/>
  <c r="H1423" i="32"/>
  <c r="I1423" i="32" s="1"/>
  <c r="K1441" i="32"/>
  <c r="H1415" i="32"/>
  <c r="I1415" i="32" s="1"/>
  <c r="I1411" i="32"/>
  <c r="H1410" i="32"/>
  <c r="I1410" i="32" s="1"/>
  <c r="H1409" i="32"/>
  <c r="I1409" i="32" s="1"/>
  <c r="H1408" i="32"/>
  <c r="I1408" i="32" s="1"/>
  <c r="K1439" i="32"/>
  <c r="H1421" i="32"/>
  <c r="I1421" i="32" s="1"/>
  <c r="K1684" i="32"/>
  <c r="H1666" i="32"/>
  <c r="I1666" i="32" s="1"/>
  <c r="A1490" i="32"/>
  <c r="B1490" i="32" s="1"/>
  <c r="D1509" i="32"/>
  <c r="K1448" i="32"/>
  <c r="H1430" i="32"/>
  <c r="I1430" i="32" s="1"/>
  <c r="D1541" i="32"/>
  <c r="A1522" i="32"/>
  <c r="B1522" i="32" s="1"/>
  <c r="H1417" i="32"/>
  <c r="I1417" i="32" s="1"/>
  <c r="K1435" i="32"/>
  <c r="D1594" i="32" l="1"/>
  <c r="A1575" i="32"/>
  <c r="B1575" i="32" s="1"/>
  <c r="K1702" i="32"/>
  <c r="H1684" i="32"/>
  <c r="I1684" i="32" s="1"/>
  <c r="H1447" i="32"/>
  <c r="K1465" i="32"/>
  <c r="A1489" i="32"/>
  <c r="D1508" i="32"/>
  <c r="D1521" i="32"/>
  <c r="A1502" i="32"/>
  <c r="B1502" i="32" s="1"/>
  <c r="K1461" i="32"/>
  <c r="H1443" i="32"/>
  <c r="I1443" i="32" s="1"/>
  <c r="A1511" i="32"/>
  <c r="B1511" i="32" s="1"/>
  <c r="D1530" i="32"/>
  <c r="B1470" i="32"/>
  <c r="A1467" i="32"/>
  <c r="B1467" i="32" s="1"/>
  <c r="A1475" i="32"/>
  <c r="B1475" i="32" s="1"/>
  <c r="A1468" i="32"/>
  <c r="B1468" i="32" s="1"/>
  <c r="A1469" i="32"/>
  <c r="B1469" i="32" s="1"/>
  <c r="K1452" i="32"/>
  <c r="H1434" i="32"/>
  <c r="I1434" i="32" s="1"/>
  <c r="H1509" i="32"/>
  <c r="I1509" i="32" s="1"/>
  <c r="K1527" i="32"/>
  <c r="D1560" i="32"/>
  <c r="A1541" i="32"/>
  <c r="B1541" i="32" s="1"/>
  <c r="A1514" i="32"/>
  <c r="B1514" i="32" s="1"/>
  <c r="D1533" i="32"/>
  <c r="D1528" i="32"/>
  <c r="A1509" i="32"/>
  <c r="B1509" i="32" s="1"/>
  <c r="K1676" i="32"/>
  <c r="H1658" i="32"/>
  <c r="I1658" i="32" s="1"/>
  <c r="H1692" i="32"/>
  <c r="I1692" i="32" s="1"/>
  <c r="K1710" i="32"/>
  <c r="H1427" i="32"/>
  <c r="I1427" i="32" s="1"/>
  <c r="H1428" i="32"/>
  <c r="I1428" i="32" s="1"/>
  <c r="H1433" i="32"/>
  <c r="I1433" i="32" s="1"/>
  <c r="H1426" i="32"/>
  <c r="I1426" i="32" s="1"/>
  <c r="I1429" i="32"/>
  <c r="H1439" i="32"/>
  <c r="I1439" i="32" s="1"/>
  <c r="K1457" i="32"/>
  <c r="K1454" i="32"/>
  <c r="H1436" i="32"/>
  <c r="I1436" i="32" s="1"/>
  <c r="H1435" i="32"/>
  <c r="I1435" i="32" s="1"/>
  <c r="K1453" i="32"/>
  <c r="D1519" i="32"/>
  <c r="A1500" i="32"/>
  <c r="B1500" i="32" s="1"/>
  <c r="H1431" i="32"/>
  <c r="I1431" i="32" s="1"/>
  <c r="K1449" i="32"/>
  <c r="A1510" i="32"/>
  <c r="B1510" i="32" s="1"/>
  <c r="D1529" i="32"/>
  <c r="A1539" i="32"/>
  <c r="B1539" i="32" s="1"/>
  <c r="D1558" i="32"/>
  <c r="D1523" i="32"/>
  <c r="A1504" i="32"/>
  <c r="B1504" i="32" s="1"/>
  <c r="H1672" i="32"/>
  <c r="I1672" i="32" s="1"/>
  <c r="K1690" i="32"/>
  <c r="K1466" i="32"/>
  <c r="H1448" i="32"/>
  <c r="I1448" i="32" s="1"/>
  <c r="K1459" i="32"/>
  <c r="H1441" i="32"/>
  <c r="I1441" i="32" s="1"/>
  <c r="D1535" i="32"/>
  <c r="A1516" i="32"/>
  <c r="B1516" i="32" s="1"/>
  <c r="A1531" i="32"/>
  <c r="B1531" i="32" s="1"/>
  <c r="D1550" i="32"/>
  <c r="A1536" i="32"/>
  <c r="B1536" i="32" s="1"/>
  <c r="D1555" i="32"/>
  <c r="A1496" i="32"/>
  <c r="B1496" i="32" s="1"/>
  <c r="D1515" i="32"/>
  <c r="H1690" i="32" l="1"/>
  <c r="I1690" i="32" s="1"/>
  <c r="K1708" i="32"/>
  <c r="A1508" i="32"/>
  <c r="D1527" i="32"/>
  <c r="H1449" i="32"/>
  <c r="I1449" i="32" s="1"/>
  <c r="K1467" i="32"/>
  <c r="A1560" i="32"/>
  <c r="B1560" i="32" s="1"/>
  <c r="D1579" i="32"/>
  <c r="H1461" i="32"/>
  <c r="I1461" i="32" s="1"/>
  <c r="K1479" i="32"/>
  <c r="K1484" i="32"/>
  <c r="H1466" i="32"/>
  <c r="I1466" i="32" s="1"/>
  <c r="K1728" i="32"/>
  <c r="H1710" i="32"/>
  <c r="I1710" i="32" s="1"/>
  <c r="A1521" i="32"/>
  <c r="B1521" i="32" s="1"/>
  <c r="D1540" i="32"/>
  <c r="D1534" i="32"/>
  <c r="A1515" i="32"/>
  <c r="B1515" i="32" s="1"/>
  <c r="K1471" i="32"/>
  <c r="H1453" i="32"/>
  <c r="I1453" i="32" s="1"/>
  <c r="K1470" i="32"/>
  <c r="H1452" i="32"/>
  <c r="I1452" i="32" s="1"/>
  <c r="B1489" i="32"/>
  <c r="A1486" i="32"/>
  <c r="B1486" i="32" s="1"/>
  <c r="A1488" i="32"/>
  <c r="B1488" i="32" s="1"/>
  <c r="A1494" i="32"/>
  <c r="B1494" i="32" s="1"/>
  <c r="A1487" i="32"/>
  <c r="B1487" i="32" s="1"/>
  <c r="A1555" i="32"/>
  <c r="B1555" i="32" s="1"/>
  <c r="D1574" i="32"/>
  <c r="K1694" i="32"/>
  <c r="H1676" i="32"/>
  <c r="I1676" i="32" s="1"/>
  <c r="K1483" i="32"/>
  <c r="H1465" i="32"/>
  <c r="A1523" i="32"/>
  <c r="B1523" i="32" s="1"/>
  <c r="D1542" i="32"/>
  <c r="K1472" i="32"/>
  <c r="H1454" i="32"/>
  <c r="I1454" i="32" s="1"/>
  <c r="H1446" i="32"/>
  <c r="I1446" i="32" s="1"/>
  <c r="I1447" i="32"/>
  <c r="H1444" i="32"/>
  <c r="I1444" i="32" s="1"/>
  <c r="H1451" i="32"/>
  <c r="I1451" i="32" s="1"/>
  <c r="H1445" i="32"/>
  <c r="I1445" i="32" s="1"/>
  <c r="D1569" i="32"/>
  <c r="A1550" i="32"/>
  <c r="B1550" i="32" s="1"/>
  <c r="A1558" i="32"/>
  <c r="B1558" i="32" s="1"/>
  <c r="D1577" i="32"/>
  <c r="K1475" i="32"/>
  <c r="H1457" i="32"/>
  <c r="I1457" i="32" s="1"/>
  <c r="D1547" i="32"/>
  <c r="A1528" i="32"/>
  <c r="B1528" i="32" s="1"/>
  <c r="A1529" i="32"/>
  <c r="B1529" i="32" s="1"/>
  <c r="D1548" i="32"/>
  <c r="D1549" i="32"/>
  <c r="A1530" i="32"/>
  <c r="B1530" i="32" s="1"/>
  <c r="K1477" i="32"/>
  <c r="H1459" i="32"/>
  <c r="I1459" i="32" s="1"/>
  <c r="H1527" i="32"/>
  <c r="I1527" i="32" s="1"/>
  <c r="K1545" i="32"/>
  <c r="D1538" i="32"/>
  <c r="A1519" i="32"/>
  <c r="B1519" i="32" s="1"/>
  <c r="A1533" i="32"/>
  <c r="B1533" i="32" s="1"/>
  <c r="D1552" i="32"/>
  <c r="K1720" i="32"/>
  <c r="H1702" i="32"/>
  <c r="I1702" i="32" s="1"/>
  <c r="D1554" i="32"/>
  <c r="A1535" i="32"/>
  <c r="B1535" i="32" s="1"/>
  <c r="A1594" i="32"/>
  <c r="B1594" i="32" s="1"/>
  <c r="D1613" i="32"/>
  <c r="K1493" i="32" l="1"/>
  <c r="H1475" i="32"/>
  <c r="I1475" i="32" s="1"/>
  <c r="A1542" i="32"/>
  <c r="B1542" i="32" s="1"/>
  <c r="D1561" i="32"/>
  <c r="K1502" i="32"/>
  <c r="H1484" i="32"/>
  <c r="I1484" i="32" s="1"/>
  <c r="H1545" i="32"/>
  <c r="I1545" i="32" s="1"/>
  <c r="K1563" i="32"/>
  <c r="D1596" i="32"/>
  <c r="A1577" i="32"/>
  <c r="B1577" i="32" s="1"/>
  <c r="K1497" i="32"/>
  <c r="H1479" i="32"/>
  <c r="I1479" i="32" s="1"/>
  <c r="K1488" i="32"/>
  <c r="H1470" i="32"/>
  <c r="I1470" i="32" s="1"/>
  <c r="A1613" i="32"/>
  <c r="B1613" i="32" s="1"/>
  <c r="D1632" i="32"/>
  <c r="K1501" i="32"/>
  <c r="H1483" i="32"/>
  <c r="D1573" i="32"/>
  <c r="A1554" i="32"/>
  <c r="B1554" i="32" s="1"/>
  <c r="D1568" i="32"/>
  <c r="A1549" i="32"/>
  <c r="B1549" i="32" s="1"/>
  <c r="D1593" i="32"/>
  <c r="A1574" i="32"/>
  <c r="B1574" i="32" s="1"/>
  <c r="A1534" i="32"/>
  <c r="B1534" i="32" s="1"/>
  <c r="D1553" i="32"/>
  <c r="D1546" i="32"/>
  <c r="A1527" i="32"/>
  <c r="H1720" i="32"/>
  <c r="I1720" i="32" s="1"/>
  <c r="K1738" i="32"/>
  <c r="H1738" i="32" s="1"/>
  <c r="I1738" i="32" s="1"/>
  <c r="K1490" i="32"/>
  <c r="H1472" i="32"/>
  <c r="I1472" i="32" s="1"/>
  <c r="D1557" i="32"/>
  <c r="A1538" i="32"/>
  <c r="B1538" i="32" s="1"/>
  <c r="H1462" i="32"/>
  <c r="I1462" i="32" s="1"/>
  <c r="H1469" i="32"/>
  <c r="I1469" i="32" s="1"/>
  <c r="I1465" i="32"/>
  <c r="H1463" i="32"/>
  <c r="I1463" i="32" s="1"/>
  <c r="H1464" i="32"/>
  <c r="I1464" i="32" s="1"/>
  <c r="D1598" i="32"/>
  <c r="A1579" i="32"/>
  <c r="B1579" i="32" s="1"/>
  <c r="H1477" i="32"/>
  <c r="I1477" i="32" s="1"/>
  <c r="K1495" i="32"/>
  <c r="A1569" i="32"/>
  <c r="B1569" i="32" s="1"/>
  <c r="D1588" i="32"/>
  <c r="H1471" i="32"/>
  <c r="I1471" i="32" s="1"/>
  <c r="K1489" i="32"/>
  <c r="H1694" i="32"/>
  <c r="I1694" i="32" s="1"/>
  <c r="K1712" i="32"/>
  <c r="H1467" i="32"/>
  <c r="I1467" i="32" s="1"/>
  <c r="K1485" i="32"/>
  <c r="A1548" i="32"/>
  <c r="B1548" i="32" s="1"/>
  <c r="D1567" i="32"/>
  <c r="A1540" i="32"/>
  <c r="B1540" i="32" s="1"/>
  <c r="D1559" i="32"/>
  <c r="A1505" i="32"/>
  <c r="B1505" i="32" s="1"/>
  <c r="A1513" i="32"/>
  <c r="B1513" i="32" s="1"/>
  <c r="B1508" i="32"/>
  <c r="A1506" i="32"/>
  <c r="B1506" i="32" s="1"/>
  <c r="A1507" i="32"/>
  <c r="B1507" i="32" s="1"/>
  <c r="D1571" i="32"/>
  <c r="A1552" i="32"/>
  <c r="B1552" i="32" s="1"/>
  <c r="H1708" i="32"/>
  <c r="I1708" i="32" s="1"/>
  <c r="K1726" i="32"/>
  <c r="A1547" i="32"/>
  <c r="B1547" i="32" s="1"/>
  <c r="D1566" i="32"/>
  <c r="K1746" i="32"/>
  <c r="H1746" i="32" s="1"/>
  <c r="I1746" i="32" s="1"/>
  <c r="H1728" i="32"/>
  <c r="I1728" i="32" s="1"/>
  <c r="K1507" i="32" l="1"/>
  <c r="H1489" i="32"/>
  <c r="I1489" i="32" s="1"/>
  <c r="A1588" i="32"/>
  <c r="B1588" i="32" s="1"/>
  <c r="D1607" i="32"/>
  <c r="D1587" i="32"/>
  <c r="A1568" i="32"/>
  <c r="B1568" i="32" s="1"/>
  <c r="H1480" i="32"/>
  <c r="I1480" i="32" s="1"/>
  <c r="H1481" i="32"/>
  <c r="I1481" i="32" s="1"/>
  <c r="H1482" i="32"/>
  <c r="I1482" i="32" s="1"/>
  <c r="H1487" i="32"/>
  <c r="I1487" i="32" s="1"/>
  <c r="I1483" i="32"/>
  <c r="D1586" i="32"/>
  <c r="A1567" i="32"/>
  <c r="B1567" i="32" s="1"/>
  <c r="K1744" i="32"/>
  <c r="H1744" i="32" s="1"/>
  <c r="I1744" i="32" s="1"/>
  <c r="H1726" i="32"/>
  <c r="I1726" i="32" s="1"/>
  <c r="K1515" i="32"/>
  <c r="H1497" i="32"/>
  <c r="I1497" i="32" s="1"/>
  <c r="D1576" i="32"/>
  <c r="A1557" i="32"/>
  <c r="B1557" i="32" s="1"/>
  <c r="D1615" i="32"/>
  <c r="A1596" i="32"/>
  <c r="B1596" i="32" s="1"/>
  <c r="H1563" i="32"/>
  <c r="I1563" i="32" s="1"/>
  <c r="K1581" i="32"/>
  <c r="H1495" i="32"/>
  <c r="I1495" i="32" s="1"/>
  <c r="K1513" i="32"/>
  <c r="K1508" i="32"/>
  <c r="H1490" i="32"/>
  <c r="I1490" i="32" s="1"/>
  <c r="A1573" i="32"/>
  <c r="B1573" i="32" s="1"/>
  <c r="D1592" i="32"/>
  <c r="D1585" i="32"/>
  <c r="A1566" i="32"/>
  <c r="B1566" i="32" s="1"/>
  <c r="H1501" i="32"/>
  <c r="K1519" i="32"/>
  <c r="K1520" i="32"/>
  <c r="H1502" i="32"/>
  <c r="I1502" i="32" s="1"/>
  <c r="D1617" i="32"/>
  <c r="A1598" i="32"/>
  <c r="B1598" i="32" s="1"/>
  <c r="A1593" i="32"/>
  <c r="B1593" i="32" s="1"/>
  <c r="D1612" i="32"/>
  <c r="A1559" i="32"/>
  <c r="B1559" i="32" s="1"/>
  <c r="D1578" i="32"/>
  <c r="A1524" i="32"/>
  <c r="B1524" i="32" s="1"/>
  <c r="B1527" i="32"/>
  <c r="A1525" i="32"/>
  <c r="B1525" i="32" s="1"/>
  <c r="A1532" i="32"/>
  <c r="B1532" i="32" s="1"/>
  <c r="A1526" i="32"/>
  <c r="B1526" i="32" s="1"/>
  <c r="A1632" i="32"/>
  <c r="B1632" i="32" s="1"/>
  <c r="D1651" i="32"/>
  <c r="D1580" i="32"/>
  <c r="A1561" i="32"/>
  <c r="B1561" i="32" s="1"/>
  <c r="K1503" i="32"/>
  <c r="H1485" i="32"/>
  <c r="I1485" i="32" s="1"/>
  <c r="A1546" i="32"/>
  <c r="D1565" i="32"/>
  <c r="D1572" i="32"/>
  <c r="A1553" i="32"/>
  <c r="B1553" i="32" s="1"/>
  <c r="D1590" i="32"/>
  <c r="A1571" i="32"/>
  <c r="B1571" i="32" s="1"/>
  <c r="H1712" i="32"/>
  <c r="I1712" i="32" s="1"/>
  <c r="K1730" i="32"/>
  <c r="K1506" i="32"/>
  <c r="H1488" i="32"/>
  <c r="I1488" i="32" s="1"/>
  <c r="H1493" i="32"/>
  <c r="I1493" i="32" s="1"/>
  <c r="K1511" i="32"/>
  <c r="A1651" i="32" l="1"/>
  <c r="B1651" i="32" s="1"/>
  <c r="D1670" i="32"/>
  <c r="K1538" i="32"/>
  <c r="H1520" i="32"/>
  <c r="I1520" i="32" s="1"/>
  <c r="D1609" i="32"/>
  <c r="A1590" i="32"/>
  <c r="B1590" i="32" s="1"/>
  <c r="H1519" i="32"/>
  <c r="K1537" i="32"/>
  <c r="A1615" i="32"/>
  <c r="B1615" i="32" s="1"/>
  <c r="D1634" i="32"/>
  <c r="D1591" i="32"/>
  <c r="A1572" i="32"/>
  <c r="B1572" i="32" s="1"/>
  <c r="A1565" i="32"/>
  <c r="D1584" i="32"/>
  <c r="K1748" i="32"/>
  <c r="H1748" i="32" s="1"/>
  <c r="I1748" i="32" s="1"/>
  <c r="H1730" i="32"/>
  <c r="I1730" i="32" s="1"/>
  <c r="A1617" i="32"/>
  <c r="B1617" i="32" s="1"/>
  <c r="D1636" i="32"/>
  <c r="D1605" i="32"/>
  <c r="A1586" i="32"/>
  <c r="B1586" i="32" s="1"/>
  <c r="K1599" i="32"/>
  <c r="H1581" i="32"/>
  <c r="I1581" i="32" s="1"/>
  <c r="A1545" i="32"/>
  <c r="B1545" i="32" s="1"/>
  <c r="A1544" i="32"/>
  <c r="B1544" i="32" s="1"/>
  <c r="A1551" i="32"/>
  <c r="B1551" i="32" s="1"/>
  <c r="B1546" i="32"/>
  <c r="A1543" i="32"/>
  <c r="B1543" i="32" s="1"/>
  <c r="D1597" i="32"/>
  <c r="A1578" i="32"/>
  <c r="B1578" i="32" s="1"/>
  <c r="D1611" i="32"/>
  <c r="A1592" i="32"/>
  <c r="B1592" i="32" s="1"/>
  <c r="H1515" i="32"/>
  <c r="I1515" i="32" s="1"/>
  <c r="K1533" i="32"/>
  <c r="I1501" i="32"/>
  <c r="H1498" i="32"/>
  <c r="I1498" i="32" s="1"/>
  <c r="H1505" i="32"/>
  <c r="I1505" i="32" s="1"/>
  <c r="H1500" i="32"/>
  <c r="I1500" i="32" s="1"/>
  <c r="H1499" i="32"/>
  <c r="I1499" i="32" s="1"/>
  <c r="A1585" i="32"/>
  <c r="B1585" i="32" s="1"/>
  <c r="D1604" i="32"/>
  <c r="D1595" i="32"/>
  <c r="A1576" i="32"/>
  <c r="B1576" i="32" s="1"/>
  <c r="D1606" i="32"/>
  <c r="A1587" i="32"/>
  <c r="B1587" i="32" s="1"/>
  <c r="K1529" i="32"/>
  <c r="H1511" i="32"/>
  <c r="I1511" i="32" s="1"/>
  <c r="D1626" i="32"/>
  <c r="A1607" i="32"/>
  <c r="B1607" i="32" s="1"/>
  <c r="H1503" i="32"/>
  <c r="I1503" i="32" s="1"/>
  <c r="K1521" i="32"/>
  <c r="A1612" i="32"/>
  <c r="B1612" i="32" s="1"/>
  <c r="D1631" i="32"/>
  <c r="K1526" i="32"/>
  <c r="H1508" i="32"/>
  <c r="I1508" i="32" s="1"/>
  <c r="K1524" i="32"/>
  <c r="H1506" i="32"/>
  <c r="I1506" i="32" s="1"/>
  <c r="D1599" i="32"/>
  <c r="A1580" i="32"/>
  <c r="B1580" i="32" s="1"/>
  <c r="K1531" i="32"/>
  <c r="H1513" i="32"/>
  <c r="I1513" i="32" s="1"/>
  <c r="K1525" i="32"/>
  <c r="H1507" i="32"/>
  <c r="I1507" i="32" s="1"/>
  <c r="K1549" i="32" l="1"/>
  <c r="H1531" i="32"/>
  <c r="I1531" i="32" s="1"/>
  <c r="D1618" i="32"/>
  <c r="A1599" i="32"/>
  <c r="B1599" i="32" s="1"/>
  <c r="H1533" i="32"/>
  <c r="I1533" i="32" s="1"/>
  <c r="K1551" i="32"/>
  <c r="H1599" i="32"/>
  <c r="I1599" i="32" s="1"/>
  <c r="K1617" i="32"/>
  <c r="K1555" i="32"/>
  <c r="H1537" i="32"/>
  <c r="K1542" i="32"/>
  <c r="H1524" i="32"/>
  <c r="I1524" i="32" s="1"/>
  <c r="A1605" i="32"/>
  <c r="B1605" i="32" s="1"/>
  <c r="D1624" i="32"/>
  <c r="A1595" i="32"/>
  <c r="B1595" i="32" s="1"/>
  <c r="D1614" i="32"/>
  <c r="A1631" i="32"/>
  <c r="B1631" i="32" s="1"/>
  <c r="D1650" i="32"/>
  <c r="A1670" i="32"/>
  <c r="B1670" i="32" s="1"/>
  <c r="D1689" i="32"/>
  <c r="A1626" i="32"/>
  <c r="B1626" i="32" s="1"/>
  <c r="D1645" i="32"/>
  <c r="D1610" i="32"/>
  <c r="A1591" i="32"/>
  <c r="B1591" i="32" s="1"/>
  <c r="A1634" i="32"/>
  <c r="B1634" i="32" s="1"/>
  <c r="D1653" i="32"/>
  <c r="K1547" i="32"/>
  <c r="H1529" i="32"/>
  <c r="I1529" i="32" s="1"/>
  <c r="A1606" i="32"/>
  <c r="B1606" i="32" s="1"/>
  <c r="D1625" i="32"/>
  <c r="H1516" i="32"/>
  <c r="I1516" i="32" s="1"/>
  <c r="H1518" i="32"/>
  <c r="I1518" i="32" s="1"/>
  <c r="H1523" i="32"/>
  <c r="I1523" i="32" s="1"/>
  <c r="H1517" i="32"/>
  <c r="I1517" i="32" s="1"/>
  <c r="I1519" i="32"/>
  <c r="A1611" i="32"/>
  <c r="B1611" i="32" s="1"/>
  <c r="D1630" i="32"/>
  <c r="A1636" i="32"/>
  <c r="B1636" i="32" s="1"/>
  <c r="D1655" i="32"/>
  <c r="K1544" i="32"/>
  <c r="H1526" i="32"/>
  <c r="I1526" i="32" s="1"/>
  <c r="A1609" i="32"/>
  <c r="B1609" i="32" s="1"/>
  <c r="D1628" i="32"/>
  <c r="D1623" i="32"/>
  <c r="A1604" i="32"/>
  <c r="B1604" i="32" s="1"/>
  <c r="A1597" i="32"/>
  <c r="B1597" i="32" s="1"/>
  <c r="D1616" i="32"/>
  <c r="K1556" i="32"/>
  <c r="H1538" i="32"/>
  <c r="I1538" i="32" s="1"/>
  <c r="H1521" i="32"/>
  <c r="I1521" i="32" s="1"/>
  <c r="K1539" i="32"/>
  <c r="D1603" i="32"/>
  <c r="A1584" i="32"/>
  <c r="K1543" i="32"/>
  <c r="H1525" i="32"/>
  <c r="I1525" i="32" s="1"/>
  <c r="A1562" i="32"/>
  <c r="B1562" i="32" s="1"/>
  <c r="A1570" i="32"/>
  <c r="B1570" i="32" s="1"/>
  <c r="A1563" i="32"/>
  <c r="B1563" i="32" s="1"/>
  <c r="B1565" i="32"/>
  <c r="A1564" i="32"/>
  <c r="B1564" i="32" s="1"/>
  <c r="D1649" i="32" l="1"/>
  <c r="A1630" i="32"/>
  <c r="B1630" i="32" s="1"/>
  <c r="K1567" i="32"/>
  <c r="H1549" i="32"/>
  <c r="I1549" i="32" s="1"/>
  <c r="K1574" i="32"/>
  <c r="H1556" i="32"/>
  <c r="I1556" i="32" s="1"/>
  <c r="H1541" i="32"/>
  <c r="I1541" i="32" s="1"/>
  <c r="H1535" i="32"/>
  <c r="I1535" i="32" s="1"/>
  <c r="H1536" i="32"/>
  <c r="I1536" i="32" s="1"/>
  <c r="H1534" i="32"/>
  <c r="I1534" i="32" s="1"/>
  <c r="I1537" i="32"/>
  <c r="B1584" i="32"/>
  <c r="A1582" i="32"/>
  <c r="B1582" i="32" s="1"/>
  <c r="A1583" i="32"/>
  <c r="B1583" i="32" s="1"/>
  <c r="A1581" i="32"/>
  <c r="B1581" i="32" s="1"/>
  <c r="A1589" i="32"/>
  <c r="B1589" i="32" s="1"/>
  <c r="D1635" i="32"/>
  <c r="A1616" i="32"/>
  <c r="B1616" i="32" s="1"/>
  <c r="D1629" i="32"/>
  <c r="A1610" i="32"/>
  <c r="B1610" i="32" s="1"/>
  <c r="K1560" i="32"/>
  <c r="H1542" i="32"/>
  <c r="I1542" i="32" s="1"/>
  <c r="A1645" i="32"/>
  <c r="B1645" i="32" s="1"/>
  <c r="D1664" i="32"/>
  <c r="H1555" i="32"/>
  <c r="K1573" i="32"/>
  <c r="D1642" i="32"/>
  <c r="A1623" i="32"/>
  <c r="B1623" i="32" s="1"/>
  <c r="A1689" i="32"/>
  <c r="B1689" i="32" s="1"/>
  <c r="D1708" i="32"/>
  <c r="K1635" i="32"/>
  <c r="H1617" i="32"/>
  <c r="I1617" i="32" s="1"/>
  <c r="D1647" i="32"/>
  <c r="A1628" i="32"/>
  <c r="B1628" i="32" s="1"/>
  <c r="K1561" i="32"/>
  <c r="H1543" i="32"/>
  <c r="I1543" i="32" s="1"/>
  <c r="A1625" i="32"/>
  <c r="B1625" i="32" s="1"/>
  <c r="D1644" i="32"/>
  <c r="A1650" i="32"/>
  <c r="B1650" i="32" s="1"/>
  <c r="D1669" i="32"/>
  <c r="H1551" i="32"/>
  <c r="I1551" i="32" s="1"/>
  <c r="K1569" i="32"/>
  <c r="A1603" i="32"/>
  <c r="D1622" i="32"/>
  <c r="K1562" i="32"/>
  <c r="H1544" i="32"/>
  <c r="I1544" i="32" s="1"/>
  <c r="D1633" i="32"/>
  <c r="A1614" i="32"/>
  <c r="B1614" i="32" s="1"/>
  <c r="H1539" i="32"/>
  <c r="I1539" i="32" s="1"/>
  <c r="K1557" i="32"/>
  <c r="A1655" i="32"/>
  <c r="B1655" i="32" s="1"/>
  <c r="D1674" i="32"/>
  <c r="H1547" i="32"/>
  <c r="I1547" i="32" s="1"/>
  <c r="K1565" i="32"/>
  <c r="D1637" i="32"/>
  <c r="A1618" i="32"/>
  <c r="B1618" i="32" s="1"/>
  <c r="A1653" i="32"/>
  <c r="B1653" i="32" s="1"/>
  <c r="D1672" i="32"/>
  <c r="D1643" i="32"/>
  <c r="A1624" i="32"/>
  <c r="B1624" i="32" s="1"/>
  <c r="D1691" i="32" l="1"/>
  <c r="A1672" i="32"/>
  <c r="B1672" i="32" s="1"/>
  <c r="K1580" i="32"/>
  <c r="H1562" i="32"/>
  <c r="I1562" i="32" s="1"/>
  <c r="K1578" i="32"/>
  <c r="H1560" i="32"/>
  <c r="I1560" i="32" s="1"/>
  <c r="D1641" i="32"/>
  <c r="A1622" i="32"/>
  <c r="A1637" i="32"/>
  <c r="B1637" i="32" s="1"/>
  <c r="D1656" i="32"/>
  <c r="K1587" i="32"/>
  <c r="H1569" i="32"/>
  <c r="I1569" i="32" s="1"/>
  <c r="A1642" i="32"/>
  <c r="B1642" i="32" s="1"/>
  <c r="D1661" i="32"/>
  <c r="K1585" i="32"/>
  <c r="H1567" i="32"/>
  <c r="I1567" i="32" s="1"/>
  <c r="H1557" i="32"/>
  <c r="I1557" i="32" s="1"/>
  <c r="K1575" i="32"/>
  <c r="A1644" i="32"/>
  <c r="B1644" i="32" s="1"/>
  <c r="D1663" i="32"/>
  <c r="K1591" i="32"/>
  <c r="H1573" i="32"/>
  <c r="A1664" i="32"/>
  <c r="B1664" i="32" s="1"/>
  <c r="D1683" i="32"/>
  <c r="A1643" i="32"/>
  <c r="B1643" i="32" s="1"/>
  <c r="D1662" i="32"/>
  <c r="A1633" i="32"/>
  <c r="B1633" i="32" s="1"/>
  <c r="D1652" i="32"/>
  <c r="K1579" i="32"/>
  <c r="H1561" i="32"/>
  <c r="I1561" i="32" s="1"/>
  <c r="A1647" i="32"/>
  <c r="B1647" i="32" s="1"/>
  <c r="D1666" i="32"/>
  <c r="A1602" i="32"/>
  <c r="B1602" i="32" s="1"/>
  <c r="A1601" i="32"/>
  <c r="B1601" i="32" s="1"/>
  <c r="A1608" i="32"/>
  <c r="B1608" i="32" s="1"/>
  <c r="A1600" i="32"/>
  <c r="B1600" i="32" s="1"/>
  <c r="B1603" i="32"/>
  <c r="H1635" i="32"/>
  <c r="I1635" i="32" s="1"/>
  <c r="K1653" i="32"/>
  <c r="A1629" i="32"/>
  <c r="B1629" i="32" s="1"/>
  <c r="D1648" i="32"/>
  <c r="K1583" i="32"/>
  <c r="H1565" i="32"/>
  <c r="I1565" i="32" s="1"/>
  <c r="D1727" i="32"/>
  <c r="A1708" i="32"/>
  <c r="B1708" i="32" s="1"/>
  <c r="A1635" i="32"/>
  <c r="B1635" i="32" s="1"/>
  <c r="D1654" i="32"/>
  <c r="K1592" i="32"/>
  <c r="H1574" i="32"/>
  <c r="I1574" i="32" s="1"/>
  <c r="D1693" i="32"/>
  <c r="A1674" i="32"/>
  <c r="B1674" i="32" s="1"/>
  <c r="A1669" i="32"/>
  <c r="B1669" i="32" s="1"/>
  <c r="D1688" i="32"/>
  <c r="H1552" i="32"/>
  <c r="I1552" i="32" s="1"/>
  <c r="H1559" i="32"/>
  <c r="I1559" i="32" s="1"/>
  <c r="H1554" i="32"/>
  <c r="I1554" i="32" s="1"/>
  <c r="H1553" i="32"/>
  <c r="I1553" i="32" s="1"/>
  <c r="I1555" i="32"/>
  <c r="A1649" i="32"/>
  <c r="B1649" i="32" s="1"/>
  <c r="D1668" i="32"/>
  <c r="D1687" i="32" l="1"/>
  <c r="A1668" i="32"/>
  <c r="B1668" i="32" s="1"/>
  <c r="K1610" i="32"/>
  <c r="H1592" i="32"/>
  <c r="I1592" i="32" s="1"/>
  <c r="A1683" i="32"/>
  <c r="B1683" i="32" s="1"/>
  <c r="D1702" i="32"/>
  <c r="A1654" i="32"/>
  <c r="B1654" i="32" s="1"/>
  <c r="D1673" i="32"/>
  <c r="H1587" i="32"/>
  <c r="I1587" i="32" s="1"/>
  <c r="K1605" i="32"/>
  <c r="B1622" i="32"/>
  <c r="A1619" i="32"/>
  <c r="B1619" i="32" s="1"/>
  <c r="A1620" i="32"/>
  <c r="B1620" i="32" s="1"/>
  <c r="A1627" i="32"/>
  <c r="B1627" i="32" s="1"/>
  <c r="A1621" i="32"/>
  <c r="B1621" i="32" s="1"/>
  <c r="A1641" i="32"/>
  <c r="D1660" i="32"/>
  <c r="A1688" i="32"/>
  <c r="B1688" i="32" s="1"/>
  <c r="D1707" i="32"/>
  <c r="D1667" i="32"/>
  <c r="A1648" i="32"/>
  <c r="B1648" i="32" s="1"/>
  <c r="K1597" i="32"/>
  <c r="H1579" i="32"/>
  <c r="I1579" i="32" s="1"/>
  <c r="K1596" i="32"/>
  <c r="H1578" i="32"/>
  <c r="I1578" i="32" s="1"/>
  <c r="H1653" i="32"/>
  <c r="I1653" i="32" s="1"/>
  <c r="K1671" i="32"/>
  <c r="K1598" i="32"/>
  <c r="H1580" i="32"/>
  <c r="I1580" i="32" s="1"/>
  <c r="H1572" i="32"/>
  <c r="I1572" i="32" s="1"/>
  <c r="H1571" i="32"/>
  <c r="I1571" i="32" s="1"/>
  <c r="H1577" i="32"/>
  <c r="I1577" i="32" s="1"/>
  <c r="I1573" i="32"/>
  <c r="H1570" i="32"/>
  <c r="I1570" i="32" s="1"/>
  <c r="A1656" i="32"/>
  <c r="B1656" i="32" s="1"/>
  <c r="D1675" i="32"/>
  <c r="H1591" i="32"/>
  <c r="K1609" i="32"/>
  <c r="A1727" i="32"/>
  <c r="B1727" i="32" s="1"/>
  <c r="D1746" i="32"/>
  <c r="A1666" i="32"/>
  <c r="B1666" i="32" s="1"/>
  <c r="D1685" i="32"/>
  <c r="A1663" i="32"/>
  <c r="B1663" i="32" s="1"/>
  <c r="D1682" i="32"/>
  <c r="H1583" i="32"/>
  <c r="I1583" i="32" s="1"/>
  <c r="K1601" i="32"/>
  <c r="H1575" i="32"/>
  <c r="I1575" i="32" s="1"/>
  <c r="K1593" i="32"/>
  <c r="A1652" i="32"/>
  <c r="B1652" i="32" s="1"/>
  <c r="D1671" i="32"/>
  <c r="K1603" i="32"/>
  <c r="H1585" i="32"/>
  <c r="I1585" i="32" s="1"/>
  <c r="A1693" i="32"/>
  <c r="B1693" i="32" s="1"/>
  <c r="D1712" i="32"/>
  <c r="D1681" i="32"/>
  <c r="A1662" i="32"/>
  <c r="B1662" i="32" s="1"/>
  <c r="A1661" i="32"/>
  <c r="B1661" i="32" s="1"/>
  <c r="D1680" i="32"/>
  <c r="A1691" i="32"/>
  <c r="B1691" i="32" s="1"/>
  <c r="D1710" i="32"/>
  <c r="D1729" i="32" l="1"/>
  <c r="A1710" i="32"/>
  <c r="B1710" i="32" s="1"/>
  <c r="A1675" i="32"/>
  <c r="B1675" i="32" s="1"/>
  <c r="D1694" i="32"/>
  <c r="K1614" i="32"/>
  <c r="H1596" i="32"/>
  <c r="I1596" i="32" s="1"/>
  <c r="D1699" i="32"/>
  <c r="A1680" i="32"/>
  <c r="B1680" i="32" s="1"/>
  <c r="K1623" i="32"/>
  <c r="H1605" i="32"/>
  <c r="I1605" i="32" s="1"/>
  <c r="A1673" i="32"/>
  <c r="B1673" i="32" s="1"/>
  <c r="D1692" i="32"/>
  <c r="A1707" i="32"/>
  <c r="B1707" i="32" s="1"/>
  <c r="D1726" i="32"/>
  <c r="A1685" i="32"/>
  <c r="B1685" i="32" s="1"/>
  <c r="D1704" i="32"/>
  <c r="D1721" i="32"/>
  <c r="A1702" i="32"/>
  <c r="B1702" i="32" s="1"/>
  <c r="H1601" i="32"/>
  <c r="I1601" i="32" s="1"/>
  <c r="K1619" i="32"/>
  <c r="K1615" i="32"/>
  <c r="H1597" i="32"/>
  <c r="I1597" i="32" s="1"/>
  <c r="D1701" i="32"/>
  <c r="A1682" i="32"/>
  <c r="B1682" i="32" s="1"/>
  <c r="D1679" i="32"/>
  <c r="A1660" i="32"/>
  <c r="D1765" i="32"/>
  <c r="A1746" i="32"/>
  <c r="B1746" i="32" s="1"/>
  <c r="K1616" i="32"/>
  <c r="H1598" i="32"/>
  <c r="I1598" i="32" s="1"/>
  <c r="K1611" i="32"/>
  <c r="H1593" i="32"/>
  <c r="I1593" i="32" s="1"/>
  <c r="A1667" i="32"/>
  <c r="B1667" i="32" s="1"/>
  <c r="D1686" i="32"/>
  <c r="A1681" i="32"/>
  <c r="B1681" i="32" s="1"/>
  <c r="D1700" i="32"/>
  <c r="A1712" i="32"/>
  <c r="B1712" i="32" s="1"/>
  <c r="D1731" i="32"/>
  <c r="A1639" i="32"/>
  <c r="B1639" i="32" s="1"/>
  <c r="A1640" i="32"/>
  <c r="B1640" i="32" s="1"/>
  <c r="B1641" i="32"/>
  <c r="A1638" i="32"/>
  <c r="B1638" i="32" s="1"/>
  <c r="A1646" i="32"/>
  <c r="B1646" i="32" s="1"/>
  <c r="H1603" i="32"/>
  <c r="I1603" i="32" s="1"/>
  <c r="K1621" i="32"/>
  <c r="K1689" i="32"/>
  <c r="H1671" i="32"/>
  <c r="I1671" i="32" s="1"/>
  <c r="K1628" i="32"/>
  <c r="H1610" i="32"/>
  <c r="I1610" i="32" s="1"/>
  <c r="A1671" i="32"/>
  <c r="B1671" i="32" s="1"/>
  <c r="D1690" i="32"/>
  <c r="K1627" i="32"/>
  <c r="H1609" i="32"/>
  <c r="H1595" i="32"/>
  <c r="I1595" i="32" s="1"/>
  <c r="H1588" i="32"/>
  <c r="I1588" i="32" s="1"/>
  <c r="H1590" i="32"/>
  <c r="I1590" i="32" s="1"/>
  <c r="H1589" i="32"/>
  <c r="I1589" i="32" s="1"/>
  <c r="I1591" i="32"/>
  <c r="A1687" i="32"/>
  <c r="B1687" i="32" s="1"/>
  <c r="D1706" i="32"/>
  <c r="D1725" i="32" l="1"/>
  <c r="A1706" i="32"/>
  <c r="B1706" i="32" s="1"/>
  <c r="H1689" i="32"/>
  <c r="I1689" i="32" s="1"/>
  <c r="K1707" i="32"/>
  <c r="K1639" i="32"/>
  <c r="H1621" i="32"/>
  <c r="I1621" i="32" s="1"/>
  <c r="K1633" i="32"/>
  <c r="H1615" i="32"/>
  <c r="I1615" i="32" s="1"/>
  <c r="H1623" i="32"/>
  <c r="I1623" i="32" s="1"/>
  <c r="K1641" i="32"/>
  <c r="K1637" i="32"/>
  <c r="H1619" i="32"/>
  <c r="I1619" i="32" s="1"/>
  <c r="K1629" i="32"/>
  <c r="H1611" i="32"/>
  <c r="I1611" i="32" s="1"/>
  <c r="A1699" i="32"/>
  <c r="B1699" i="32" s="1"/>
  <c r="D1718" i="32"/>
  <c r="H1608" i="32"/>
  <c r="I1608" i="32" s="1"/>
  <c r="H1613" i="32"/>
  <c r="I1613" i="32" s="1"/>
  <c r="H1607" i="32"/>
  <c r="I1607" i="32" s="1"/>
  <c r="H1606" i="32"/>
  <c r="I1606" i="32" s="1"/>
  <c r="I1609" i="32"/>
  <c r="K1634" i="32"/>
  <c r="H1616" i="32"/>
  <c r="I1616" i="32" s="1"/>
  <c r="A1721" i="32"/>
  <c r="B1721" i="32" s="1"/>
  <c r="D1740" i="32"/>
  <c r="K1632" i="32"/>
  <c r="H1614" i="32"/>
  <c r="I1614" i="32" s="1"/>
  <c r="K1645" i="32"/>
  <c r="H1627" i="32"/>
  <c r="A1704" i="32"/>
  <c r="B1704" i="32" s="1"/>
  <c r="D1723" i="32"/>
  <c r="A1694" i="32"/>
  <c r="B1694" i="32" s="1"/>
  <c r="D1713" i="32"/>
  <c r="A1690" i="32"/>
  <c r="B1690" i="32" s="1"/>
  <c r="D1709" i="32"/>
  <c r="A1765" i="32"/>
  <c r="B1765" i="32" s="1"/>
  <c r="D1784" i="32"/>
  <c r="K1646" i="32"/>
  <c r="H1628" i="32"/>
  <c r="I1628" i="32" s="1"/>
  <c r="A1700" i="32"/>
  <c r="B1700" i="32" s="1"/>
  <c r="D1719" i="32"/>
  <c r="A1692" i="32"/>
  <c r="B1692" i="32" s="1"/>
  <c r="D1711" i="32"/>
  <c r="A1731" i="32"/>
  <c r="B1731" i="32" s="1"/>
  <c r="D1750" i="32"/>
  <c r="A1701" i="32"/>
  <c r="B1701" i="32" s="1"/>
  <c r="D1720" i="32"/>
  <c r="D1705" i="32"/>
  <c r="A1686" i="32"/>
  <c r="B1686" i="32" s="1"/>
  <c r="A1665" i="32"/>
  <c r="B1665" i="32" s="1"/>
  <c r="A1659" i="32"/>
  <c r="B1659" i="32" s="1"/>
  <c r="A1657" i="32"/>
  <c r="B1657" i="32" s="1"/>
  <c r="A1658" i="32"/>
  <c r="B1658" i="32" s="1"/>
  <c r="B1660" i="32"/>
  <c r="A1726" i="32"/>
  <c r="B1726" i="32" s="1"/>
  <c r="D1745" i="32"/>
  <c r="A1679" i="32"/>
  <c r="D1698" i="32"/>
  <c r="A1729" i="32"/>
  <c r="B1729" i="32" s="1"/>
  <c r="D1748" i="32"/>
  <c r="A1677" i="32" l="1"/>
  <c r="B1677" i="32" s="1"/>
  <c r="B1679" i="32"/>
  <c r="A1684" i="32"/>
  <c r="B1684" i="32" s="1"/>
  <c r="A1678" i="32"/>
  <c r="B1678" i="32" s="1"/>
  <c r="A1676" i="32"/>
  <c r="B1676" i="32" s="1"/>
  <c r="A1745" i="32"/>
  <c r="B1745" i="32" s="1"/>
  <c r="D1764" i="32"/>
  <c r="A1748" i="32"/>
  <c r="B1748" i="32" s="1"/>
  <c r="D1767" i="32"/>
  <c r="A1705" i="32"/>
  <c r="B1705" i="32" s="1"/>
  <c r="D1724" i="32"/>
  <c r="D1739" i="32"/>
  <c r="A1720" i="32"/>
  <c r="B1720" i="32" s="1"/>
  <c r="A1709" i="32"/>
  <c r="B1709" i="32" s="1"/>
  <c r="D1728" i="32"/>
  <c r="K1655" i="32"/>
  <c r="H1637" i="32"/>
  <c r="I1637" i="32" s="1"/>
  <c r="D1717" i="32"/>
  <c r="A1698" i="32"/>
  <c r="K1652" i="32"/>
  <c r="H1634" i="32"/>
  <c r="I1634" i="32" s="1"/>
  <c r="K1659" i="32"/>
  <c r="H1641" i="32"/>
  <c r="I1641" i="32" s="1"/>
  <c r="D1769" i="32"/>
  <c r="A1750" i="32"/>
  <c r="B1750" i="32" s="1"/>
  <c r="A1713" i="32"/>
  <c r="B1713" i="32" s="1"/>
  <c r="D1732" i="32"/>
  <c r="A1711" i="32"/>
  <c r="B1711" i="32" s="1"/>
  <c r="D1730" i="32"/>
  <c r="A1723" i="32"/>
  <c r="B1723" i="32" s="1"/>
  <c r="D1742" i="32"/>
  <c r="H1633" i="32"/>
  <c r="I1633" i="32" s="1"/>
  <c r="K1651" i="32"/>
  <c r="A1719" i="32"/>
  <c r="B1719" i="32" s="1"/>
  <c r="D1738" i="32"/>
  <c r="H1624" i="32"/>
  <c r="I1624" i="32" s="1"/>
  <c r="I1627" i="32"/>
  <c r="H1626" i="32"/>
  <c r="I1626" i="32" s="1"/>
  <c r="H1631" i="32"/>
  <c r="I1631" i="32" s="1"/>
  <c r="H1625" i="32"/>
  <c r="I1625" i="32" s="1"/>
  <c r="H1639" i="32"/>
  <c r="I1639" i="32" s="1"/>
  <c r="K1657" i="32"/>
  <c r="K1663" i="32"/>
  <c r="H1645" i="32"/>
  <c r="D1737" i="32"/>
  <c r="A1718" i="32"/>
  <c r="B1718" i="32" s="1"/>
  <c r="H1707" i="32"/>
  <c r="I1707" i="32" s="1"/>
  <c r="K1725" i="32"/>
  <c r="H1646" i="32"/>
  <c r="I1646" i="32" s="1"/>
  <c r="K1664" i="32"/>
  <c r="H1632" i="32"/>
  <c r="I1632" i="32" s="1"/>
  <c r="K1650" i="32"/>
  <c r="A1784" i="32"/>
  <c r="B1784" i="32" s="1"/>
  <c r="D1803" i="32"/>
  <c r="A1740" i="32"/>
  <c r="B1740" i="32" s="1"/>
  <c r="D1759" i="32"/>
  <c r="H1629" i="32"/>
  <c r="I1629" i="32" s="1"/>
  <c r="K1647" i="32"/>
  <c r="A1725" i="32"/>
  <c r="B1725" i="32" s="1"/>
  <c r="D1744" i="32"/>
  <c r="A1744" i="32" l="1"/>
  <c r="B1744" i="32" s="1"/>
  <c r="D1763" i="32"/>
  <c r="D1757" i="32"/>
  <c r="A1738" i="32"/>
  <c r="B1738" i="32" s="1"/>
  <c r="D1743" i="32"/>
  <c r="A1724" i="32"/>
  <c r="B1724" i="32" s="1"/>
  <c r="K1665" i="32"/>
  <c r="H1647" i="32"/>
  <c r="I1647" i="32" s="1"/>
  <c r="H1659" i="32"/>
  <c r="I1659" i="32" s="1"/>
  <c r="K1677" i="32"/>
  <c r="A1737" i="32"/>
  <c r="B1737" i="32" s="1"/>
  <c r="D1756" i="32"/>
  <c r="K1669" i="32"/>
  <c r="H1651" i="32"/>
  <c r="I1651" i="32" s="1"/>
  <c r="H1642" i="32"/>
  <c r="I1642" i="32" s="1"/>
  <c r="H1644" i="32"/>
  <c r="I1644" i="32" s="1"/>
  <c r="H1649" i="32"/>
  <c r="I1649" i="32" s="1"/>
  <c r="H1643" i="32"/>
  <c r="I1643" i="32" s="1"/>
  <c r="I1645" i="32"/>
  <c r="H1652" i="32"/>
  <c r="I1652" i="32" s="1"/>
  <c r="K1670" i="32"/>
  <c r="A1703" i="32"/>
  <c r="B1703" i="32" s="1"/>
  <c r="A1697" i="32"/>
  <c r="B1697" i="32" s="1"/>
  <c r="A1695" i="32"/>
  <c r="B1695" i="32" s="1"/>
  <c r="A1696" i="32"/>
  <c r="B1696" i="32" s="1"/>
  <c r="B1698" i="32"/>
  <c r="D1783" i="32"/>
  <c r="A1764" i="32"/>
  <c r="B1764" i="32" s="1"/>
  <c r="A1717" i="32"/>
  <c r="D1736" i="32"/>
  <c r="H1650" i="32"/>
  <c r="I1650" i="32" s="1"/>
  <c r="K1668" i="32"/>
  <c r="H1655" i="32"/>
  <c r="I1655" i="32" s="1"/>
  <c r="K1673" i="32"/>
  <c r="A1732" i="32"/>
  <c r="B1732" i="32" s="1"/>
  <c r="D1751" i="32"/>
  <c r="D1747" i="32"/>
  <c r="A1728" i="32"/>
  <c r="B1728" i="32" s="1"/>
  <c r="K1743" i="32"/>
  <c r="H1743" i="32" s="1"/>
  <c r="I1743" i="32" s="1"/>
  <c r="H1725" i="32"/>
  <c r="I1725" i="32" s="1"/>
  <c r="A1769" i="32"/>
  <c r="B1769" i="32" s="1"/>
  <c r="D1788" i="32"/>
  <c r="A1739" i="32"/>
  <c r="B1739" i="32" s="1"/>
  <c r="D1758" i="32"/>
  <c r="A1767" i="32"/>
  <c r="B1767" i="32" s="1"/>
  <c r="D1786" i="32"/>
  <c r="D1778" i="32"/>
  <c r="A1759" i="32"/>
  <c r="B1759" i="32" s="1"/>
  <c r="H1663" i="32"/>
  <c r="K1681" i="32"/>
  <c r="A1742" i="32"/>
  <c r="B1742" i="32" s="1"/>
  <c r="D1761" i="32"/>
  <c r="A1803" i="32"/>
  <c r="B1803" i="32" s="1"/>
  <c r="D1822" i="32"/>
  <c r="K1675" i="32"/>
  <c r="H1657" i="32"/>
  <c r="I1657" i="32" s="1"/>
  <c r="A1730" i="32"/>
  <c r="B1730" i="32" s="1"/>
  <c r="D1749" i="32"/>
  <c r="K1682" i="32"/>
  <c r="H1664" i="32"/>
  <c r="I1664" i="32" s="1"/>
  <c r="K1700" i="32" l="1"/>
  <c r="H1682" i="32"/>
  <c r="I1682" i="32" s="1"/>
  <c r="D1805" i="32"/>
  <c r="A1786" i="32"/>
  <c r="B1786" i="32" s="1"/>
  <c r="H1677" i="32"/>
  <c r="I1677" i="32" s="1"/>
  <c r="K1695" i="32"/>
  <c r="H1670" i="32"/>
  <c r="I1670" i="32" s="1"/>
  <c r="K1688" i="32"/>
  <c r="H1675" i="32"/>
  <c r="I1675" i="32" s="1"/>
  <c r="K1693" i="32"/>
  <c r="K1683" i="32"/>
  <c r="H1665" i="32"/>
  <c r="I1665" i="32" s="1"/>
  <c r="A1788" i="32"/>
  <c r="B1788" i="32" s="1"/>
  <c r="D1807" i="32"/>
  <c r="A1715" i="32"/>
  <c r="B1715" i="32" s="1"/>
  <c r="A1714" i="32"/>
  <c r="B1714" i="32" s="1"/>
  <c r="A1722" i="32"/>
  <c r="B1722" i="32" s="1"/>
  <c r="B1717" i="32"/>
  <c r="A1716" i="32"/>
  <c r="B1716" i="32" s="1"/>
  <c r="A1743" i="32"/>
  <c r="B1743" i="32" s="1"/>
  <c r="D1762" i="32"/>
  <c r="A1761" i="32"/>
  <c r="B1761" i="32" s="1"/>
  <c r="D1780" i="32"/>
  <c r="D1802" i="32"/>
  <c r="A1783" i="32"/>
  <c r="B1783" i="32" s="1"/>
  <c r="A1757" i="32"/>
  <c r="B1757" i="32" s="1"/>
  <c r="D1776" i="32"/>
  <c r="D1770" i="32"/>
  <c r="A1751" i="32"/>
  <c r="B1751" i="32" s="1"/>
  <c r="A1756" i="32"/>
  <c r="B1756" i="32" s="1"/>
  <c r="D1775" i="32"/>
  <c r="D1797" i="32"/>
  <c r="A1778" i="32"/>
  <c r="B1778" i="32" s="1"/>
  <c r="A1749" i="32"/>
  <c r="B1749" i="32" s="1"/>
  <c r="D1768" i="32"/>
  <c r="H1673" i="32"/>
  <c r="I1673" i="32" s="1"/>
  <c r="K1691" i="32"/>
  <c r="A1758" i="32"/>
  <c r="B1758" i="32" s="1"/>
  <c r="D1777" i="32"/>
  <c r="K1686" i="32"/>
  <c r="H1668" i="32"/>
  <c r="I1668" i="32" s="1"/>
  <c r="D1841" i="32"/>
  <c r="A1841" i="32" s="1"/>
  <c r="B1841" i="32" s="1"/>
  <c r="A1822" i="32"/>
  <c r="B1822" i="32" s="1"/>
  <c r="A1736" i="32"/>
  <c r="D1755" i="32"/>
  <c r="H1681" i="32"/>
  <c r="K1699" i="32"/>
  <c r="A1763" i="32"/>
  <c r="B1763" i="32" s="1"/>
  <c r="D1782" i="32"/>
  <c r="H1661" i="32"/>
  <c r="I1661" i="32" s="1"/>
  <c r="I1663" i="32"/>
  <c r="H1660" i="32"/>
  <c r="I1660" i="32" s="1"/>
  <c r="H1667" i="32"/>
  <c r="I1667" i="32" s="1"/>
  <c r="H1662" i="32"/>
  <c r="I1662" i="32" s="1"/>
  <c r="A1747" i="32"/>
  <c r="B1747" i="32" s="1"/>
  <c r="D1766" i="32"/>
  <c r="K1687" i="32"/>
  <c r="H1669" i="32"/>
  <c r="I1669" i="32" s="1"/>
  <c r="H1680" i="32" l="1"/>
  <c r="I1680" i="32" s="1"/>
  <c r="H1678" i="32"/>
  <c r="I1678" i="32" s="1"/>
  <c r="H1679" i="32"/>
  <c r="I1679" i="32" s="1"/>
  <c r="H1685" i="32"/>
  <c r="I1685" i="32" s="1"/>
  <c r="I1681" i="32"/>
  <c r="A1766" i="32"/>
  <c r="B1766" i="32" s="1"/>
  <c r="D1785" i="32"/>
  <c r="A1805" i="32"/>
  <c r="B1805" i="32" s="1"/>
  <c r="D1824" i="32"/>
  <c r="A1741" i="32"/>
  <c r="B1741" i="32" s="1"/>
  <c r="A1735" i="32"/>
  <c r="B1735" i="32" s="1"/>
  <c r="A1733" i="32"/>
  <c r="B1733" i="32" s="1"/>
  <c r="A1734" i="32"/>
  <c r="B1734" i="32" s="1"/>
  <c r="B1736" i="32"/>
  <c r="K1713" i="32"/>
  <c r="H1695" i="32"/>
  <c r="I1695" i="32" s="1"/>
  <c r="H1686" i="32"/>
  <c r="I1686" i="32" s="1"/>
  <c r="K1704" i="32"/>
  <c r="A1807" i="32"/>
  <c r="B1807" i="32" s="1"/>
  <c r="D1826" i="32"/>
  <c r="D1821" i="32"/>
  <c r="A1802" i="32"/>
  <c r="B1802" i="32" s="1"/>
  <c r="K1717" i="32"/>
  <c r="H1699" i="32"/>
  <c r="D1787" i="32"/>
  <c r="A1768" i="32"/>
  <c r="B1768" i="32" s="1"/>
  <c r="A1780" i="32"/>
  <c r="B1780" i="32" s="1"/>
  <c r="D1799" i="32"/>
  <c r="H1683" i="32"/>
  <c r="I1683" i="32" s="1"/>
  <c r="K1701" i="32"/>
  <c r="K1711" i="32"/>
  <c r="H1693" i="32"/>
  <c r="I1693" i="32" s="1"/>
  <c r="H1687" i="32"/>
  <c r="I1687" i="32" s="1"/>
  <c r="K1705" i="32"/>
  <c r="A1755" i="32"/>
  <c r="D1774" i="32"/>
  <c r="A1762" i="32"/>
  <c r="B1762" i="32" s="1"/>
  <c r="D1781" i="32"/>
  <c r="A1797" i="32"/>
  <c r="B1797" i="32" s="1"/>
  <c r="D1816" i="32"/>
  <c r="H1688" i="32"/>
  <c r="I1688" i="32" s="1"/>
  <c r="K1706" i="32"/>
  <c r="A1775" i="32"/>
  <c r="B1775" i="32" s="1"/>
  <c r="D1794" i="32"/>
  <c r="D1789" i="32"/>
  <c r="A1770" i="32"/>
  <c r="B1770" i="32" s="1"/>
  <c r="A1777" i="32"/>
  <c r="B1777" i="32" s="1"/>
  <c r="D1796" i="32"/>
  <c r="A1776" i="32"/>
  <c r="B1776" i="32" s="1"/>
  <c r="D1795" i="32"/>
  <c r="D1801" i="32"/>
  <c r="A1782" i="32"/>
  <c r="B1782" i="32" s="1"/>
  <c r="H1691" i="32"/>
  <c r="I1691" i="32" s="1"/>
  <c r="K1709" i="32"/>
  <c r="K1718" i="32"/>
  <c r="H1700" i="32"/>
  <c r="I1700" i="32" s="1"/>
  <c r="A1796" i="32" l="1"/>
  <c r="B1796" i="32" s="1"/>
  <c r="D1815" i="32"/>
  <c r="D1793" i="32"/>
  <c r="A1774" i="32"/>
  <c r="A1753" i="32"/>
  <c r="B1753" i="32" s="1"/>
  <c r="B1755" i="32"/>
  <c r="A1754" i="32"/>
  <c r="B1754" i="32" s="1"/>
  <c r="A1760" i="32"/>
  <c r="B1760" i="32" s="1"/>
  <c r="A1752" i="32"/>
  <c r="B1752" i="32" s="1"/>
  <c r="K1735" i="32"/>
  <c r="H1735" i="32" s="1"/>
  <c r="H1717" i="32"/>
  <c r="A1789" i="32"/>
  <c r="B1789" i="32" s="1"/>
  <c r="D1808" i="32"/>
  <c r="A1821" i="32"/>
  <c r="B1821" i="32" s="1"/>
  <c r="D1840" i="32"/>
  <c r="A1840" i="32" s="1"/>
  <c r="B1840" i="32" s="1"/>
  <c r="D1813" i="32"/>
  <c r="A1794" i="32"/>
  <c r="B1794" i="32" s="1"/>
  <c r="K1736" i="32"/>
  <c r="H1736" i="32" s="1"/>
  <c r="I1736" i="32" s="1"/>
  <c r="H1718" i="32"/>
  <c r="I1718" i="32" s="1"/>
  <c r="H1711" i="32"/>
  <c r="I1711" i="32" s="1"/>
  <c r="K1729" i="32"/>
  <c r="A1785" i="32"/>
  <c r="B1785" i="32" s="1"/>
  <c r="D1804" i="32"/>
  <c r="K1724" i="32"/>
  <c r="H1706" i="32"/>
  <c r="I1706" i="32" s="1"/>
  <c r="D1835" i="32"/>
  <c r="A1835" i="32" s="1"/>
  <c r="B1835" i="32" s="1"/>
  <c r="A1816" i="32"/>
  <c r="B1816" i="32" s="1"/>
  <c r="D1818" i="32"/>
  <c r="A1799" i="32"/>
  <c r="B1799" i="32" s="1"/>
  <c r="A1801" i="32"/>
  <c r="B1801" i="32" s="1"/>
  <c r="D1820" i="32"/>
  <c r="K1731" i="32"/>
  <c r="H1731" i="32" s="1"/>
  <c r="I1731" i="32" s="1"/>
  <c r="H1713" i="32"/>
  <c r="I1713" i="32" s="1"/>
  <c r="D1814" i="32"/>
  <c r="A1795" i="32"/>
  <c r="B1795" i="32" s="1"/>
  <c r="A1781" i="32"/>
  <c r="B1781" i="32" s="1"/>
  <c r="D1800" i="32"/>
  <c r="H1696" i="32"/>
  <c r="I1696" i="32" s="1"/>
  <c r="I1699" i="32"/>
  <c r="H1703" i="32"/>
  <c r="I1703" i="32" s="1"/>
  <c r="H1698" i="32"/>
  <c r="I1698" i="32" s="1"/>
  <c r="H1697" i="32"/>
  <c r="I1697" i="32" s="1"/>
  <c r="K1723" i="32"/>
  <c r="H1705" i="32"/>
  <c r="I1705" i="32" s="1"/>
  <c r="D1843" i="32"/>
  <c r="A1843" i="32" s="1"/>
  <c r="B1843" i="32" s="1"/>
  <c r="A1824" i="32"/>
  <c r="B1824" i="32" s="1"/>
  <c r="D1845" i="32"/>
  <c r="A1845" i="32" s="1"/>
  <c r="B1845" i="32" s="1"/>
  <c r="A1826" i="32"/>
  <c r="B1826" i="32" s="1"/>
  <c r="K1727" i="32"/>
  <c r="H1709" i="32"/>
  <c r="I1709" i="32" s="1"/>
  <c r="K1719" i="32"/>
  <c r="H1701" i="32"/>
  <c r="I1701" i="32" s="1"/>
  <c r="K1722" i="32"/>
  <c r="H1704" i="32"/>
  <c r="I1704" i="32" s="1"/>
  <c r="D1806" i="32"/>
  <c r="A1787" i="32"/>
  <c r="B1787" i="32" s="1"/>
  <c r="H1715" i="32" l="1"/>
  <c r="I1715" i="32" s="1"/>
  <c r="H1721" i="32"/>
  <c r="I1721" i="32" s="1"/>
  <c r="H1714" i="32"/>
  <c r="I1714" i="32" s="1"/>
  <c r="I1717" i="32"/>
  <c r="H1716" i="32"/>
  <c r="I1716" i="32" s="1"/>
  <c r="A1806" i="32"/>
  <c r="B1806" i="32" s="1"/>
  <c r="D1825" i="32"/>
  <c r="D1823" i="32"/>
  <c r="A1804" i="32"/>
  <c r="B1804" i="32" s="1"/>
  <c r="A1814" i="32"/>
  <c r="B1814" i="32" s="1"/>
  <c r="D1833" i="32"/>
  <c r="A1833" i="32" s="1"/>
  <c r="B1833" i="32" s="1"/>
  <c r="A1818" i="32"/>
  <c r="B1818" i="32" s="1"/>
  <c r="D1837" i="32"/>
  <c r="A1837" i="32" s="1"/>
  <c r="B1837" i="32" s="1"/>
  <c r="A1813" i="32"/>
  <c r="B1813" i="32" s="1"/>
  <c r="D1832" i="32"/>
  <c r="A1832" i="32" s="1"/>
  <c r="B1832" i="32" s="1"/>
  <c r="D1834" i="32"/>
  <c r="A1834" i="32" s="1"/>
  <c r="B1834" i="32" s="1"/>
  <c r="A1815" i="32"/>
  <c r="B1815" i="32" s="1"/>
  <c r="H1724" i="32"/>
  <c r="I1724" i="32" s="1"/>
  <c r="K1742" i="32"/>
  <c r="H1742" i="32" s="1"/>
  <c r="I1742" i="32" s="1"/>
  <c r="H1739" i="32"/>
  <c r="I1739" i="32" s="1"/>
  <c r="H1733" i="32"/>
  <c r="I1733" i="32" s="1"/>
  <c r="H1732" i="32"/>
  <c r="I1732" i="32" s="1"/>
  <c r="I1735" i="32"/>
  <c r="H1734" i="32"/>
  <c r="I1734" i="32" s="1"/>
  <c r="H1729" i="32"/>
  <c r="I1729" i="32" s="1"/>
  <c r="K1747" i="32"/>
  <c r="H1747" i="32" s="1"/>
  <c r="I1747" i="32" s="1"/>
  <c r="H1723" i="32"/>
  <c r="I1723" i="32" s="1"/>
  <c r="K1741" i="32"/>
  <c r="H1741" i="32" s="1"/>
  <c r="I1741" i="32" s="1"/>
  <c r="D1839" i="32"/>
  <c r="A1839" i="32" s="1"/>
  <c r="B1839" i="32" s="1"/>
  <c r="A1820" i="32"/>
  <c r="B1820" i="32" s="1"/>
  <c r="K1740" i="32"/>
  <c r="H1740" i="32" s="1"/>
  <c r="I1740" i="32" s="1"/>
  <c r="H1722" i="32"/>
  <c r="I1722" i="32" s="1"/>
  <c r="A1773" i="32"/>
  <c r="B1773" i="32" s="1"/>
  <c r="A1771" i="32"/>
  <c r="B1771" i="32" s="1"/>
  <c r="A1772" i="32"/>
  <c r="B1772" i="32" s="1"/>
  <c r="B1774" i="32"/>
  <c r="A1779" i="32"/>
  <c r="B1779" i="32" s="1"/>
  <c r="K1737" i="32"/>
  <c r="H1737" i="32" s="1"/>
  <c r="I1737" i="32" s="1"/>
  <c r="H1719" i="32"/>
  <c r="I1719" i="32" s="1"/>
  <c r="A1793" i="32"/>
  <c r="D1812" i="32"/>
  <c r="H1727" i="32"/>
  <c r="I1727" i="32" s="1"/>
  <c r="K1745" i="32"/>
  <c r="H1745" i="32" s="1"/>
  <c r="I1745" i="32" s="1"/>
  <c r="A1800" i="32"/>
  <c r="B1800" i="32" s="1"/>
  <c r="D1819" i="32"/>
  <c r="D1827" i="32"/>
  <c r="A1827" i="32" s="1"/>
  <c r="B1827" i="32" s="1"/>
  <c r="A1808" i="32"/>
  <c r="B1808" i="32" s="1"/>
  <c r="A1819" i="32" l="1"/>
  <c r="B1819" i="32" s="1"/>
  <c r="D1838" i="32"/>
  <c r="A1838" i="32" s="1"/>
  <c r="B1838" i="32" s="1"/>
  <c r="A1823" i="32"/>
  <c r="B1823" i="32" s="1"/>
  <c r="D1842" i="32"/>
  <c r="A1842" i="32" s="1"/>
  <c r="B1842" i="32" s="1"/>
  <c r="A1825" i="32"/>
  <c r="B1825" i="32" s="1"/>
  <c r="D1844" i="32"/>
  <c r="A1844" i="32" s="1"/>
  <c r="B1844" i="32" s="1"/>
  <c r="D1831" i="32"/>
  <c r="A1831" i="32" s="1"/>
  <c r="A1812" i="32"/>
  <c r="B1793" i="32"/>
  <c r="A1790" i="32"/>
  <c r="B1790" i="32" s="1"/>
  <c r="A1791" i="32"/>
  <c r="B1791" i="32" s="1"/>
  <c r="A1798" i="32"/>
  <c r="B1798" i="32" s="1"/>
  <c r="A1792" i="32"/>
  <c r="B1792" i="32" s="1"/>
  <c r="A1829" i="32" l="1"/>
  <c r="B1829" i="32" s="1"/>
  <c r="A1836" i="32"/>
  <c r="B1836" i="32" s="1"/>
  <c r="B1831" i="32"/>
  <c r="A1828" i="32"/>
  <c r="B1828" i="32" s="1"/>
  <c r="A1830" i="32"/>
  <c r="B1830" i="32" s="1"/>
  <c r="A1817" i="32"/>
  <c r="B1817" i="32" s="1"/>
  <c r="A1809" i="32"/>
  <c r="B1809" i="32" s="1"/>
  <c r="A1810" i="32"/>
  <c r="B1810" i="32" s="1"/>
  <c r="A1811" i="32"/>
  <c r="B1811" i="32" s="1"/>
  <c r="B1812" i="32"/>
  <c r="Q1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<sst xmlns="http://schemas.openxmlformats.org/spreadsheetml/2006/main" count="10274" uniqueCount="320">
  <si>
    <t>Sumário</t>
  </si>
  <si>
    <t>Ano de ínicio do planejamento</t>
  </si>
  <si>
    <t>Planejamento pára quantos anos?</t>
  </si>
  <si>
    <t>Missão</t>
  </si>
  <si>
    <t>Visão</t>
  </si>
  <si>
    <t>Valores</t>
  </si>
  <si>
    <t>Proposta de valor</t>
  </si>
  <si>
    <t>Dados da Empresa</t>
  </si>
  <si>
    <t>Nome:</t>
  </si>
  <si>
    <t>CNPJ:</t>
  </si>
  <si>
    <t>Endereço:</t>
  </si>
  <si>
    <t>Setor de atuação:</t>
  </si>
  <si>
    <t>Tempo de mercado:</t>
  </si>
  <si>
    <t>Nº de colaboradores:</t>
  </si>
  <si>
    <t>Faturamento médio:</t>
  </si>
  <si>
    <t>Diagnóstico Estratégico</t>
  </si>
  <si>
    <t>Principais produtos/serviços</t>
  </si>
  <si>
    <t>Diferenciais competitivos</t>
  </si>
  <si>
    <t>ANO</t>
  </si>
  <si>
    <t>QTDA DE ANOS</t>
  </si>
  <si>
    <t>Áreas da Emepresa</t>
  </si>
  <si>
    <t>Produção</t>
  </si>
  <si>
    <t>Marketing</t>
  </si>
  <si>
    <t>Financeiro</t>
  </si>
  <si>
    <t>Tecnológica</t>
  </si>
  <si>
    <t>Atendimento</t>
  </si>
  <si>
    <t>Comercial</t>
  </si>
  <si>
    <t>Cadastro de Funcionários</t>
  </si>
  <si>
    <t>Metas globais da empresa</t>
  </si>
  <si>
    <t>Direção</t>
  </si>
  <si>
    <t>Perspectiva Financeira</t>
  </si>
  <si>
    <t>Indicador</t>
  </si>
  <si>
    <t>Meta Global associada</t>
  </si>
  <si>
    <t>Perspectiva de Clientes</t>
  </si>
  <si>
    <t>Perspectiva de Processos Internos</t>
  </si>
  <si>
    <t>Perspectiva Aprendizagem (RH)</t>
  </si>
  <si>
    <t>Perspectiva de Processos Internos (Logistica)</t>
  </si>
  <si>
    <t>Perspectiva de Clientes (Marketing)</t>
  </si>
  <si>
    <t>DIREÇÃO</t>
  </si>
  <si>
    <t>Aumentar</t>
  </si>
  <si>
    <t>Diminuir</t>
  </si>
  <si>
    <t>Estratégia para</t>
  </si>
  <si>
    <t>Meta 1</t>
  </si>
  <si>
    <t>UNIDADE</t>
  </si>
  <si>
    <t>Número</t>
  </si>
  <si>
    <t>%</t>
  </si>
  <si>
    <t>R$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</si>
  <si>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</si>
  <si>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</si>
  <si>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</si>
  <si>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</si>
  <si>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</si>
  <si>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</si>
  <si>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</si>
  <si>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</si>
  <si>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</si>
  <si>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</si>
  <si>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</si>
  <si>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</si>
  <si>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Parcial</t>
  </si>
  <si>
    <t>Total</t>
  </si>
  <si>
    <t>Planejado</t>
  </si>
  <si>
    <t>Realizado</t>
  </si>
  <si>
    <t>Percentual</t>
  </si>
  <si>
    <t>Ano 1</t>
  </si>
  <si>
    <t>Meta 2</t>
  </si>
  <si>
    <t>Meta 3</t>
  </si>
  <si>
    <t>Meta 4</t>
  </si>
  <si>
    <t>Meta 5</t>
  </si>
  <si>
    <t>Meta 6</t>
  </si>
  <si>
    <t>Meta 7</t>
  </si>
  <si>
    <t>Meta 8</t>
  </si>
  <si>
    <t>Ano 2</t>
  </si>
  <si>
    <t>Ano 3</t>
  </si>
  <si>
    <t>Ano 4</t>
  </si>
  <si>
    <t>Ano 5</t>
  </si>
  <si>
    <t>Perspectiva de Aprendizagem</t>
  </si>
  <si>
    <t>Ação</t>
  </si>
  <si>
    <t>Responsável</t>
  </si>
  <si>
    <t>Como</t>
  </si>
  <si>
    <t>Objetivos/Metas</t>
  </si>
  <si>
    <t>Setor</t>
  </si>
  <si>
    <t>Status</t>
  </si>
  <si>
    <t>Saldo
(Dias)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</si>
  <si>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</si>
  <si>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</si>
  <si>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</si>
  <si>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</si>
  <si>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</si>
  <si>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</si>
  <si>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</si>
  <si>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</si>
  <si>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</si>
  <si>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</si>
  <si>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</si>
  <si>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</si>
  <si>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</si>
  <si>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 Início</t>
  </si>
  <si>
    <t>Data Fim</t>
  </si>
  <si>
    <t>Prazo (Dias úteis)</t>
  </si>
  <si>
    <t>STATUS</t>
  </si>
  <si>
    <t>Concluído</t>
  </si>
  <si>
    <t>Em Andamento</t>
  </si>
  <si>
    <t>CATANDUVA - SP</t>
  </si>
  <si>
    <t>RIBEIRÃO PRETO - SP</t>
  </si>
  <si>
    <t>DATA</t>
  </si>
  <si>
    <t>DIA DA SEMANA</t>
  </si>
  <si>
    <t>NOME</t>
  </si>
  <si>
    <t>ALCANCE</t>
  </si>
  <si>
    <t>Confraternização Universal</t>
  </si>
  <si>
    <t>NACIONAL</t>
  </si>
  <si>
    <t>Carnaval</t>
  </si>
  <si>
    <t>Paixão de Cristo</t>
  </si>
  <si>
    <t>Páscoa</t>
  </si>
  <si>
    <t>Aniversário Da Cidade</t>
  </si>
  <si>
    <t>MUNICIPAL</t>
  </si>
  <si>
    <t>Tiradentes</t>
  </si>
  <si>
    <t>Dia do Trabalho</t>
  </si>
  <si>
    <t>Dia das Mães</t>
  </si>
  <si>
    <t>Corpus Cristi</t>
  </si>
  <si>
    <t>Revolução constitucionalista</t>
  </si>
  <si>
    <t>ESTADUAL</t>
  </si>
  <si>
    <t>Dia de São Domingos</t>
  </si>
  <si>
    <t>Dia do Pais</t>
  </si>
  <si>
    <t>Independênica do Brasil</t>
  </si>
  <si>
    <t>Nossa Srª Aparecida</t>
  </si>
  <si>
    <t>Finados</t>
  </si>
  <si>
    <t>Proclamação da rebublica</t>
  </si>
  <si>
    <t>Conciênica Negra</t>
  </si>
  <si>
    <t>Natal</t>
  </si>
  <si>
    <t>HOJE</t>
  </si>
  <si>
    <t>Aguardando Etapa</t>
  </si>
  <si>
    <t>Finalizado</t>
  </si>
  <si>
    <t>Atrasado</t>
  </si>
  <si>
    <t>Situação</t>
  </si>
  <si>
    <t>SITUAÇÃO</t>
  </si>
  <si>
    <t>Em dia</t>
  </si>
  <si>
    <t>Fase de Conclusão</t>
  </si>
  <si>
    <t>Perspectiva</t>
  </si>
  <si>
    <t>PERSPECTIVAS</t>
  </si>
  <si>
    <t>Índice de proximidade com o planejado</t>
  </si>
  <si>
    <t>Objetívo específico</t>
  </si>
  <si>
    <t>Total Planejado</t>
  </si>
  <si>
    <t>Total Realizado</t>
  </si>
  <si>
    <t>Alinhamento com a meta</t>
  </si>
  <si>
    <t>Observações</t>
  </si>
  <si>
    <t>Plano de Ação</t>
  </si>
  <si>
    <t>Concluídos</t>
  </si>
  <si>
    <t>Atrasados</t>
  </si>
  <si>
    <t>Selecione o Ano</t>
  </si>
  <si>
    <t>Selecione uma Perspectiva</t>
  </si>
  <si>
    <t>Não Iniciado</t>
  </si>
  <si>
    <t>Não Iniciados</t>
  </si>
  <si>
    <t>Equipe</t>
  </si>
  <si>
    <t>Funiconário</t>
  </si>
  <si>
    <t>Índice de Ações concluídas por perspectiva</t>
  </si>
  <si>
    <t>Índice de Ações Concluídas por Funcionário</t>
  </si>
  <si>
    <t>Perspectiva de Cilentes (MKT)</t>
  </si>
  <si>
    <t>Perspectiva dePrcessos Internos (Logistica)</t>
  </si>
  <si>
    <t>Perspectiva de Aprendizagem (RH)</t>
  </si>
  <si>
    <t>Índice de conclusão dos planos de ação do colaborador</t>
  </si>
  <si>
    <t>asd</t>
  </si>
  <si>
    <t>Metas</t>
  </si>
  <si>
    <t>Média Geral</t>
  </si>
  <si>
    <t>SCORE METAS GLOBAIS</t>
  </si>
  <si>
    <t>ANÁLISE SWOT</t>
  </si>
  <si>
    <t>Guia para Preenchimento da Matriz SWOT</t>
  </si>
  <si>
    <t>Ambiente Externo</t>
  </si>
  <si>
    <t>Respostas</t>
  </si>
  <si>
    <t>Ptos.</t>
  </si>
  <si>
    <t>Perguntas</t>
  </si>
  <si>
    <t>Oportunidades</t>
  </si>
  <si>
    <t>Ameaças</t>
  </si>
  <si>
    <t>Sem efeito</t>
  </si>
  <si>
    <t>Com que intensidade a Força X ajuda a organização a capturar a
Oportunidade Y?</t>
  </si>
  <si>
    <t>Ajuda pouco</t>
  </si>
  <si>
    <t>Ajuda Muito</t>
  </si>
  <si>
    <t>Com que intensidade a Força X ajuda a organização a se resguardar da Ameaça Y?</t>
  </si>
  <si>
    <t>Com que intensidade a Fraqueza X dificulta a organização em aproveitar a
Oportunidade Y?</t>
  </si>
  <si>
    <t>Dificulta pouco</t>
  </si>
  <si>
    <t>Dificulta muito</t>
  </si>
  <si>
    <t>Com que intensidade a Fraqueza X acentua o risco da Ameaça Y?</t>
  </si>
  <si>
    <t>Acentua pouco</t>
  </si>
  <si>
    <t>Acentua muito</t>
  </si>
  <si>
    <t>Ambiente Interno</t>
  </si>
  <si>
    <t>Forças</t>
  </si>
  <si>
    <t>Fraquezas</t>
  </si>
  <si>
    <r>
      <rPr>
        <b/>
        <i/>
        <sz val="8"/>
        <color theme="2" tint="-0.749992370372631"/>
        <rFont val="Segoe UI"/>
        <family val="2"/>
      </rPr>
      <t xml:space="preserve">Posicionamento Estratégico </t>
    </r>
    <r>
      <rPr>
        <i/>
        <sz val="8"/>
        <color theme="2" tint="-0.749992370372631"/>
        <rFont val="Segoe UI"/>
        <family val="2"/>
      </rPr>
      <t xml:space="preserve">
* Positivo, temos uma referência de que a empresa tem condições de Ataque. 
* Nulo, a empresa esta estagnada, na zona de risco. 
* Negativo, entende-se que a empresa esta sufocada, sem reação de Ataque.</t>
    </r>
  </si>
  <si>
    <t>Capacidade Ofensiva (Q1-Q3)</t>
  </si>
  <si>
    <t>=</t>
  </si>
  <si>
    <t>Q1</t>
  </si>
  <si>
    <t>Q2</t>
  </si>
  <si>
    <t>Capacidade Defensiva (Q2-Q4)</t>
  </si>
  <si>
    <t>Q3</t>
  </si>
  <si>
    <t>Q4</t>
  </si>
  <si>
    <t>Posicionamento Estratégico (Q1+Q2-Q3-Q4)</t>
  </si>
  <si>
    <t>Efetividade (%)</t>
  </si>
  <si>
    <t>Quadrantes</t>
  </si>
  <si>
    <t>Análise</t>
  </si>
  <si>
    <t>Evolução dos planos de ação</t>
  </si>
  <si>
    <t>SCORE ACOMPANHAMENTO METAS</t>
  </si>
  <si>
    <t>SCORE ACOMPANHAMENTO PLANO DE AÇÃO</t>
  </si>
  <si>
    <t>PLANO</t>
  </si>
  <si>
    <t>VERDE</t>
  </si>
  <si>
    <t xml:space="preserve">AMARELO </t>
  </si>
  <si>
    <t>VERMELHO</t>
  </si>
  <si>
    <t>Diagnóstico (nome curto)</t>
  </si>
  <si>
    <t>Leitura objetiva (o que está acontecendo)</t>
  </si>
  <si>
    <t>Frase norteadora (para o empresário)</t>
  </si>
  <si>
    <t>Decisão recomendada (próximo passo)</t>
  </si>
  <si>
    <t>Alinhado e consistente</t>
  </si>
  <si>
    <t>Execução e resultado na mesma direção</t>
  </si>
  <si>
    <t>“O plano está funcionando e o resultado confirma. Agora é disciplina para consolidar e escalar.”</t>
  </si>
  <si>
    <t>Resultado sustentado por inércia</t>
  </si>
  <si>
    <t>Resultado bom, mas execução perdeu força</t>
  </si>
  <si>
    <t>“O resultado ainda está bom, mas a execução enfraqueceu. Se não retomar a disciplina, a meta cai.”</t>
  </si>
  <si>
    <t>Risco silencioso</t>
  </si>
  <si>
    <t>Resultado bom, execução abandonada</t>
  </si>
  <si>
    <t>“Estamos colhendo do passado. Sem execução, esse verde não se sustenta.”</t>
  </si>
  <si>
    <t>Defasagem natural (ação → efeito)</t>
  </si>
  <si>
    <t>Execução forte, efeito ainda não apareceu</t>
  </si>
  <si>
    <t>“O plano está forte e o resultado ainda está amadurecendo. Persistir e monitorar é melhor do que mudar por ansiedade.”</t>
  </si>
  <si>
    <t>Tração parcial</t>
  </si>
  <si>
    <t>Tudo avança, mas lento</t>
  </si>
  <si>
    <t>“Há movimento, mas sem tração suficiente. Precisamos de foco em menos ações que gerem mais impacto.”</t>
  </si>
  <si>
    <t>Reação insuficiente</t>
  </si>
  <si>
    <t>Resultado morno e execução fraca</t>
  </si>
  <si>
    <t>“O resultado pede reação, mas o plano não está em campo. Precisamos reativar execução com decisão.”</t>
  </si>
  <si>
    <t>Plano bem executado, alavanca errada</t>
  </si>
  <si>
    <t>Execução ótima, resultado ruim</t>
  </si>
  <si>
    <t>“Estamos executando bem… mas talvez a alavanca não seja a correta para essa meta.”</t>
  </si>
  <si>
    <t>Zona crítica</t>
  </si>
  <si>
    <t>Resultado ruim, execução média</t>
  </si>
  <si>
    <t>“A resposta atual não é forte o bastante para virar o jogo. Precisamos de decisão e ajuste imediato.”</t>
  </si>
  <si>
    <t>Alerta máximo</t>
  </si>
  <si>
    <t>Não há resultado e não há execução</t>
  </si>
  <si>
    <t>Manter cadência, padronizar o que funciona, aumentar a ambição gradual</t>
  </si>
  <si>
    <t>Reforçar rotina, reativar entregas críticas, reduzir dispersão</t>
  </si>
  <si>
    <t>Retomar plano imediatamente, definir dono/prazo, reinstalar governança</t>
  </si>
  <si>
    <t>Persistir por um ciclo, monitorar indicador líder, checar premissas</t>
  </si>
  <si>
    <t>Priorizar 1–2 alavancas, cortar ruído, intensificar cadência</t>
  </si>
  <si>
    <t>Replanejar curto, definir 3 entregas, travar rotina semanal</t>
  </si>
  <si>
    <t>Redesenhar estratégia/hipótese, trocar alavancas, validar causa-raiz</t>
  </si>
  <si>
    <t>Aumentar intensidade, reforçar recursos, simplificar plano e atacar gargalo</t>
  </si>
  <si>
    <t>“A execução demonstra maturidade de gestão: ações priorizadas, acompanhamento regular e baixa fricção operacional.”</t>
  </si>
  <si>
    <t>“Há execução, mas sem consistência plena. A falta de cadência ou priorização reduz a força do plano.”</t>
  </si>
  <si>
    <t>“A execução perdeu tração ou foi interrompida, comprometendo a credibilidade do plano.”</t>
  </si>
  <si>
    <t>"Risco de não bater a meta global. Falta clareza de propósito, cadência ou capacidade. Prioridade: reclarificar o objetivo, reorganizar o plano e ativar alianças de suporte."</t>
  </si>
  <si>
    <t>"Tração parcial. Há progresso, mas com vazamentos (processo, foco, capacidade ou funil). Prioridade: ajustar o plano e decidir o próximo passo crítico."</t>
  </si>
  <si>
    <t>"Execução consistente. O plano está funcionando. Prioridade: consolidar, padronizar e escalar com disciplina."</t>
  </si>
  <si>
    <t>"A meta está em risco. Próximo passo: reclarificar o objetivo, reorganizar o plano de ataque e ativar apoio (alinhamento de time) para retomar a cadência."</t>
  </si>
  <si>
    <t>"A meta tem progresso, mas não está estável. Próximo passo: decidir o ajuste crítico e executar com persistência (um foco, um dono, um prazo curto)."</t>
  </si>
  <si>
    <t>"A meta está sob controle e com execução consistente. Próximo passo: consolidar rotina, padronizar o que funcionou e ampliar escala sem perder qualidade."</t>
  </si>
  <si>
    <t>"Comunicar o diretor responsável pelo projeto imediatamente."</t>
  </si>
  <si>
    <t>Coerênica entre Metas e Plano de Ação</t>
  </si>
  <si>
    <t>META</t>
  </si>
  <si>
    <t>PESO</t>
  </si>
  <si>
    <t>SCORE</t>
  </si>
  <si>
    <t>POSIÇÃO</t>
  </si>
  <si>
    <t>Pontos Fortes</t>
  </si>
  <si>
    <t>Pontos Fracos</t>
  </si>
  <si>
    <t>“Mostra comprometimento consistente e alinhamento com os objetivos definidos.”</t>
  </si>
  <si>
    <t>“Apresenta envolvimento pontual, precisando evoluir em autonomia e senso de prioridade.”</t>
  </si>
  <si>
    <t>“O engajamento atual não é compatível com a importância das entregas definidas.”</t>
  </si>
  <si>
    <t>SCORE POR COLABORADOR</t>
  </si>
  <si>
    <t>Selecione o tipo de Análise</t>
  </si>
  <si>
    <t>TIPO</t>
  </si>
  <si>
    <t>Planejado:</t>
  </si>
  <si>
    <t>Realizado:</t>
  </si>
  <si>
    <t>Planejado8</t>
  </si>
  <si>
    <t>Realizado8</t>
  </si>
  <si>
    <t>Planejado1</t>
  </si>
  <si>
    <t>Realizado1</t>
  </si>
  <si>
    <t>Planejado2</t>
  </si>
  <si>
    <t>Realizado2</t>
  </si>
  <si>
    <t>Planejado3</t>
  </si>
  <si>
    <t>Realizado3</t>
  </si>
  <si>
    <t>Planejado4</t>
  </si>
  <si>
    <t>Realizado4</t>
  </si>
  <si>
    <t>Planejado5</t>
  </si>
  <si>
    <t>Realizado5</t>
  </si>
  <si>
    <t>Planejado6</t>
  </si>
  <si>
    <t>Realizado6</t>
  </si>
  <si>
    <t>Planejado7</t>
  </si>
  <si>
    <t>Realizado7</t>
  </si>
  <si>
    <t>Parcial1</t>
  </si>
  <si>
    <t>Total1</t>
  </si>
  <si>
    <t>Parcial5</t>
  </si>
  <si>
    <t>Total5</t>
  </si>
  <si>
    <t>Parcial2</t>
  </si>
  <si>
    <t>Total2</t>
  </si>
  <si>
    <t>Parcial3</t>
  </si>
  <si>
    <t>Total3</t>
  </si>
  <si>
    <t>Parcial4</t>
  </si>
  <si>
    <t>Total4</t>
  </si>
  <si>
    <t>Evolução das Estratégias</t>
  </si>
  <si>
    <t>Evolução dos Planos de Ação</t>
  </si>
  <si>
    <t>Planos de Ação Definidos</t>
  </si>
  <si>
    <t>Planos de Ação Realizados</t>
  </si>
  <si>
    <t>Alinhamento</t>
  </si>
  <si>
    <t>Ano</t>
  </si>
  <si>
    <t>Acompanhamento Anual dos Palnos de Ação</t>
  </si>
  <si>
    <t>Procimidade de Conclusão do BCS</t>
  </si>
  <si>
    <t>Conclusão das Estratégias por perspectiva</t>
  </si>
  <si>
    <t>Perspectiva de Processos Initernos</t>
  </si>
  <si>
    <t>Média</t>
  </si>
  <si>
    <t>Variação</t>
  </si>
  <si>
    <t>Análise de conclusão das metas globais atreladas às estratégias</t>
  </si>
  <si>
    <t/>
  </si>
  <si>
    <t>Principais Concorrentes</t>
  </si>
  <si>
    <t>Faturamento</t>
  </si>
  <si>
    <t>COLL</t>
  </si>
  <si>
    <t>NATIELI</t>
  </si>
  <si>
    <t xml:space="preserve">Posicionamento premium </t>
  </si>
  <si>
    <t>Tiket Médio</t>
  </si>
  <si>
    <t>Base de clientes recorentes</t>
  </si>
  <si>
    <t>Taxa de recompra (Fidelidade)</t>
  </si>
  <si>
    <t>Crescimento</t>
  </si>
  <si>
    <t>Agendamentos pelo instagram e whatsapp</t>
  </si>
  <si>
    <t>Alavancar Engajamento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</si>
</sst>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0"/>
    <numFmt numFmtId="165" formatCode="dddd"/>
    <numFmt numFmtId="166" formatCode="#,##0_-;\-#,##0_-;&quot;-&quot;;_-@_-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theme="1"/>
      <name val="Montserrat SemiBold"/>
    </font>
    <font>
      <sz val="8"/>
      <name val="Aptos Narrow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1"/>
      <color theme="0"/>
      <name val="Aptos Narrow"/>
      <family val="2"/>
      <scheme val="minor"/>
    </font>
    <font>
      <sz val="8"/>
      <color theme="0"/>
      <name val="Montserrat"/>
    </font>
    <font>
      <b/>
      <sz val="8"/>
      <name val="Montserrat SemiBold"/>
    </font>
    <font>
      <sz val="8"/>
      <name val="Montserrat"/>
    </font>
    <font>
      <b/>
      <sz val="28"/>
      <color theme="0"/>
      <name val="Segoe UI"/>
      <family val="2"/>
    </font>
    <font>
      <b/>
      <sz val="18"/>
      <color theme="0"/>
      <name val="Segoe UI"/>
      <family val="2"/>
    </font>
    <font>
      <i/>
      <sz val="9"/>
      <name val="Segoe UI"/>
      <family val="2"/>
    </font>
    <font>
      <i/>
      <sz val="9"/>
      <color theme="2" tint="-0.749992370372631"/>
      <name val="Segoe UI"/>
      <family val="2"/>
    </font>
    <font>
      <b/>
      <sz val="14"/>
      <color theme="0"/>
      <name val="Segoe UI"/>
      <family val="2"/>
    </font>
    <font>
      <b/>
      <sz val="16"/>
      <color theme="0"/>
      <name val="Segoe UI"/>
      <family val="2"/>
    </font>
    <font>
      <b/>
      <sz val="10"/>
      <color theme="0"/>
      <name val="Segoe UI"/>
      <family val="2"/>
    </font>
    <font>
      <sz val="9"/>
      <color theme="0"/>
      <name val="Segoe UI"/>
      <family val="2"/>
    </font>
    <font>
      <b/>
      <sz val="9"/>
      <color theme="0"/>
      <name val="Segoe UI"/>
      <family val="2"/>
    </font>
    <font>
      <sz val="10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i/>
      <sz val="8"/>
      <color theme="2" tint="-0.749992370372631"/>
      <name val="Segoe UI"/>
      <family val="2"/>
    </font>
    <font>
      <b/>
      <i/>
      <sz val="8"/>
      <color theme="2" tint="-0.749992370372631"/>
      <name val="Segoe UI"/>
      <family val="2"/>
    </font>
    <font>
      <b/>
      <sz val="12"/>
      <name val="Segoe UI"/>
      <family val="2"/>
    </font>
    <font>
      <b/>
      <sz val="12"/>
      <color theme="0"/>
      <name val="Segoe UI"/>
      <family val="2"/>
    </font>
    <font>
      <b/>
      <sz val="14"/>
      <color theme="1"/>
      <name val="Segoe UI"/>
      <family val="2"/>
    </font>
    <font>
      <sz val="11"/>
      <color theme="0" tint="-4.9989318521683403E-2"/>
      <name val="Aptos Narrow"/>
      <family val="2"/>
      <scheme val="minor"/>
    </font>
    <font>
      <i/>
      <sz val="11"/>
      <color theme="1"/>
      <name val="Segoe UI"/>
      <family val="2"/>
    </font>
    <font>
      <sz val="11"/>
      <name val="Aptos Narrow"/>
      <family val="2"/>
      <scheme val="minor"/>
    </font>
    <font>
      <b/>
      <sz val="8"/>
      <name val="Montserrat"/>
    </font>
    <font>
      <b/>
      <sz val="8"/>
      <color theme="0"/>
      <name val="Montserrat"/>
    </font>
    <font>
      <b/>
      <sz val="18"/>
      <color theme="1"/>
      <name val="Montserrat"/>
    </font>
    <font>
      <b/>
      <sz val="24"/>
      <color theme="1"/>
      <name val="Montserrat"/>
    </font>
    <font>
      <b/>
      <sz val="24"/>
      <color theme="0"/>
      <name val="Montserrat"/>
    </font>
    <font>
      <b/>
      <sz val="24"/>
      <name val="Montserrat"/>
    </font>
    <font>
      <sz val="8"/>
      <color theme="2" tint="-0.499984740745262"/>
      <name val="Montserrat"/>
    </font>
    <font>
      <b/>
      <sz val="28"/>
      <name val="Montserrat"/>
    </font>
    <font>
      <sz val="11"/>
      <color rgb="FFFF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DBD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09443"/>
        <bgColor indexed="64"/>
      </patternFill>
    </fill>
  </fills>
  <borders count="117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medium">
        <color theme="2"/>
      </left>
      <right/>
      <top/>
      <bottom/>
      <diagonal/>
    </border>
    <border>
      <left style="medium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medium">
        <color theme="2" tint="-9.9948118533890809E-2"/>
      </right>
      <top/>
      <bottom style="thin">
        <color theme="2" tint="-9.9948118533890809E-2"/>
      </bottom>
      <diagonal/>
    </border>
    <border>
      <left style="medium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2" tint="-9.9948118533890809E-2"/>
      </left>
      <right/>
      <top style="thin">
        <color theme="2" tint="-9.9948118533890809E-2"/>
      </top>
      <bottom style="double">
        <color theme="2" tint="-9.9948118533890809E-2"/>
      </bottom>
      <diagonal/>
    </border>
    <border>
      <left/>
      <right/>
      <top style="thin">
        <color theme="2" tint="-9.9948118533890809E-2"/>
      </top>
      <bottom style="double">
        <color theme="2" tint="-9.9948118533890809E-2"/>
      </bottom>
      <diagonal/>
    </border>
    <border>
      <left/>
      <right style="medium">
        <color theme="2" tint="-9.9948118533890809E-2"/>
      </right>
      <top style="thin">
        <color theme="2" tint="-9.9948118533890809E-2"/>
      </top>
      <bottom style="double">
        <color theme="2" tint="-9.9948118533890809E-2"/>
      </bottom>
      <diagonal/>
    </border>
    <border>
      <left style="medium">
        <color theme="2"/>
      </left>
      <right/>
      <top style="medium">
        <color theme="2" tint="-9.9948118533890809E-2"/>
      </top>
      <bottom style="medium">
        <color theme="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/>
      </bottom>
      <diagonal/>
    </border>
    <border>
      <left/>
      <right style="medium">
        <color theme="2" tint="-9.9948118533890809E-2"/>
      </right>
      <top/>
      <bottom/>
      <diagonal/>
    </border>
    <border>
      <left style="medium">
        <color theme="2" tint="-9.9948118533890809E-2"/>
      </left>
      <right style="medium">
        <color theme="2"/>
      </right>
      <top style="medium">
        <color theme="2" tint="-9.9948118533890809E-2"/>
      </top>
      <bottom/>
      <diagonal/>
    </border>
    <border>
      <left style="medium">
        <color theme="2" tint="-9.9948118533890809E-2"/>
      </left>
      <right style="medium">
        <color theme="2"/>
      </right>
      <top/>
      <bottom/>
      <diagonal/>
    </border>
    <border>
      <left/>
      <right/>
      <top style="medium">
        <color theme="0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2" tint="-9.9948118533890809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2"/>
      </right>
      <top style="medium">
        <color theme="0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0"/>
      </top>
      <bottom style="medium">
        <color theme="2"/>
      </bottom>
      <diagonal/>
    </border>
    <border>
      <left style="medium">
        <color theme="2"/>
      </left>
      <right style="medium">
        <color theme="0"/>
      </right>
      <top style="medium">
        <color theme="0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0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0"/>
      </bottom>
      <diagonal/>
    </border>
    <border>
      <left style="medium">
        <color theme="2"/>
      </left>
      <right style="medium">
        <color theme="0"/>
      </right>
      <top style="medium">
        <color theme="2"/>
      </top>
      <bottom style="medium">
        <color theme="0"/>
      </bottom>
      <diagonal/>
    </border>
    <border>
      <left style="medium">
        <color theme="2" tint="-0.24994659260841701"/>
      </left>
      <right style="medium">
        <color theme="2"/>
      </right>
      <top style="medium">
        <color theme="2" tint="-0.24994659260841701"/>
      </top>
      <bottom/>
      <diagonal/>
    </border>
    <border>
      <left style="medium">
        <color theme="2"/>
      </left>
      <right style="medium">
        <color theme="2"/>
      </right>
      <top style="medium">
        <color theme="2" tint="-0.24994659260841701"/>
      </top>
      <bottom/>
      <diagonal/>
    </border>
    <border>
      <left style="medium">
        <color theme="2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2" tint="-0.24994659260841701"/>
      </right>
      <top/>
      <bottom style="thin">
        <color theme="2" tint="-9.9948118533890809E-2"/>
      </bottom>
      <diagonal/>
    </border>
    <border>
      <left style="medium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medium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2" tint="-0.24994659260841701"/>
      </bottom>
      <diagonal/>
    </border>
    <border>
      <left style="thin">
        <color theme="2" tint="-9.9948118533890809E-2"/>
      </left>
      <right style="medium">
        <color theme="2" tint="-0.24994659260841701"/>
      </right>
      <top style="thin">
        <color theme="2" tint="-9.9948118533890809E-2"/>
      </top>
      <bottom style="medium">
        <color theme="2" tint="-0.24994659260841701"/>
      </bottom>
      <diagonal/>
    </border>
    <border>
      <left style="medium">
        <color theme="2"/>
      </left>
      <right/>
      <top style="medium">
        <color theme="2" tint="-0.24994659260841701"/>
      </top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theme="2" tint="-0.24994659260841701"/>
      </bottom>
      <diagonal/>
    </border>
    <border>
      <left style="medium">
        <color rgb="FFEDEEEF"/>
      </left>
      <right style="medium">
        <color rgb="FFEDEEEF"/>
      </right>
      <top style="medium">
        <color rgb="FFEDEEEF"/>
      </top>
      <bottom style="medium">
        <color rgb="FFEDEEEF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thick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/>
      <diagonal/>
    </border>
    <border>
      <left/>
      <right style="hair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hair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/>
      <bottom style="hair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theme="0" tint="-4.9989318521683403E-2"/>
      </right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thick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thick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ck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hair">
        <color theme="0" tint="-4.9989318521683403E-2"/>
      </top>
      <bottom style="thick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ck">
        <color theme="0" tint="-4.9989318521683403E-2"/>
      </bottom>
      <diagonal/>
    </border>
    <border>
      <left style="hair">
        <color theme="0" tint="-4.9989318521683403E-2"/>
      </left>
      <right style="medium">
        <color theme="0" tint="-4.9989318521683403E-2"/>
      </right>
      <top style="hair">
        <color theme="0" tint="-4.9989318521683403E-2"/>
      </top>
      <bottom style="thick">
        <color theme="0" tint="-4.9989318521683403E-2"/>
      </bottom>
      <diagonal/>
    </border>
    <border>
      <left/>
      <right style="hair">
        <color theme="0" tint="-4.9989318521683403E-2"/>
      </right>
      <top style="thick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ck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hair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 style="thick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theme="0" tint="-4.9989318521683403E-2"/>
      </right>
      <top style="thick">
        <color theme="0" tint="-4.9989318521683403E-2"/>
      </top>
      <bottom style="hair">
        <color theme="0" tint="-4.9989318521683403E-2"/>
      </bottom>
      <diagonal/>
    </border>
    <border>
      <left style="medium">
        <color theme="0" tint="-4.9989318521683403E-2"/>
      </left>
      <right/>
      <top style="thick">
        <color theme="0" tint="-4.9989318521683403E-2"/>
      </top>
      <bottom style="hair">
        <color theme="0" tint="-4.9989318521683403E-2"/>
      </bottom>
      <diagonal/>
    </border>
    <border>
      <left style="medium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 style="medium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hair">
        <color theme="0" tint="-4.9989318521683403E-2"/>
      </top>
      <bottom style="medium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theme="0" tint="-4.9989318521683403E-2"/>
      </bottom>
      <diagonal/>
    </border>
    <border>
      <left style="hair">
        <color theme="0" tint="-4.9989318521683403E-2"/>
      </left>
      <right style="medium">
        <color theme="0" tint="-4.9989318521683403E-2"/>
      </right>
      <top style="hair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 style="medium">
        <color theme="0" tint="-4.9989318521683403E-2"/>
      </left>
      <right style="thick">
        <color theme="0" tint="-4.9989318521683403E-2"/>
      </right>
      <top style="medium">
        <color theme="0" tint="-4.9989318521683403E-2"/>
      </top>
      <bottom/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/>
      <diagonal/>
    </border>
    <border>
      <left style="medium">
        <color rgb="FFEDEEEF"/>
      </left>
      <right/>
      <top style="medium">
        <color rgb="FFEDEEEF"/>
      </top>
      <bottom style="medium">
        <color rgb="FFEDEEEF"/>
      </bottom>
      <diagonal/>
    </border>
    <border>
      <left/>
      <right style="medium">
        <color rgb="FFEDEEEF"/>
      </right>
      <top style="medium">
        <color rgb="FFEDEEEF"/>
      </top>
      <bottom style="medium">
        <color rgb="FFEDEEEF"/>
      </bottom>
      <diagonal/>
    </border>
    <border>
      <left style="thick">
        <color rgb="FFEDEEEF"/>
      </left>
      <right style="thick">
        <color rgb="FFEDEEEF"/>
      </right>
      <top style="thick">
        <color rgb="FFEDEEEF"/>
      </top>
      <bottom style="thick">
        <color rgb="FFEDEEEF"/>
      </bottom>
      <diagonal/>
    </border>
    <border>
      <left style="thick">
        <color theme="6"/>
      </left>
      <right/>
      <top style="thick">
        <color theme="6"/>
      </top>
      <bottom style="thick">
        <color theme="6"/>
      </bottom>
      <diagonal/>
    </border>
    <border>
      <left/>
      <right/>
      <top style="thick">
        <color theme="6"/>
      </top>
      <bottom style="thick">
        <color theme="6"/>
      </bottom>
      <diagonal/>
    </border>
    <border>
      <left/>
      <right style="thick">
        <color theme="6"/>
      </right>
      <top style="thick">
        <color theme="6"/>
      </top>
      <bottom style="thick">
        <color theme="6"/>
      </bottom>
      <diagonal/>
    </border>
    <border>
      <left style="thick">
        <color theme="6"/>
      </left>
      <right style="thick">
        <color theme="6"/>
      </right>
      <top style="thick">
        <color theme="6"/>
      </top>
      <bottom style="thick">
        <color theme="2"/>
      </bottom>
      <diagonal/>
    </border>
    <border>
      <left style="thick">
        <color theme="6"/>
      </left>
      <right style="thick">
        <color theme="6"/>
      </right>
      <top style="thick">
        <color theme="2"/>
      </top>
      <bottom style="thick">
        <color theme="2"/>
      </bottom>
      <diagonal/>
    </border>
    <border>
      <left style="thick">
        <color theme="6"/>
      </left>
      <right style="thick">
        <color theme="6"/>
      </right>
      <top style="thick">
        <color theme="2"/>
      </top>
      <bottom style="thick">
        <color theme="6"/>
      </bottom>
      <diagonal/>
    </border>
    <border>
      <left style="thin">
        <color theme="2" tint="-9.9948118533890809E-2"/>
      </left>
      <right/>
      <top/>
      <bottom/>
      <diagonal/>
    </border>
    <border>
      <left style="medium">
        <color rgb="FFEDEEEF"/>
      </left>
      <right/>
      <top style="medium">
        <color rgb="FFEDEEEF"/>
      </top>
      <bottom/>
      <diagonal/>
    </border>
    <border>
      <left/>
      <right style="medium">
        <color rgb="FFEDEEEF"/>
      </right>
      <top style="medium">
        <color rgb="FFEDEEEF"/>
      </top>
      <bottom/>
      <diagonal/>
    </border>
    <border>
      <left style="medium">
        <color rgb="FFEDEEEF"/>
      </left>
      <right/>
      <top/>
      <bottom style="medium">
        <color rgb="FFEDEEEF"/>
      </bottom>
      <diagonal/>
    </border>
    <border>
      <left/>
      <right style="medium">
        <color rgb="FFEDEEEF"/>
      </right>
      <top/>
      <bottom style="medium">
        <color rgb="FFEDEEEF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thin">
        <color theme="2" tint="-9.9948118533890809E-2"/>
      </right>
      <top/>
      <bottom/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/>
    <xf numFmtId="0" fontId="3" fillId="4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4" fillId="2" borderId="2" xfId="0" applyFont="1" applyFill="1" applyBorder="1" applyAlignment="1">
      <alignment horizontal="left" vertical="center" wrapText="1"/>
    </xf>
    <xf numFmtId="0" fontId="2" fillId="0" borderId="5" xfId="0" applyFont="1" applyBorder="1"/>
    <xf numFmtId="0" fontId="4" fillId="2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2" borderId="17" xfId="0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5" borderId="27" xfId="0" applyFont="1" applyFill="1" applyBorder="1"/>
    <xf numFmtId="0" fontId="2" fillId="0" borderId="30" xfId="0" applyFont="1" applyBorder="1"/>
    <xf numFmtId="0" fontId="2" fillId="0" borderId="33" xfId="0" applyFont="1" applyBorder="1"/>
    <xf numFmtId="0" fontId="6" fillId="6" borderId="0" xfId="0" applyFont="1" applyFill="1" applyAlignment="1">
      <alignment horizontal="centerContinuous" vertical="center"/>
    </xf>
    <xf numFmtId="0" fontId="7" fillId="6" borderId="0" xfId="0" applyFont="1" applyFill="1" applyAlignment="1">
      <alignment horizontal="centerContinuous"/>
    </xf>
    <xf numFmtId="0" fontId="3" fillId="7" borderId="25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4" fontId="2" fillId="5" borderId="28" xfId="0" applyNumberFormat="1" applyFont="1" applyFill="1" applyBorder="1" applyAlignment="1">
      <alignment horizontal="center" vertical="center"/>
    </xf>
    <xf numFmtId="164" fontId="2" fillId="5" borderId="29" xfId="0" applyNumberFormat="1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10" fontId="2" fillId="5" borderId="27" xfId="1" applyNumberFormat="1" applyFont="1" applyFill="1" applyBorder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165" fontId="0" fillId="0" borderId="0" xfId="0" applyNumberFormat="1"/>
    <xf numFmtId="14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horizontal="centerContinuous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4" fontId="2" fillId="0" borderId="40" xfId="0" applyNumberFormat="1" applyFont="1" applyBorder="1" applyAlignment="1">
      <alignment horizontal="center" vertical="center"/>
    </xf>
    <xf numFmtId="1" fontId="2" fillId="7" borderId="40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3" fillId="2" borderId="47" xfId="0" applyFont="1" applyFill="1" applyBorder="1" applyAlignment="1">
      <alignment horizontal="center" vertical="center"/>
    </xf>
    <xf numFmtId="0" fontId="2" fillId="7" borderId="48" xfId="0" applyFont="1" applyFill="1" applyBorder="1" applyAlignment="1">
      <alignment horizontal="center" vertical="center"/>
    </xf>
    <xf numFmtId="9" fontId="2" fillId="7" borderId="41" xfId="1" applyFont="1" applyFill="1" applyBorder="1" applyAlignment="1">
      <alignment horizontal="center" vertical="center"/>
    </xf>
    <xf numFmtId="14" fontId="2" fillId="7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9" fontId="2" fillId="7" borderId="43" xfId="1" applyFont="1" applyFill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7" borderId="45" xfId="0" applyNumberFormat="1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49" xfId="0" applyFont="1" applyFill="1" applyBorder="1" applyAlignment="1">
      <alignment horizontal="center" vertical="center"/>
    </xf>
    <xf numFmtId="9" fontId="2" fillId="7" borderId="46" xfId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2" borderId="50" xfId="0" applyFont="1" applyFill="1" applyBorder="1"/>
    <xf numFmtId="0" fontId="3" fillId="2" borderId="50" xfId="0" applyFont="1" applyFill="1" applyBorder="1" applyAlignment="1">
      <alignment vertical="center"/>
    </xf>
    <xf numFmtId="0" fontId="3" fillId="2" borderId="50" xfId="0" applyFont="1" applyFill="1" applyBorder="1" applyAlignment="1">
      <alignment horizontal="center" vertical="center"/>
    </xf>
    <xf numFmtId="1" fontId="0" fillId="0" borderId="0" xfId="0" applyNumberFormat="1"/>
    <xf numFmtId="0" fontId="2" fillId="7" borderId="5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9" borderId="0" xfId="0" applyFill="1" applyProtection="1">
      <protection hidden="1"/>
    </xf>
    <xf numFmtId="0" fontId="14" fillId="9" borderId="0" xfId="0" applyFont="1" applyFill="1" applyProtection="1">
      <protection hidden="1"/>
    </xf>
    <xf numFmtId="0" fontId="18" fillId="11" borderId="55" xfId="0" applyFont="1" applyFill="1" applyBorder="1" applyAlignment="1" applyProtection="1">
      <alignment horizontal="center" vertical="center"/>
      <protection hidden="1"/>
    </xf>
    <xf numFmtId="0" fontId="18" fillId="11" borderId="56" xfId="0" applyFont="1" applyFill="1" applyBorder="1" applyAlignment="1" applyProtection="1">
      <alignment horizontal="center" vertical="center"/>
      <protection hidden="1"/>
    </xf>
    <xf numFmtId="0" fontId="19" fillId="8" borderId="0" xfId="0" applyFont="1" applyFill="1" applyAlignment="1" applyProtection="1">
      <alignment horizontal="left"/>
      <protection hidden="1"/>
    </xf>
    <xf numFmtId="0" fontId="20" fillId="8" borderId="0" xfId="0" applyFont="1" applyFill="1" applyAlignment="1" applyProtection="1">
      <alignment horizontal="center"/>
      <protection hidden="1"/>
    </xf>
    <xf numFmtId="0" fontId="19" fillId="13" borderId="0" xfId="0" applyFont="1" applyFill="1" applyAlignment="1" applyProtection="1">
      <alignment horizontal="left"/>
      <protection hidden="1"/>
    </xf>
    <xf numFmtId="0" fontId="20" fillId="13" borderId="0" xfId="0" applyFont="1" applyFill="1" applyAlignment="1" applyProtection="1">
      <alignment horizontal="center"/>
      <protection hidden="1"/>
    </xf>
    <xf numFmtId="0" fontId="19" fillId="14" borderId="0" xfId="0" applyFont="1" applyFill="1" applyAlignment="1" applyProtection="1">
      <alignment horizontal="left"/>
      <protection hidden="1"/>
    </xf>
    <xf numFmtId="0" fontId="20" fillId="14" borderId="0" xfId="0" applyFont="1" applyFill="1" applyAlignment="1" applyProtection="1">
      <alignment horizontal="center"/>
      <protection hidden="1"/>
    </xf>
    <xf numFmtId="0" fontId="19" fillId="15" borderId="0" xfId="0" applyFont="1" applyFill="1" applyAlignment="1" applyProtection="1">
      <alignment horizontal="left"/>
      <protection hidden="1"/>
    </xf>
    <xf numFmtId="0" fontId="20" fillId="15" borderId="0" xfId="0" applyFont="1" applyFill="1" applyAlignment="1" applyProtection="1">
      <alignment horizontal="center"/>
      <protection hidden="1"/>
    </xf>
    <xf numFmtId="166" fontId="23" fillId="2" borderId="63" xfId="0" applyNumberFormat="1" applyFont="1" applyFill="1" applyBorder="1" applyAlignment="1" applyProtection="1">
      <alignment horizontal="center" vertical="center" wrapText="1"/>
      <protection hidden="1"/>
    </xf>
    <xf numFmtId="166" fontId="23" fillId="2" borderId="85" xfId="0" applyNumberFormat="1" applyFont="1" applyFill="1" applyBorder="1" applyAlignment="1" applyProtection="1">
      <alignment horizontal="center" vertical="center" wrapText="1"/>
      <protection hidden="1"/>
    </xf>
    <xf numFmtId="166" fontId="23" fillId="2" borderId="86" xfId="0" applyNumberFormat="1" applyFont="1" applyFill="1" applyBorder="1" applyAlignment="1" applyProtection="1">
      <alignment horizontal="center" vertical="center" wrapText="1"/>
      <protection hidden="1"/>
    </xf>
    <xf numFmtId="166" fontId="23" fillId="2" borderId="94" xfId="0" applyNumberFormat="1" applyFont="1" applyFill="1" applyBorder="1" applyAlignment="1" applyProtection="1">
      <alignment horizontal="center" vertical="center" wrapText="1"/>
      <protection hidden="1"/>
    </xf>
    <xf numFmtId="166" fontId="23" fillId="2" borderId="95" xfId="0" applyNumberFormat="1" applyFont="1" applyFill="1" applyBorder="1" applyAlignment="1" applyProtection="1">
      <alignment horizontal="center" vertical="center" wrapText="1"/>
      <protection hidden="1"/>
    </xf>
    <xf numFmtId="166" fontId="22" fillId="9" borderId="96" xfId="0" applyNumberFormat="1" applyFont="1" applyFill="1" applyBorder="1" applyAlignment="1" applyProtection="1">
      <alignment horizontal="center" vertical="center" wrapText="1"/>
      <protection hidden="1"/>
    </xf>
    <xf numFmtId="0" fontId="26" fillId="9" borderId="0" xfId="0" applyFont="1" applyFill="1" applyAlignment="1" applyProtection="1">
      <alignment horizontal="right" vertical="center"/>
      <protection hidden="1"/>
    </xf>
    <xf numFmtId="166" fontId="27" fillId="8" borderId="64" xfId="0" applyNumberFormat="1" applyFont="1" applyFill="1" applyBorder="1" applyAlignment="1" applyProtection="1">
      <alignment horizontal="center" vertical="center"/>
      <protection hidden="1"/>
    </xf>
    <xf numFmtId="166" fontId="27" fillId="14" borderId="64" xfId="0" applyNumberFormat="1" applyFont="1" applyFill="1" applyBorder="1" applyAlignment="1" applyProtection="1">
      <alignment horizontal="center" vertical="center"/>
      <protection hidden="1"/>
    </xf>
    <xf numFmtId="0" fontId="28" fillId="9" borderId="0" xfId="0" quotePrefix="1" applyFont="1" applyFill="1" applyAlignment="1" applyProtection="1">
      <alignment horizontal="center" vertical="center"/>
      <protection hidden="1"/>
    </xf>
    <xf numFmtId="166" fontId="23" fillId="2" borderId="96" xfId="0" applyNumberFormat="1" applyFont="1" applyFill="1" applyBorder="1" applyAlignment="1" applyProtection="1">
      <alignment horizontal="center" vertical="center" wrapText="1"/>
      <protection hidden="1"/>
    </xf>
    <xf numFmtId="9" fontId="27" fillId="8" borderId="64" xfId="0" applyNumberFormat="1" applyFont="1" applyFill="1" applyBorder="1" applyAlignment="1" applyProtection="1">
      <alignment horizontal="center" vertical="center"/>
      <protection hidden="1"/>
    </xf>
    <xf numFmtId="9" fontId="27" fillId="13" borderId="64" xfId="0" applyNumberFormat="1" applyFont="1" applyFill="1" applyBorder="1" applyAlignment="1" applyProtection="1">
      <alignment horizontal="center" vertical="center"/>
      <protection hidden="1"/>
    </xf>
    <xf numFmtId="166" fontId="27" fillId="13" borderId="64" xfId="0" applyNumberFormat="1" applyFont="1" applyFill="1" applyBorder="1" applyAlignment="1" applyProtection="1">
      <alignment horizontal="center" vertical="center"/>
      <protection hidden="1"/>
    </xf>
    <xf numFmtId="166" fontId="27" fillId="15" borderId="64" xfId="0" applyNumberFormat="1" applyFont="1" applyFill="1" applyBorder="1" applyAlignment="1" applyProtection="1">
      <alignment horizontal="center" vertical="center"/>
      <protection hidden="1"/>
    </xf>
    <xf numFmtId="9" fontId="27" fillId="14" borderId="64" xfId="0" applyNumberFormat="1" applyFont="1" applyFill="1" applyBorder="1" applyAlignment="1" applyProtection="1">
      <alignment horizontal="center" vertical="center"/>
      <protection hidden="1"/>
    </xf>
    <xf numFmtId="9" fontId="27" fillId="15" borderId="64" xfId="0" applyNumberFormat="1" applyFont="1" applyFill="1" applyBorder="1" applyAlignment="1" applyProtection="1">
      <alignment horizontal="center" vertical="center"/>
      <protection hidden="1"/>
    </xf>
    <xf numFmtId="166" fontId="22" fillId="16" borderId="96" xfId="0" applyNumberFormat="1" applyFont="1" applyFill="1" applyBorder="1" applyAlignment="1" applyProtection="1">
      <alignment horizontal="center" vertical="center" wrapText="1"/>
      <protection hidden="1"/>
    </xf>
    <xf numFmtId="0" fontId="15" fillId="9" borderId="0" xfId="0" applyFont="1" applyFill="1" applyAlignment="1" applyProtection="1">
      <alignment vertical="top" wrapText="1"/>
      <protection hidden="1"/>
    </xf>
    <xf numFmtId="0" fontId="29" fillId="9" borderId="0" xfId="0" applyFont="1" applyFill="1" applyProtection="1">
      <protection hidden="1"/>
    </xf>
    <xf numFmtId="0" fontId="31" fillId="9" borderId="0" xfId="0" applyFont="1" applyFill="1" applyProtection="1">
      <protection hidden="1"/>
    </xf>
    <xf numFmtId="0" fontId="8" fillId="9" borderId="0" xfId="0" applyFont="1" applyFill="1" applyProtection="1">
      <protection hidden="1"/>
    </xf>
    <xf numFmtId="166" fontId="8" fillId="9" borderId="0" xfId="0" applyNumberFormat="1" applyFont="1" applyFill="1" applyProtection="1">
      <protection hidden="1"/>
    </xf>
    <xf numFmtId="9" fontId="0" fillId="0" borderId="0" xfId="1" applyFont="1"/>
    <xf numFmtId="0" fontId="10" fillId="2" borderId="100" xfId="0" applyFont="1" applyFill="1" applyBorder="1" applyAlignment="1">
      <alignment horizontal="left" vertical="center"/>
    </xf>
    <xf numFmtId="0" fontId="32" fillId="2" borderId="100" xfId="0" applyFont="1" applyFill="1" applyBorder="1" applyAlignment="1">
      <alignment horizontal="center" vertical="center"/>
    </xf>
    <xf numFmtId="0" fontId="11" fillId="7" borderId="100" xfId="0" applyFont="1" applyFill="1" applyBorder="1"/>
    <xf numFmtId="10" fontId="11" fillId="7" borderId="100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0" fillId="0" borderId="0" xfId="0" quotePrefix="1"/>
    <xf numFmtId="9" fontId="0" fillId="0" borderId="0" xfId="0" applyNumberFormat="1"/>
    <xf numFmtId="16" fontId="2" fillId="0" borderId="0" xfId="0" applyNumberFormat="1" applyFont="1"/>
    <xf numFmtId="10" fontId="2" fillId="0" borderId="0" xfId="1" applyNumberFormat="1" applyFont="1"/>
    <xf numFmtId="0" fontId="3" fillId="2" borderId="101" xfId="0" applyFont="1" applyFill="1" applyBorder="1" applyAlignment="1">
      <alignment vertical="center"/>
    </xf>
    <xf numFmtId="0" fontId="3" fillId="2" borderId="102" xfId="0" applyFont="1" applyFill="1" applyBorder="1" applyAlignment="1">
      <alignment vertical="center"/>
    </xf>
    <xf numFmtId="0" fontId="3" fillId="2" borderId="103" xfId="0" applyFont="1" applyFill="1" applyBorder="1" applyAlignment="1">
      <alignment vertical="center"/>
    </xf>
    <xf numFmtId="10" fontId="0" fillId="0" borderId="0" xfId="1" applyNumberFormat="1" applyFont="1"/>
    <xf numFmtId="0" fontId="3" fillId="2" borderId="28" xfId="0" applyFont="1" applyFill="1" applyBorder="1" applyAlignment="1">
      <alignment horizontal="left" vertical="center" wrapText="1"/>
    </xf>
    <xf numFmtId="0" fontId="2" fillId="7" borderId="28" xfId="0" applyFont="1" applyFill="1" applyBorder="1"/>
    <xf numFmtId="0" fontId="2" fillId="7" borderId="28" xfId="0" applyFont="1" applyFill="1" applyBorder="1" applyAlignment="1">
      <alignment horizontal="center" vertical="center"/>
    </xf>
    <xf numFmtId="10" fontId="2" fillId="7" borderId="28" xfId="1" applyNumberFormat="1" applyFont="1" applyFill="1" applyBorder="1" applyAlignment="1">
      <alignment horizontal="center" vertical="center"/>
    </xf>
    <xf numFmtId="0" fontId="2" fillId="0" borderId="107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0" borderId="40" xfId="0" applyFont="1" applyBorder="1"/>
    <xf numFmtId="0" fontId="3" fillId="0" borderId="3" xfId="0" applyFont="1" applyBorder="1" applyAlignment="1">
      <alignment vertical="center"/>
    </xf>
    <xf numFmtId="14" fontId="9" fillId="0" borderId="0" xfId="0" applyNumberFormat="1" applyFont="1"/>
    <xf numFmtId="1" fontId="9" fillId="0" borderId="0" xfId="0" applyNumberFormat="1" applyFont="1"/>
    <xf numFmtId="0" fontId="2" fillId="2" borderId="99" xfId="0" applyFont="1" applyFill="1" applyBorder="1"/>
    <xf numFmtId="9" fontId="2" fillId="7" borderId="50" xfId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2" borderId="98" xfId="0" applyFont="1" applyFill="1" applyBorder="1"/>
    <xf numFmtId="0" fontId="12" fillId="10" borderId="0" xfId="0" applyFont="1" applyFill="1" applyAlignment="1" applyProtection="1">
      <alignment horizontal="centerContinuous" vertical="center"/>
      <protection hidden="1"/>
    </xf>
    <xf numFmtId="0" fontId="9" fillId="11" borderId="0" xfId="0" applyFont="1" applyFill="1"/>
    <xf numFmtId="0" fontId="33" fillId="11" borderId="0" xfId="0" applyFont="1" applyFill="1" applyAlignment="1">
      <alignment horizontal="centerContinuous"/>
    </xf>
    <xf numFmtId="0" fontId="3" fillId="12" borderId="0" xfId="0" applyFont="1" applyFill="1" applyAlignment="1">
      <alignment horizontal="left" vertical="center"/>
    </xf>
    <xf numFmtId="0" fontId="34" fillId="7" borderId="0" xfId="0" applyFont="1" applyFill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107" xfId="0" applyFont="1" applyBorder="1"/>
    <xf numFmtId="0" fontId="2" fillId="0" borderId="114" xfId="0" applyFont="1" applyBorder="1"/>
    <xf numFmtId="0" fontId="2" fillId="0" borderId="48" xfId="0" applyFont="1" applyBorder="1"/>
    <xf numFmtId="0" fontId="2" fillId="0" borderId="5" xfId="0" applyFont="1" applyBorder="1" applyAlignment="1">
      <alignment horizontal="left"/>
    </xf>
    <xf numFmtId="0" fontId="2" fillId="0" borderId="115" xfId="0" applyFont="1" applyBorder="1"/>
    <xf numFmtId="9" fontId="34" fillId="0" borderId="0" xfId="1" applyFont="1" applyAlignment="1">
      <alignment horizontal="center" vertical="center"/>
    </xf>
    <xf numFmtId="14" fontId="11" fillId="0" borderId="0" xfId="0" applyNumberFormat="1" applyFont="1"/>
    <xf numFmtId="1" fontId="11" fillId="0" borderId="0" xfId="0" applyNumberFormat="1" applyFont="1"/>
    <xf numFmtId="0" fontId="35" fillId="0" borderId="0" xfId="0" applyFont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36" fillId="19" borderId="0" xfId="0" applyFont="1" applyFill="1" applyAlignment="1">
      <alignment horizontal="center" vertical="center"/>
    </xf>
    <xf numFmtId="0" fontId="36" fillId="18" borderId="0" xfId="0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8" fillId="12" borderId="0" xfId="0" applyFont="1" applyFill="1"/>
    <xf numFmtId="0" fontId="3" fillId="0" borderId="116" xfId="0" applyFont="1" applyBorder="1" applyAlignment="1">
      <alignment vertical="center"/>
    </xf>
    <xf numFmtId="10" fontId="11" fillId="7" borderId="116" xfId="1" applyNumberFormat="1" applyFont="1" applyFill="1" applyBorder="1" applyAlignment="1">
      <alignment horizontal="center" vertical="center"/>
    </xf>
    <xf numFmtId="0" fontId="2" fillId="0" borderId="0" xfId="0" quotePrefix="1" applyFont="1"/>
    <xf numFmtId="0" fontId="21" fillId="2" borderId="63" xfId="0" applyFont="1" applyFill="1" applyBorder="1" applyAlignment="1">
      <alignment horizontal="left" vertical="top" wrapText="1"/>
    </xf>
    <xf numFmtId="0" fontId="22" fillId="8" borderId="64" xfId="0" applyFont="1" applyFill="1" applyBorder="1" applyAlignment="1">
      <alignment horizontal="center" vertical="center"/>
    </xf>
    <xf numFmtId="0" fontId="22" fillId="8" borderId="65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22" fillId="13" borderId="67" xfId="0" applyFont="1" applyFill="1" applyBorder="1" applyAlignment="1">
      <alignment horizontal="center" vertical="center"/>
    </xf>
    <xf numFmtId="0" fontId="22" fillId="13" borderId="65" xfId="0" applyFont="1" applyFill="1" applyBorder="1" applyAlignment="1">
      <alignment horizontal="center" vertical="center"/>
    </xf>
    <xf numFmtId="0" fontId="22" fillId="13" borderId="68" xfId="0" applyFont="1" applyFill="1" applyBorder="1" applyAlignment="1">
      <alignment horizontal="center" vertical="center"/>
    </xf>
    <xf numFmtId="0" fontId="22" fillId="8" borderId="69" xfId="0" applyFont="1" applyFill="1" applyBorder="1" applyAlignment="1">
      <alignment horizontal="center" vertical="center"/>
    </xf>
    <xf numFmtId="0" fontId="22" fillId="8" borderId="70" xfId="0" applyFont="1" applyFill="1" applyBorder="1" applyAlignment="1">
      <alignment horizontal="center" vertical="center"/>
    </xf>
    <xf numFmtId="0" fontId="22" fillId="8" borderId="71" xfId="0" applyFont="1" applyFill="1" applyBorder="1" applyAlignment="1">
      <alignment horizontal="center" vertical="center"/>
    </xf>
    <xf numFmtId="0" fontId="22" fillId="13" borderId="72" xfId="0" applyFont="1" applyFill="1" applyBorder="1" applyAlignment="1">
      <alignment horizontal="center" vertical="center"/>
    </xf>
    <xf numFmtId="0" fontId="22" fillId="13" borderId="70" xfId="0" applyFont="1" applyFill="1" applyBorder="1" applyAlignment="1">
      <alignment horizontal="center" vertical="center"/>
    </xf>
    <xf numFmtId="0" fontId="22" fillId="13" borderId="73" xfId="0" applyFont="1" applyFill="1" applyBorder="1" applyAlignment="1">
      <alignment horizontal="center" vertical="center"/>
    </xf>
    <xf numFmtId="0" fontId="22" fillId="8" borderId="75" xfId="0" applyFont="1" applyFill="1" applyBorder="1" applyAlignment="1">
      <alignment horizontal="center" vertical="center"/>
    </xf>
    <xf numFmtId="0" fontId="22" fillId="8" borderId="76" xfId="0" applyFont="1" applyFill="1" applyBorder="1" applyAlignment="1">
      <alignment horizontal="center" vertical="center"/>
    </xf>
    <xf numFmtId="0" fontId="22" fillId="8" borderId="77" xfId="0" applyFont="1" applyFill="1" applyBorder="1" applyAlignment="1">
      <alignment horizontal="center" vertical="center"/>
    </xf>
    <xf numFmtId="0" fontId="22" fillId="13" borderId="78" xfId="0" applyFont="1" applyFill="1" applyBorder="1" applyAlignment="1">
      <alignment horizontal="center" vertical="center"/>
    </xf>
    <xf numFmtId="0" fontId="22" fillId="13" borderId="76" xfId="0" applyFont="1" applyFill="1" applyBorder="1" applyAlignment="1">
      <alignment horizontal="center" vertical="center"/>
    </xf>
    <xf numFmtId="0" fontId="22" fillId="13" borderId="79" xfId="0" applyFont="1" applyFill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22" fillId="15" borderId="83" xfId="0" applyFont="1" applyFill="1" applyBorder="1" applyAlignment="1">
      <alignment horizontal="center" vertical="center"/>
    </xf>
    <xf numFmtId="0" fontId="22" fillId="15" borderId="81" xfId="0" applyFont="1" applyFill="1" applyBorder="1" applyAlignment="1">
      <alignment horizontal="center" vertical="center"/>
    </xf>
    <xf numFmtId="0" fontId="22" fillId="15" borderId="84" xfId="0" applyFont="1" applyFill="1" applyBorder="1" applyAlignment="1">
      <alignment horizontal="center" vertical="center"/>
    </xf>
    <xf numFmtId="0" fontId="22" fillId="14" borderId="69" xfId="0" applyFont="1" applyFill="1" applyBorder="1" applyAlignment="1">
      <alignment horizontal="center" vertical="center"/>
    </xf>
    <xf numFmtId="0" fontId="22" fillId="14" borderId="70" xfId="0" applyFont="1" applyFill="1" applyBorder="1" applyAlignment="1">
      <alignment horizontal="center" vertical="center"/>
    </xf>
    <xf numFmtId="0" fontId="22" fillId="14" borderId="71" xfId="0" applyFont="1" applyFill="1" applyBorder="1" applyAlignment="1">
      <alignment horizontal="center" vertical="center"/>
    </xf>
    <xf numFmtId="0" fontId="22" fillId="15" borderId="72" xfId="0" applyFont="1" applyFill="1" applyBorder="1" applyAlignment="1">
      <alignment horizontal="center" vertical="center"/>
    </xf>
    <xf numFmtId="0" fontId="22" fillId="15" borderId="70" xfId="0" applyFont="1" applyFill="1" applyBorder="1" applyAlignment="1">
      <alignment horizontal="center" vertical="center"/>
    </xf>
    <xf numFmtId="0" fontId="22" fillId="15" borderId="73" xfId="0" applyFont="1" applyFill="1" applyBorder="1" applyAlignment="1">
      <alignment horizontal="center" vertical="center"/>
    </xf>
    <xf numFmtId="0" fontId="22" fillId="14" borderId="89" xfId="0" applyFont="1" applyFill="1" applyBorder="1" applyAlignment="1">
      <alignment horizontal="center" vertical="center"/>
    </xf>
    <xf numFmtId="0" fontId="22" fillId="14" borderId="90" xfId="0" applyFont="1" applyFill="1" applyBorder="1" applyAlignment="1">
      <alignment horizontal="center" vertical="center"/>
    </xf>
    <xf numFmtId="0" fontId="22" fillId="14" borderId="91" xfId="0" applyFont="1" applyFill="1" applyBorder="1" applyAlignment="1">
      <alignment horizontal="center" vertical="center"/>
    </xf>
    <xf numFmtId="0" fontId="22" fillId="15" borderId="92" xfId="0" applyFont="1" applyFill="1" applyBorder="1" applyAlignment="1">
      <alignment horizontal="center" vertical="center"/>
    </xf>
    <xf numFmtId="0" fontId="22" fillId="15" borderId="90" xfId="0" applyFont="1" applyFill="1" applyBorder="1" applyAlignment="1">
      <alignment horizontal="center" vertical="center"/>
    </xf>
    <xf numFmtId="0" fontId="22" fillId="15" borderId="93" xfId="0" applyFont="1" applyFill="1" applyBorder="1" applyAlignment="1">
      <alignment horizontal="center" vertical="center"/>
    </xf>
    <xf numFmtId="164" fontId="9" fillId="0" borderId="0" xfId="0" applyNumberFormat="1" applyFont="1"/>
    <xf numFmtId="0" fontId="9" fillId="4" borderId="0" xfId="0" applyFont="1" applyFill="1"/>
    <xf numFmtId="0" fontId="9" fillId="3" borderId="0" xfId="0" applyFont="1" applyFill="1"/>
    <xf numFmtId="16" fontId="2" fillId="0" borderId="0" xfId="0" applyNumberFormat="1" applyFont="1" applyAlignment="1">
      <alignment horizontal="left" vertical="center"/>
    </xf>
    <xf numFmtId="1" fontId="2" fillId="0" borderId="40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44" fontId="2" fillId="0" borderId="3" xfId="2" applyFont="1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10" fontId="2" fillId="0" borderId="104" xfId="1" applyNumberFormat="1" applyFont="1" applyBorder="1" applyAlignment="1">
      <alignment horizontal="center" vertical="center"/>
    </xf>
    <xf numFmtId="10" fontId="2" fillId="0" borderId="105" xfId="1" applyNumberFormat="1" applyFont="1" applyBorder="1" applyAlignment="1">
      <alignment horizontal="center" vertical="center"/>
    </xf>
    <xf numFmtId="10" fontId="2" fillId="0" borderId="106" xfId="1" applyNumberFormat="1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 wrapText="1"/>
    </xf>
    <xf numFmtId="0" fontId="3" fillId="0" borderId="105" xfId="0" applyFont="1" applyBorder="1" applyAlignment="1">
      <alignment horizontal="center" vertical="center" wrapText="1"/>
    </xf>
    <xf numFmtId="0" fontId="3" fillId="0" borderId="106" xfId="0" applyFont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left" vertical="center" wrapText="1"/>
    </xf>
    <xf numFmtId="9" fontId="2" fillId="7" borderId="50" xfId="1" applyFont="1" applyFill="1" applyBorder="1" applyAlignment="1">
      <alignment horizontal="center" vertical="center"/>
    </xf>
    <xf numFmtId="9" fontId="2" fillId="7" borderId="108" xfId="1" applyFont="1" applyFill="1" applyBorder="1" applyAlignment="1">
      <alignment horizontal="center" vertical="center" wrapText="1"/>
    </xf>
    <xf numFmtId="9" fontId="2" fillId="7" borderId="109" xfId="1" applyFont="1" applyFill="1" applyBorder="1" applyAlignment="1">
      <alignment horizontal="center" vertical="center" wrapText="1"/>
    </xf>
    <xf numFmtId="9" fontId="2" fillId="7" borderId="110" xfId="1" applyFont="1" applyFill="1" applyBorder="1" applyAlignment="1">
      <alignment horizontal="center" vertical="center" wrapText="1"/>
    </xf>
    <xf numFmtId="9" fontId="2" fillId="7" borderId="111" xfId="1" applyFont="1" applyFill="1" applyBorder="1" applyAlignment="1">
      <alignment horizontal="center" vertical="center" wrapText="1"/>
    </xf>
    <xf numFmtId="10" fontId="11" fillId="11" borderId="0" xfId="1" applyNumberFormat="1" applyFont="1" applyFill="1" applyAlignment="1">
      <alignment horizontal="center"/>
    </xf>
    <xf numFmtId="0" fontId="3" fillId="12" borderId="112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10" fontId="39" fillId="7" borderId="0" xfId="1" applyNumberFormat="1" applyFont="1" applyFill="1" applyBorder="1" applyAlignment="1">
      <alignment horizontal="center" vertical="center"/>
    </xf>
    <xf numFmtId="0" fontId="17" fillId="11" borderId="0" xfId="0" applyFont="1" applyFill="1" applyAlignment="1" applyProtection="1">
      <alignment horizontal="center" vertical="center" textRotation="90"/>
      <protection hidden="1"/>
    </xf>
    <xf numFmtId="0" fontId="16" fillId="11" borderId="56" xfId="0" applyFont="1" applyFill="1" applyBorder="1" applyAlignment="1" applyProtection="1">
      <alignment horizontal="center" vertical="center"/>
      <protection hidden="1"/>
    </xf>
    <xf numFmtId="0" fontId="16" fillId="11" borderId="57" xfId="0" applyFont="1" applyFill="1" applyBorder="1" applyAlignment="1" applyProtection="1">
      <alignment horizontal="center" vertical="center"/>
      <protection hidden="1"/>
    </xf>
    <xf numFmtId="0" fontId="16" fillId="11" borderId="58" xfId="0" applyFont="1" applyFill="1" applyBorder="1" applyAlignment="1" applyProtection="1">
      <alignment horizontal="center" vertical="center"/>
      <protection hidden="1"/>
    </xf>
    <xf numFmtId="0" fontId="16" fillId="11" borderId="59" xfId="0" applyFont="1" applyFill="1" applyBorder="1" applyAlignment="1" applyProtection="1">
      <alignment horizontal="center" vertical="center"/>
      <protection hidden="1"/>
    </xf>
    <xf numFmtId="0" fontId="19" fillId="8" borderId="60" xfId="0" applyFont="1" applyFill="1" applyBorder="1" applyAlignment="1" applyProtection="1">
      <alignment horizontal="left" vertical="top" wrapText="1"/>
      <protection hidden="1"/>
    </xf>
    <xf numFmtId="0" fontId="19" fillId="8" borderId="60" xfId="0" applyFont="1" applyFill="1" applyBorder="1" applyAlignment="1" applyProtection="1">
      <alignment horizontal="left" vertical="top"/>
      <protection hidden="1"/>
    </xf>
    <xf numFmtId="0" fontId="21" fillId="2" borderId="61" xfId="0" applyFont="1" applyFill="1" applyBorder="1" applyAlignment="1">
      <alignment horizontal="left" textRotation="90" wrapText="1"/>
    </xf>
    <xf numFmtId="0" fontId="21" fillId="2" borderId="62" xfId="0" applyFont="1" applyFill="1" applyBorder="1" applyAlignment="1">
      <alignment horizontal="left" textRotation="90" wrapText="1"/>
    </xf>
    <xf numFmtId="0" fontId="16" fillId="10" borderId="51" xfId="0" applyFont="1" applyFill="1" applyBorder="1" applyAlignment="1" applyProtection="1">
      <alignment horizontal="center" vertical="center"/>
      <protection hidden="1"/>
    </xf>
    <xf numFmtId="0" fontId="16" fillId="10" borderId="52" xfId="0" applyFont="1" applyFill="1" applyBorder="1" applyAlignment="1" applyProtection="1">
      <alignment horizontal="center" vertical="center"/>
      <protection hidden="1"/>
    </xf>
    <xf numFmtId="0" fontId="13" fillId="10" borderId="52" xfId="0" applyFont="1" applyFill="1" applyBorder="1" applyAlignment="1" applyProtection="1">
      <alignment horizontal="center" vertical="center"/>
      <protection hidden="1"/>
    </xf>
    <xf numFmtId="0" fontId="13" fillId="10" borderId="53" xfId="0" applyFont="1" applyFill="1" applyBorder="1" applyAlignment="1" applyProtection="1">
      <alignment horizontal="center" vertical="center"/>
      <protection hidden="1"/>
    </xf>
    <xf numFmtId="0" fontId="13" fillId="10" borderId="54" xfId="0" applyFont="1" applyFill="1" applyBorder="1" applyAlignment="1" applyProtection="1">
      <alignment horizontal="center" vertical="center"/>
      <protection hidden="1"/>
    </xf>
    <xf numFmtId="0" fontId="26" fillId="9" borderId="97" xfId="0" applyFont="1" applyFill="1" applyBorder="1" applyAlignment="1" applyProtection="1">
      <alignment horizontal="center" vertical="center" wrapText="1"/>
      <protection hidden="1"/>
    </xf>
    <xf numFmtId="0" fontId="26" fillId="9" borderId="97" xfId="0" applyFont="1" applyFill="1" applyBorder="1" applyAlignment="1" applyProtection="1">
      <alignment horizontal="center" vertical="center"/>
      <protection hidden="1"/>
    </xf>
    <xf numFmtId="0" fontId="17" fillId="11" borderId="0" xfId="0" applyFont="1" applyFill="1" applyAlignment="1" applyProtection="1">
      <alignment horizontal="center" vertical="center"/>
      <protection hidden="1"/>
    </xf>
    <xf numFmtId="0" fontId="30" fillId="2" borderId="0" xfId="0" applyFont="1" applyFill="1" applyAlignment="1">
      <alignment horizontal="left" vertical="top" wrapText="1"/>
    </xf>
    <xf numFmtId="0" fontId="19" fillId="13" borderId="60" xfId="0" applyFont="1" applyFill="1" applyBorder="1" applyAlignment="1" applyProtection="1">
      <alignment horizontal="left" vertical="top" wrapText="1"/>
      <protection hidden="1"/>
    </xf>
    <xf numFmtId="0" fontId="19" fillId="13" borderId="60" xfId="0" applyFont="1" applyFill="1" applyBorder="1" applyAlignment="1" applyProtection="1">
      <alignment horizontal="left" vertical="top"/>
      <protection hidden="1"/>
    </xf>
    <xf numFmtId="0" fontId="19" fillId="14" borderId="60" xfId="0" applyFont="1" applyFill="1" applyBorder="1" applyAlignment="1" applyProtection="1">
      <alignment horizontal="left" vertical="top" wrapText="1"/>
      <protection hidden="1"/>
    </xf>
    <xf numFmtId="0" fontId="19" fillId="14" borderId="60" xfId="0" applyFont="1" applyFill="1" applyBorder="1" applyAlignment="1" applyProtection="1">
      <alignment horizontal="left" vertical="top"/>
      <protection hidden="1"/>
    </xf>
    <xf numFmtId="0" fontId="19" fillId="15" borderId="60" xfId="0" applyFont="1" applyFill="1" applyBorder="1" applyAlignment="1" applyProtection="1">
      <alignment horizontal="left" vertical="top" wrapText="1"/>
      <protection hidden="1"/>
    </xf>
    <xf numFmtId="0" fontId="19" fillId="15" borderId="60" xfId="0" applyFont="1" applyFill="1" applyBorder="1" applyAlignment="1" applyProtection="1">
      <alignment horizontal="left" vertical="top"/>
      <protection hidden="1"/>
    </xf>
    <xf numFmtId="0" fontId="13" fillId="10" borderId="52" xfId="0" applyFont="1" applyFill="1" applyBorder="1" applyAlignment="1" applyProtection="1">
      <alignment horizontal="center" vertical="center" textRotation="90" wrapText="1"/>
      <protection hidden="1"/>
    </xf>
    <xf numFmtId="0" fontId="13" fillId="10" borderId="56" xfId="0" applyFont="1" applyFill="1" applyBorder="1" applyAlignment="1" applyProtection="1">
      <alignment horizontal="center" vertical="center" textRotation="90" wrapText="1"/>
      <protection hidden="1"/>
    </xf>
    <xf numFmtId="0" fontId="13" fillId="10" borderId="87" xfId="0" applyFont="1" applyFill="1" applyBorder="1" applyAlignment="1" applyProtection="1">
      <alignment horizontal="center" vertical="center" textRotation="90" wrapText="1"/>
      <protection hidden="1"/>
    </xf>
    <xf numFmtId="0" fontId="16" fillId="11" borderId="53" xfId="0" applyFont="1" applyFill="1" applyBorder="1" applyAlignment="1" applyProtection="1">
      <alignment horizontal="center" vertical="center" textRotation="90" wrapText="1"/>
      <protection hidden="1"/>
    </xf>
    <xf numFmtId="0" fontId="16" fillId="11" borderId="57" xfId="0" applyFont="1" applyFill="1" applyBorder="1" applyAlignment="1" applyProtection="1">
      <alignment horizontal="center" vertical="center" textRotation="90" wrapText="1"/>
      <protection hidden="1"/>
    </xf>
    <xf numFmtId="0" fontId="16" fillId="11" borderId="74" xfId="0" applyFont="1" applyFill="1" applyBorder="1" applyAlignment="1" applyProtection="1">
      <alignment horizontal="center" vertical="center" textRotation="90" wrapText="1"/>
      <protection hidden="1"/>
    </xf>
    <xf numFmtId="0" fontId="16" fillId="11" borderId="88" xfId="0" applyFont="1" applyFill="1" applyBorder="1" applyAlignment="1" applyProtection="1">
      <alignment horizontal="center" vertical="center" textRotation="90" wrapText="1"/>
      <protection hidden="1"/>
    </xf>
    <xf numFmtId="0" fontId="13" fillId="11" borderId="0" xfId="0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left" vertical="top" wrapText="1"/>
      <protection hidden="1"/>
    </xf>
    <xf numFmtId="0" fontId="26" fillId="9" borderId="0" xfId="0" applyFont="1" applyFill="1" applyAlignment="1" applyProtection="1">
      <alignment horizontal="right" vertical="center"/>
      <protection hidden="1"/>
    </xf>
  </cellXfs>
  <cellStyles count="3">
    <cellStyle name="Moeda" xfId="2" builtinId="4"/>
    <cellStyle name="Normal" xfId="0" builtinId="0"/>
    <cellStyle name="Porcentagem" xfId="1" builtinId="5"/>
  </cellStyles>
  <dxfs count="937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512373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512373"/>
        </patternFill>
      </fill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0"/>
      </font>
      <fill>
        <patternFill>
          <bgColor rgb="FF609443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43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43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512373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auto="1"/>
      </font>
      <fill>
        <patternFill>
          <bgColor rgb="FFFF2525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512373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60943C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512373"/>
        </patternFill>
      </fill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4" formatCode="0.00%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2" formatCode="0.00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theme="9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theme="9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2" formatCode="0.00"/>
    </dxf>
    <dxf>
      <font>
        <color rgb="FFFF0000"/>
      </font>
    </dxf>
    <dxf>
      <font>
        <color theme="9"/>
      </font>
    </dxf>
    <dxf>
      <numFmt numFmtId="14" formatCode="0.00%"/>
    </dxf>
    <dxf>
      <numFmt numFmtId="2" formatCode="0.00"/>
    </dxf>
    <dxf>
      <numFmt numFmtId="34" formatCode="_-&quot;R$&quot;\ * #,##0.00_-;\-&quot;R$&quot;\ * #,##0.00_-;_-&quot;R$&quot;\ * &quot;-&quot;??_-;_-@_-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B3F19"/>
        </patternFill>
      </fill>
    </dxf>
  </dxfs>
  <tableStyles count="0" defaultTableStyle="TableStyleMedium2" defaultPivotStyle="PivotStyleLight16"/>
  <colors>
    <mruColors>
      <color rgb="FFFFC000"/>
      <color rgb="FFFF5050"/>
      <color rgb="FF609443"/>
      <color rgb="FFD2E7C3"/>
      <color rgb="FF60943C"/>
      <color rgb="FF512373"/>
      <color rgb="FFFF3B3B"/>
      <color rgb="FFFF2525"/>
      <color rgb="FFEDEEEF"/>
      <color rgb="FFD9D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dash_ap!$C$24</c:f>
              <c:strCache>
                <c:ptCount val="1"/>
                <c:pt idx="0">
                  <c:v>Aumentar: Faturamento</c:v>
                </c:pt>
              </c:strCache>
            </c:strRef>
          </c:cat>
          <c:val>
            <c:numRef>
              <c:f>dash_ap!$D$24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9-4FA9-A7E1-F42BF343A59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dash_ap!$C$24</c:f>
              <c:strCache>
                <c:ptCount val="1"/>
                <c:pt idx="0">
                  <c:v>Aumentar: Faturamento</c:v>
                </c:pt>
              </c:strCache>
            </c:strRef>
          </c:cat>
          <c:val>
            <c:numRef>
              <c:f>dash_ap!$E$24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9-4FA9-A7E1-F42BF343A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dash_ap!$C$25</c:f>
              <c:strCache>
                <c:ptCount val="1"/>
                <c:pt idx="0">
                  <c:v>Aumentar: Tiket Médio</c:v>
                </c:pt>
              </c:strCache>
            </c:strRef>
          </c:cat>
          <c:val>
            <c:numRef>
              <c:f>dash_ap!$D$25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0-4012-B9B3-6C5D824829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dash_ap!$C$25</c:f>
              <c:strCache>
                <c:ptCount val="1"/>
                <c:pt idx="0">
                  <c:v>Aumentar: Tiket Médio</c:v>
                </c:pt>
              </c:strCache>
            </c:strRef>
          </c:cat>
          <c:val>
            <c:numRef>
              <c:f>dash_ap!$E$25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0-4012-B9B3-6C5D82482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dash_ap!$C$26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3-438E-B55C-138F06472B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dash_ap!$C$26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3-438E-B55C-138F0647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dash_ap!$C$27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4-402D-A72F-13B7A184D5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dash_ap!$C$27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4-402D-A72F-13B7A184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dash_ap!$C$28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A-4128-9D63-3E1A07AAC7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dash_ap!$C$28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A-4128-9D63-3E1A07AA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dash_ap!$C$29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A-4537-933B-6A37050010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dash_ap!$C$29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A-4537-933B-6A370500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dash_ap!$C$30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A-4B53-BD53-C1E8F0F704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dash_ap!$C$30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A-4B53-BD53-C1E8F0F70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dash_ap!$C$31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0-4A9C-B775-362BF164FA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dash_ap!$C$31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0-4A9C-B775-362BF164F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731983"/>
        <c:axId val="449724783"/>
      </c:barChart>
      <c:catAx>
        <c:axId val="4497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724783"/>
        <c:crosses val="autoZero"/>
        <c:auto val="1"/>
        <c:lblAlgn val="ctr"/>
        <c:lblOffset val="100"/>
        <c:noMultiLvlLbl val="0"/>
      </c:catAx>
      <c:valAx>
        <c:axId val="449724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73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dash_ap!$C$35</c:f>
              <c:strCache>
                <c:ptCount val="1"/>
                <c:pt idx="0">
                  <c:v>Aumentar: Faturamento</c:v>
                </c:pt>
              </c:strCache>
            </c:strRef>
          </c:cat>
          <c:val>
            <c:numRef>
              <c:f>dash_ap!$D$35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7-4FDA-AD1E-C10CC19568E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dash_ap!$C$35</c:f>
              <c:strCache>
                <c:ptCount val="1"/>
                <c:pt idx="0">
                  <c:v>Aumentar: Faturamento</c:v>
                </c:pt>
              </c:strCache>
            </c:strRef>
          </c:cat>
          <c:val>
            <c:numRef>
              <c:f>dash_ap!$E$35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7-4FDA-AD1E-C10CC1956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dash_ap!$C$36</c:f>
              <c:strCache>
                <c:ptCount val="1"/>
                <c:pt idx="0">
                  <c:v>Aumentar: Tiket Médio</c:v>
                </c:pt>
              </c:strCache>
            </c:strRef>
          </c:cat>
          <c:val>
            <c:numRef>
              <c:f>dash_ap!$D$36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E-4719-B032-E83322ABE3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dash_ap!$C$36</c:f>
              <c:strCache>
                <c:ptCount val="1"/>
                <c:pt idx="0">
                  <c:v>Aumentar: Tiket Médio</c:v>
                </c:pt>
              </c:strCache>
            </c:strRef>
          </c:cat>
          <c:val>
            <c:numRef>
              <c:f>dash_ap!$E$36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E-4719-B032-E83322AB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dash_ap!$C$37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E-4CAB-A0ED-5FC2AE0D27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dash_ap!$C$37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E-4CAB-A0ED-5FC2AE0D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dash_ap!$C$38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C-4588-9C23-5E711AD8889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dash_ap!$C$38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C-4588-9C23-5E711AD88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dash_ap!$C$39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4-4666-B37A-E58EE58690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dash_ap!$C$39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4-4666-B37A-E58EE5869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dash_ap!$C$40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dash_ap!$D$40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4-4025-A29E-B8835B18AF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dash_ap!$C$40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dash_ap!$E$40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4-4025-A29E-B8835B18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dash_ap!$C$41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dash_ap!$D$41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F-42BD-B9A6-05F773A197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dash_ap!$C$41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dash_ap!$E$41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F-42BD-B9A6-05F773A1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dash_ap!$C$42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3-4A2D-9575-2B84A13676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dash_ap!$C$42</c:f>
              <c:strCache>
                <c:ptCount val="1"/>
                <c:pt idx="0">
                  <c:v>: </c:v>
                </c:pt>
              </c:strCache>
            </c:strRef>
          </c:cat>
          <c:val>
            <c:numRef>
              <c:f>dash_ap!$E$42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3-4A2D-9575-2B84A136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768255"/>
        <c:axId val="1185764415"/>
      </c:barChart>
      <c:catAx>
        <c:axId val="11857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764415"/>
        <c:crosses val="autoZero"/>
        <c:auto val="1"/>
        <c:lblAlgn val="ctr"/>
        <c:lblOffset val="100"/>
        <c:noMultiLvlLbl val="0"/>
      </c:catAx>
      <c:valAx>
        <c:axId val="1185764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7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983698395788531E-2"/>
          <c:y val="8.3217571357429299E-2"/>
          <c:w val="0.97971989502251167"/>
          <c:h val="0.5688317134599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dash_apa!$Z$12</c:f>
              <c:strCache>
                <c:ptCount val="1"/>
                <c:pt idx="0">
                  <c:v>Aguardando Etapa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dash_apa!$AA$10:$AL$10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dash_apa!$AA$12:$AL$12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9-448F-855D-D3A724DD402D}"/>
            </c:ext>
          </c:extLst>
        </c:ser>
        <c:ser>
          <c:idx val="1"/>
          <c:order val="1"/>
          <c:tx>
            <c:strRef>
              <c:f>dash_apa!$Z$13</c:f>
              <c:strCache>
                <c:ptCount val="1"/>
                <c:pt idx="0">
                  <c:v>Concluídos</c:v>
                </c:pt>
              </c:strCache>
            </c:strRef>
          </c:tx>
          <c:spPr>
            <a:solidFill>
              <a:srgbClr val="609443"/>
            </a:solidFill>
            <a:ln>
              <a:noFill/>
            </a:ln>
            <a:effectLst/>
          </c:spPr>
          <c:invertIfNegative val="0"/>
          <c:cat>
            <c:strRef>
              <c:f>dash_apa!$AA$10:$AL$10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dash_apa!$AA$13:$AL$13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9-448F-855D-D3A724DD402D}"/>
            </c:ext>
          </c:extLst>
        </c:ser>
        <c:ser>
          <c:idx val="2"/>
          <c:order val="2"/>
          <c:tx>
            <c:strRef>
              <c:f>dash_apa!$Z$14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dash_apa!$AA$10:$AL$10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dash_apa!$AA$14:$AL$14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9-448F-855D-D3A724DD402D}"/>
            </c:ext>
          </c:extLst>
        </c:ser>
        <c:ser>
          <c:idx val="3"/>
          <c:order val="3"/>
          <c:tx>
            <c:strRef>
              <c:f>dash_apa!$Z$15</c:f>
              <c:strCache>
                <c:ptCount val="1"/>
                <c:pt idx="0">
                  <c:v>Atrasados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strRef>
              <c:f>dash_apa!$AA$10:$AL$10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dash_apa!$AA$15:$AL$15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9-448F-855D-D3A724DD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343296"/>
        <c:axId val="1234344256"/>
      </c:barChart>
      <c:catAx>
        <c:axId val="12343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4344256"/>
        <c:crosses val="autoZero"/>
        <c:auto val="1"/>
        <c:lblAlgn val="ctr"/>
        <c:lblOffset val="100"/>
        <c:noMultiLvlLbl val="0"/>
      </c:catAx>
      <c:valAx>
        <c:axId val="1234344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343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RC_mg!$C$5:$C$10</c:f>
              <c:strCache>
                <c:ptCount val="1"/>
                <c:pt idx="0">
                  <c:v>Posicionamento premium </c:v>
                </c:pt>
              </c:strCache>
            </c:strRef>
          </c:cat>
          <c:val>
            <c:numRef>
              <c:f>RC_mg!$D$5:$D$10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6-48FD-969F-C8FC2263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081376"/>
        <c:axId val="1231081856"/>
      </c:barChart>
      <c:catAx>
        <c:axId val="1231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081856"/>
        <c:crosses val="autoZero"/>
        <c:auto val="1"/>
        <c:lblAlgn val="ctr"/>
        <c:lblOffset val="100"/>
        <c:noMultiLvlLbl val="0"/>
      </c:catAx>
      <c:valAx>
        <c:axId val="1231081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3108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18383233721198"/>
          <c:y val="8.6589323642383823E-2"/>
          <c:w val="0.64993179783774213"/>
          <c:h val="0.75479688483887486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rgbClr val="66FF33"/>
              </a:solidFill>
              <a:ln>
                <a:noFill/>
              </a:ln>
              <a:effectLst>
                <a:glow rad="76200">
                  <a:schemeClr val="bg2">
                    <a:lumMod val="75000"/>
                    <a:alpha val="34000"/>
                  </a:schemeClr>
                </a:glow>
              </a:effectLst>
            </c:spPr>
          </c:marker>
          <c:cat>
            <c:strRef>
              <c:f>imp_swot!$J$37:$J$40</c:f>
              <c:strCache>
                <c:ptCount val="4"/>
                <c:pt idx="0">
                  <c:v>Forças</c:v>
                </c:pt>
                <c:pt idx="1">
                  <c:v>Oportunidades</c:v>
                </c:pt>
                <c:pt idx="2">
                  <c:v>Fraquezas</c:v>
                </c:pt>
                <c:pt idx="3">
                  <c:v>Ameaças</c:v>
                </c:pt>
              </c:strCache>
            </c:strRef>
          </c:cat>
          <c:val>
            <c:numRef>
              <c:f>imp_swot!$K$37:$K$40</c:f>
              <c:numCache>
                <c:formatCode>#,##0_-;\-#,##0_-;"-";_-@_-</c:formatCode>
                <c:ptCount val="4"/>
                <c:pt idx="0">
                  <c:v>46</c:v>
                </c:pt>
                <c:pt idx="1">
                  <c:v>1</c:v>
                </c:pt>
                <c:pt idx="2">
                  <c:v>54</c:v>
                </c:pt>
                <c:pt idx="3">
                  <c:v>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B-4BC2-B4B9-B842496E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1936"/>
        <c:axId val="85118976"/>
      </c:radarChart>
      <c:catAx>
        <c:axId val="8511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pt-BR"/>
          </a:p>
        </c:txPr>
        <c:crossAx val="85118976"/>
        <c:crosses val="autoZero"/>
        <c:auto val="1"/>
        <c:lblAlgn val="ctr"/>
        <c:lblOffset val="100"/>
        <c:noMultiLvlLbl val="0"/>
      </c:catAx>
      <c:valAx>
        <c:axId val="8511897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#,##0_-;\-#,##0_-;&quot;-&quot;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pt-BR"/>
          </a:p>
        </c:txPr>
        <c:crossAx val="851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Style="combo" dx="26" fmlaLink="$D$5" fmlaRange="params_pespc" noThreeD="1" sel="1" val="0"/>
</file>

<file path=xl/ctrlProps/ctrlProp2.xml><?xml version="1.0" encoding="utf-8"?>
<formControlPr xmlns="http://schemas.microsoft.com/office/spreadsheetml/2009/9/main" objectType="Drop" dropStyle="combo" dx="26" fmlaLink="$D$14" fmlaRange="parametros!$M$2:$M$5" noThreeD="1" sel="1" val="0"/>
</file>

<file path=xl/ctrlProps/ctrlProp3.xml><?xml version="1.0" encoding="utf-8"?>
<formControlPr xmlns="http://schemas.microsoft.com/office/spreadsheetml/2009/9/main" objectType="Drop" dropLines="20" dropStyle="combo" dx="26" fmlaLink="$D$5" fmlaRange="parametros!$B$2:$B$21" noThreeD="1" sel="1" val="0"/>
</file>

<file path=xl/ctrlProps/ctrlProp4.xml><?xml version="1.0" encoding="utf-8"?>
<formControlPr xmlns="http://schemas.microsoft.com/office/spreadsheetml/2009/9/main" objectType="Drop" dropStyle="combo" dx="26" fmlaLink="$D$4" fmlaRange="params_pespc" noThreeD="1" sel="1" val="0"/>
</file>

<file path=xl/ctrlProps/ctrlProp5.xml><?xml version="1.0" encoding="utf-8"?>
<formControlPr xmlns="http://schemas.microsoft.com/office/spreadsheetml/2009/9/main" objectType="Drop" dropStyle="combo" dx="26" fmlaLink="$E$4" fmlaRange="parametros!$B$2:$B$21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mg!A1"/><Relationship Id="rId2" Type="http://schemas.openxmlformats.org/officeDocument/2006/relationships/hyperlink" Target="#equipes"/><Relationship Id="rId1" Type="http://schemas.openxmlformats.org/officeDocument/2006/relationships/hyperlink" Target="#id_org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892462</xdr:colOff>
      <xdr:row>0</xdr:row>
      <xdr:rowOff>0</xdr:rowOff>
    </xdr:from>
    <xdr:to>
      <xdr:col>17</xdr:col>
      <xdr:colOff>365123</xdr:colOff>
      <xdr:row>2</xdr:row>
      <xdr:rowOff>19850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30B55A83-8D10-56EB-22C5-C1A6CB2A962C}"/>
            </a:ext>
          </a:extLst>
        </xdr:cNvPr>
        <xdr:cNvGrpSpPr/>
      </xdr:nvGrpSpPr>
      <xdr:grpSpPr>
        <a:xfrm>
          <a:off x="1191565" y="0"/>
          <a:ext cx="10247483" cy="646542"/>
          <a:chOff x="1187506" y="0"/>
          <a:chExt cx="10224178" cy="623707"/>
        </a:xfrm>
      </xdr:grpSpPr>
      <xdr:sp macro="" textlink="">
        <xdr:nvSpPr>
          <xdr:cNvPr id="4" name="Retângulo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84DE2AC-42F6-44B7-9FAD-AF1782E99489}"/>
              </a:ext>
            </a:extLst>
          </xdr:cNvPr>
          <xdr:cNvSpPr/>
        </xdr:nvSpPr>
        <xdr:spPr>
          <a:xfrm>
            <a:off x="1389136" y="379728"/>
            <a:ext cx="1794066" cy="243979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tx1"/>
                </a:solidFill>
                <a:latin typeface="Montserrat SemiBold" pitchFamily="2" charset="0"/>
              </a:rPr>
              <a:t>Identidade</a:t>
            </a:r>
            <a:r>
              <a:rPr lang="pt-BR" sz="800" b="0" baseline="0">
                <a:solidFill>
                  <a:schemeClr val="tx1"/>
                </a:solidFill>
                <a:latin typeface="Montserrat SemiBold" pitchFamily="2" charset="0"/>
              </a:rPr>
              <a:t> Organizacional</a:t>
            </a:r>
            <a:endParaRPr lang="pt-BR" sz="800" b="0">
              <a:solidFill>
                <a:schemeClr val="tx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BF4A255-B7D6-4E2F-8EA9-918FD642CEAA}"/>
              </a:ext>
            </a:extLst>
          </xdr:cNvPr>
          <xdr:cNvSpPr/>
        </xdr:nvSpPr>
        <xdr:spPr>
          <a:xfrm>
            <a:off x="3352924" y="371211"/>
            <a:ext cx="1553714" cy="24397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Equipes</a:t>
            </a:r>
          </a:p>
        </xdr:txBody>
      </xdr:sp>
      <xdr:sp macro="" textlink="">
        <xdr:nvSpPr>
          <xdr:cNvPr id="6" name="Retângulo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CFDEFCF-06C1-48BA-B844-D77AD9A49B10}"/>
              </a:ext>
            </a:extLst>
          </xdr:cNvPr>
          <xdr:cNvSpPr/>
        </xdr:nvSpPr>
        <xdr:spPr>
          <a:xfrm>
            <a:off x="5076359" y="371211"/>
            <a:ext cx="1568956" cy="24397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Funcionários</a:t>
            </a:r>
          </a:p>
        </xdr:txBody>
      </xdr:sp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42B5BE2E-D2FB-4153-936B-6F077A3281E2}"/>
              </a:ext>
            </a:extLst>
          </xdr:cNvPr>
          <xdr:cNvSpPr/>
        </xdr:nvSpPr>
        <xdr:spPr>
          <a:xfrm>
            <a:off x="10272405" y="0"/>
            <a:ext cx="1139279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96AB3B6C-AEE7-4BEE-B5F0-BA4D1D16F65C}"/>
              </a:ext>
            </a:extLst>
          </xdr:cNvPr>
          <xdr:cNvSpPr/>
        </xdr:nvSpPr>
        <xdr:spPr>
          <a:xfrm>
            <a:off x="8995563" y="0"/>
            <a:ext cx="1150709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117A7298-7492-4C48-8A68-128582290B2C}"/>
              </a:ext>
            </a:extLst>
          </xdr:cNvPr>
          <xdr:cNvSpPr/>
        </xdr:nvSpPr>
        <xdr:spPr>
          <a:xfrm>
            <a:off x="5208852" y="0"/>
            <a:ext cx="1135469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71B62350-783E-48AE-A73C-D0233DD30A4B}"/>
              </a:ext>
            </a:extLst>
          </xdr:cNvPr>
          <xdr:cNvSpPr/>
        </xdr:nvSpPr>
        <xdr:spPr>
          <a:xfrm>
            <a:off x="7732057" y="0"/>
            <a:ext cx="1141183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FF3FCA0E-5DC2-42D1-8F94-A078A9515BE3}"/>
              </a:ext>
            </a:extLst>
          </xdr:cNvPr>
          <xdr:cNvSpPr/>
        </xdr:nvSpPr>
        <xdr:spPr>
          <a:xfrm>
            <a:off x="6476170" y="0"/>
            <a:ext cx="1129754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CF914D54-2AD6-4643-84D7-8EE21BE91F44}"/>
              </a:ext>
            </a:extLst>
          </xdr:cNvPr>
          <xdr:cNvSpPr/>
        </xdr:nvSpPr>
        <xdr:spPr>
          <a:xfrm>
            <a:off x="3939631" y="0"/>
            <a:ext cx="1154518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3" name="Retângulo 1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B84887A-BC85-456F-9F5D-81952869E615}"/>
              </a:ext>
            </a:extLst>
          </xdr:cNvPr>
          <xdr:cNvSpPr/>
        </xdr:nvSpPr>
        <xdr:spPr>
          <a:xfrm>
            <a:off x="2687554" y="0"/>
            <a:ext cx="1125944" cy="34444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5" name="Retângulo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0EBA999-A83F-43C1-A55C-265D0B28D55B}"/>
              </a:ext>
            </a:extLst>
          </xdr:cNvPr>
          <xdr:cNvSpPr/>
        </xdr:nvSpPr>
        <xdr:spPr>
          <a:xfrm>
            <a:off x="1187506" y="0"/>
            <a:ext cx="1377725" cy="34444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897805</xdr:colOff>
      <xdr:row>0</xdr:row>
      <xdr:rowOff>0</xdr:rowOff>
    </xdr:from>
    <xdr:to>
      <xdr:col>18</xdr:col>
      <xdr:colOff>212761</xdr:colOff>
      <xdr:row>2</xdr:row>
      <xdr:rowOff>9592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5A4FE71-561E-4287-9F1E-C1E6EC7ABF0A}"/>
            </a:ext>
          </a:extLst>
        </xdr:cNvPr>
        <xdr:cNvGrpSpPr/>
      </xdr:nvGrpSpPr>
      <xdr:grpSpPr>
        <a:xfrm>
          <a:off x="1196908" y="0"/>
          <a:ext cx="10303423" cy="636284"/>
          <a:chOff x="1187506" y="0"/>
          <a:chExt cx="10224178" cy="634104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EBF2C9BC-E65A-AAA0-2246-6B74883C4239}"/>
              </a:ext>
            </a:extLst>
          </xdr:cNvPr>
          <xdr:cNvSpPr/>
        </xdr:nvSpPr>
        <xdr:spPr>
          <a:xfrm>
            <a:off x="1389136" y="388475"/>
            <a:ext cx="1794066" cy="24375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Identidade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Organizacional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B7A4B681-1C5C-3C9B-2032-D42E2CD6721B}"/>
              </a:ext>
            </a:extLst>
          </xdr:cNvPr>
          <xdr:cNvSpPr/>
        </xdr:nvSpPr>
        <xdr:spPr>
          <a:xfrm>
            <a:off x="3352924" y="388449"/>
            <a:ext cx="1553714" cy="245655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Equipes</a:t>
            </a:r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453F492A-839C-CA27-0932-9C7756B93EFD}"/>
              </a:ext>
            </a:extLst>
          </xdr:cNvPr>
          <xdr:cNvSpPr/>
        </xdr:nvSpPr>
        <xdr:spPr>
          <a:xfrm>
            <a:off x="5076359" y="395991"/>
            <a:ext cx="1568956" cy="23803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Funcionários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41154F85-9F84-1403-EDB0-E88AB7D4451D}"/>
              </a:ext>
            </a:extLst>
          </xdr:cNvPr>
          <xdr:cNvSpPr/>
        </xdr:nvSpPr>
        <xdr:spPr>
          <a:xfrm>
            <a:off x="10272405" y="0"/>
            <a:ext cx="113927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0FD3A120-BA2C-54FE-A2C2-EC502608C6ED}"/>
              </a:ext>
            </a:extLst>
          </xdr:cNvPr>
          <xdr:cNvSpPr/>
        </xdr:nvSpPr>
        <xdr:spPr>
          <a:xfrm>
            <a:off x="8995563" y="0"/>
            <a:ext cx="115070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A944470-9C0B-10E7-8CFE-DAA5F008ED42}"/>
              </a:ext>
            </a:extLst>
          </xdr:cNvPr>
          <xdr:cNvSpPr/>
        </xdr:nvSpPr>
        <xdr:spPr>
          <a:xfrm>
            <a:off x="5208852" y="0"/>
            <a:ext cx="113546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D4B6DFCA-0ACF-2A9E-7387-3DF3A215CE4A}"/>
              </a:ext>
            </a:extLst>
          </xdr:cNvPr>
          <xdr:cNvSpPr/>
        </xdr:nvSpPr>
        <xdr:spPr>
          <a:xfrm>
            <a:off x="7732057" y="0"/>
            <a:ext cx="1141183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F438AD96-75F0-428B-9123-A5A25724EA4A}"/>
              </a:ext>
            </a:extLst>
          </xdr:cNvPr>
          <xdr:cNvSpPr/>
        </xdr:nvSpPr>
        <xdr:spPr>
          <a:xfrm>
            <a:off x="6476170" y="0"/>
            <a:ext cx="1129754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D11B7BD9-4CF1-B317-1D48-7C932BF36861}"/>
              </a:ext>
            </a:extLst>
          </xdr:cNvPr>
          <xdr:cNvSpPr/>
        </xdr:nvSpPr>
        <xdr:spPr>
          <a:xfrm>
            <a:off x="3939631" y="0"/>
            <a:ext cx="1154518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B8529877-A8C0-8432-0E44-A1D8A72E90F7}"/>
              </a:ext>
            </a:extLst>
          </xdr:cNvPr>
          <xdr:cNvSpPr/>
        </xdr:nvSpPr>
        <xdr:spPr>
          <a:xfrm>
            <a:off x="2687554" y="0"/>
            <a:ext cx="1125944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350F3AC1-6D34-44B2-D8E9-750A3FF0BA0B}"/>
              </a:ext>
            </a:extLst>
          </xdr:cNvPr>
          <xdr:cNvSpPr/>
        </xdr:nvSpPr>
        <xdr:spPr>
          <a:xfrm>
            <a:off x="1187506" y="0"/>
            <a:ext cx="1377725" cy="3511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28611</xdr:colOff>
      <xdr:row>4</xdr:row>
      <xdr:rowOff>90924</xdr:rowOff>
    </xdr:from>
    <xdr:to>
      <xdr:col>22</xdr:col>
      <xdr:colOff>340176</xdr:colOff>
      <xdr:row>4</xdr:row>
      <xdr:rowOff>106823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8DADCD6-1CAE-4C72-A7B8-49A329D85CED}"/>
            </a:ext>
          </a:extLst>
        </xdr:cNvPr>
        <xdr:cNvCxnSpPr/>
      </xdr:nvCxnSpPr>
      <xdr:spPr>
        <a:xfrm>
          <a:off x="7018056" y="1066284"/>
          <a:ext cx="7019070" cy="101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864143</xdr:colOff>
      <xdr:row>0</xdr:row>
      <xdr:rowOff>0</xdr:rowOff>
    </xdr:from>
    <xdr:to>
      <xdr:col>16</xdr:col>
      <xdr:colOff>137153</xdr:colOff>
      <xdr:row>2</xdr:row>
      <xdr:rowOff>4225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D9C51734-00A7-4A52-9C03-858EC5849B77}"/>
            </a:ext>
          </a:extLst>
        </xdr:cNvPr>
        <xdr:cNvGrpSpPr/>
      </xdr:nvGrpSpPr>
      <xdr:grpSpPr>
        <a:xfrm>
          <a:off x="1163246" y="0"/>
          <a:ext cx="10261477" cy="638038"/>
          <a:chOff x="1187506" y="0"/>
          <a:chExt cx="10224178" cy="633896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64998168-4247-E614-3552-6E50A804EB0D}"/>
              </a:ext>
            </a:extLst>
          </xdr:cNvPr>
          <xdr:cNvSpPr/>
        </xdr:nvSpPr>
        <xdr:spPr>
          <a:xfrm>
            <a:off x="1392956" y="384292"/>
            <a:ext cx="1794066" cy="246613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Identidade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Organizacional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8D3C336E-D55D-AE12-E075-167AFC95A87A}"/>
              </a:ext>
            </a:extLst>
          </xdr:cNvPr>
          <xdr:cNvSpPr/>
        </xdr:nvSpPr>
        <xdr:spPr>
          <a:xfrm>
            <a:off x="3356744" y="384293"/>
            <a:ext cx="1553714" cy="24854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Equipes</a:t>
            </a: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6BF77BDC-2D22-4DDE-4D64-B5C146DAD6AD}"/>
              </a:ext>
            </a:extLst>
          </xdr:cNvPr>
          <xdr:cNvSpPr/>
        </xdr:nvSpPr>
        <xdr:spPr>
          <a:xfrm>
            <a:off x="5080179" y="393064"/>
            <a:ext cx="1568956" cy="240832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Funcionários</a:t>
            </a:r>
          </a:p>
        </xdr:txBody>
      </xdr: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23A18CC8-3EB7-4A95-CA11-C869B056302F}"/>
              </a:ext>
            </a:extLst>
          </xdr:cNvPr>
          <xdr:cNvSpPr/>
        </xdr:nvSpPr>
        <xdr:spPr>
          <a:xfrm>
            <a:off x="10272405" y="0"/>
            <a:ext cx="113927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3E568B0D-F133-2783-DF92-ADD969358684}"/>
              </a:ext>
            </a:extLst>
          </xdr:cNvPr>
          <xdr:cNvSpPr/>
        </xdr:nvSpPr>
        <xdr:spPr>
          <a:xfrm>
            <a:off x="8995563" y="0"/>
            <a:ext cx="115070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DF23CD85-CF2B-30A4-90C3-7F0DC1830E68}"/>
              </a:ext>
            </a:extLst>
          </xdr:cNvPr>
          <xdr:cNvSpPr/>
        </xdr:nvSpPr>
        <xdr:spPr>
          <a:xfrm>
            <a:off x="5208852" y="0"/>
            <a:ext cx="1135469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293EB5F5-B251-E4ED-DDC1-77A0AA0094CD}"/>
              </a:ext>
            </a:extLst>
          </xdr:cNvPr>
          <xdr:cNvSpPr/>
        </xdr:nvSpPr>
        <xdr:spPr>
          <a:xfrm>
            <a:off x="7732057" y="0"/>
            <a:ext cx="1141183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BD71CC9E-511F-FD79-BFE2-27DC3D5A573D}"/>
              </a:ext>
            </a:extLst>
          </xdr:cNvPr>
          <xdr:cNvSpPr/>
        </xdr:nvSpPr>
        <xdr:spPr>
          <a:xfrm>
            <a:off x="6476170" y="0"/>
            <a:ext cx="1129754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D7E2649B-5A3A-1BFC-CC55-B92E3A5093E5}"/>
              </a:ext>
            </a:extLst>
          </xdr:cNvPr>
          <xdr:cNvSpPr/>
        </xdr:nvSpPr>
        <xdr:spPr>
          <a:xfrm>
            <a:off x="3939631" y="0"/>
            <a:ext cx="1154518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0939AD76-9DF9-C3E3-02B2-54A5A64BA0A3}"/>
              </a:ext>
            </a:extLst>
          </xdr:cNvPr>
          <xdr:cNvSpPr/>
        </xdr:nvSpPr>
        <xdr:spPr>
          <a:xfrm>
            <a:off x="2687554" y="0"/>
            <a:ext cx="1125944" cy="3511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5B59938A-B642-9508-2404-87289B5DC417}"/>
              </a:ext>
            </a:extLst>
          </xdr:cNvPr>
          <xdr:cNvSpPr/>
        </xdr:nvSpPr>
        <xdr:spPr>
          <a:xfrm>
            <a:off x="1187506" y="0"/>
            <a:ext cx="1377725" cy="3511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857766</xdr:colOff>
      <xdr:row>0</xdr:row>
      <xdr:rowOff>16522</xdr:rowOff>
    </xdr:from>
    <xdr:to>
      <xdr:col>9</xdr:col>
      <xdr:colOff>384461</xdr:colOff>
      <xdr:row>2</xdr:row>
      <xdr:rowOff>20238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0468A9D-3032-4828-B641-FC2920DA8E89}"/>
            </a:ext>
          </a:extLst>
        </xdr:cNvPr>
        <xdr:cNvGrpSpPr/>
      </xdr:nvGrpSpPr>
      <xdr:grpSpPr>
        <a:xfrm>
          <a:off x="1156869" y="16522"/>
          <a:ext cx="10216059" cy="651772"/>
          <a:chOff x="1187506" y="8298"/>
          <a:chExt cx="10224178" cy="612783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83799100-1646-A827-BA2E-F61D23BD1F0A}"/>
              </a:ext>
            </a:extLst>
          </xdr:cNvPr>
          <xdr:cNvSpPr/>
        </xdr:nvSpPr>
        <xdr:spPr>
          <a:xfrm>
            <a:off x="1392956" y="367160"/>
            <a:ext cx="1794066" cy="24537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Metas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Globais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FB864697-C936-FBBA-D853-5E6C60DDB1D5}"/>
              </a:ext>
            </a:extLst>
          </xdr:cNvPr>
          <xdr:cNvSpPr/>
        </xdr:nvSpPr>
        <xdr:spPr>
          <a:xfrm>
            <a:off x="3356744" y="375702"/>
            <a:ext cx="1553714" cy="245379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Metas específicas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C963A1AD-88FB-7487-EBA0-04CB7AF13DAB}"/>
              </a:ext>
            </a:extLst>
          </xdr:cNvPr>
          <xdr:cNvSpPr/>
        </xdr:nvSpPr>
        <xdr:spPr>
          <a:xfrm>
            <a:off x="10272405" y="8298"/>
            <a:ext cx="1139279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B6F8E81E-664A-1701-02E7-BA535697E2A5}"/>
              </a:ext>
            </a:extLst>
          </xdr:cNvPr>
          <xdr:cNvSpPr/>
        </xdr:nvSpPr>
        <xdr:spPr>
          <a:xfrm>
            <a:off x="8995563" y="8298"/>
            <a:ext cx="1150709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D7495CC0-AC2B-0490-BCEC-B23924227871}"/>
              </a:ext>
            </a:extLst>
          </xdr:cNvPr>
          <xdr:cNvSpPr/>
        </xdr:nvSpPr>
        <xdr:spPr>
          <a:xfrm>
            <a:off x="5208852" y="8298"/>
            <a:ext cx="1135469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8821196B-8950-F3F6-7E29-E85238B71EF3}"/>
              </a:ext>
            </a:extLst>
          </xdr:cNvPr>
          <xdr:cNvSpPr/>
        </xdr:nvSpPr>
        <xdr:spPr>
          <a:xfrm>
            <a:off x="7732057" y="8298"/>
            <a:ext cx="1141183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55A45312-6656-5EC7-10F6-854227788AE9}"/>
              </a:ext>
            </a:extLst>
          </xdr:cNvPr>
          <xdr:cNvSpPr/>
        </xdr:nvSpPr>
        <xdr:spPr>
          <a:xfrm>
            <a:off x="6476170" y="8298"/>
            <a:ext cx="1129754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8192E97C-19B6-DC61-E74E-297F91B3778F}"/>
              </a:ext>
            </a:extLst>
          </xdr:cNvPr>
          <xdr:cNvSpPr/>
        </xdr:nvSpPr>
        <xdr:spPr>
          <a:xfrm>
            <a:off x="3939631" y="8298"/>
            <a:ext cx="1154518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5E52F412-3573-CFAD-3580-A7D1B8CC8409}"/>
              </a:ext>
            </a:extLst>
          </xdr:cNvPr>
          <xdr:cNvSpPr/>
        </xdr:nvSpPr>
        <xdr:spPr>
          <a:xfrm>
            <a:off x="2687554" y="8298"/>
            <a:ext cx="1125944" cy="33414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50E7BC0C-B86C-B397-2831-EF53AE3119E6}"/>
              </a:ext>
            </a:extLst>
          </xdr:cNvPr>
          <xdr:cNvSpPr/>
        </xdr:nvSpPr>
        <xdr:spPr>
          <a:xfrm>
            <a:off x="1187506" y="8298"/>
            <a:ext cx="1377725" cy="33414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857766</xdr:colOff>
      <xdr:row>0</xdr:row>
      <xdr:rowOff>0</xdr:rowOff>
    </xdr:from>
    <xdr:to>
      <xdr:col>4</xdr:col>
      <xdr:colOff>437908</xdr:colOff>
      <xdr:row>2</xdr:row>
      <xdr:rowOff>17084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23B04A3-4A47-4504-A081-4163A801B46B}"/>
            </a:ext>
          </a:extLst>
        </xdr:cNvPr>
        <xdr:cNvGrpSpPr/>
      </xdr:nvGrpSpPr>
      <xdr:grpSpPr>
        <a:xfrm>
          <a:off x="1156869" y="0"/>
          <a:ext cx="10184048" cy="650897"/>
          <a:chOff x="1187506" y="0"/>
          <a:chExt cx="10224178" cy="629671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4A0CC9A1-1E42-3D45-FEA0-0645DBE8BD13}"/>
              </a:ext>
            </a:extLst>
          </xdr:cNvPr>
          <xdr:cNvSpPr/>
        </xdr:nvSpPr>
        <xdr:spPr>
          <a:xfrm>
            <a:off x="1392956" y="384292"/>
            <a:ext cx="1794066" cy="245379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Metas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Globais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1E31A857-74BE-7E8F-ED00-E36EAC2AE034}"/>
              </a:ext>
            </a:extLst>
          </xdr:cNvPr>
          <xdr:cNvSpPr/>
        </xdr:nvSpPr>
        <xdr:spPr>
          <a:xfrm>
            <a:off x="3356744" y="375702"/>
            <a:ext cx="1553714" cy="24537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Metas específicas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69DF4472-78BA-23A0-B212-C2D639D9DA86}"/>
              </a:ext>
            </a:extLst>
          </xdr:cNvPr>
          <xdr:cNvSpPr/>
        </xdr:nvSpPr>
        <xdr:spPr>
          <a:xfrm>
            <a:off x="10272405" y="0"/>
            <a:ext cx="1139279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8767FA6F-DB1F-115B-36A4-88977ECFAA85}"/>
              </a:ext>
            </a:extLst>
          </xdr:cNvPr>
          <xdr:cNvSpPr/>
        </xdr:nvSpPr>
        <xdr:spPr>
          <a:xfrm>
            <a:off x="8995563" y="0"/>
            <a:ext cx="1150709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978DF800-B42E-1426-671E-3A3E0AF486DF}"/>
              </a:ext>
            </a:extLst>
          </xdr:cNvPr>
          <xdr:cNvSpPr/>
        </xdr:nvSpPr>
        <xdr:spPr>
          <a:xfrm>
            <a:off x="5208852" y="0"/>
            <a:ext cx="1135469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0425C843-E48C-0FF2-A91F-F346BFA1CA86}"/>
              </a:ext>
            </a:extLst>
          </xdr:cNvPr>
          <xdr:cNvSpPr/>
        </xdr:nvSpPr>
        <xdr:spPr>
          <a:xfrm>
            <a:off x="7732057" y="0"/>
            <a:ext cx="1141183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990EFD46-1444-111D-49D2-89CC460AB6D2}"/>
              </a:ext>
            </a:extLst>
          </xdr:cNvPr>
          <xdr:cNvSpPr/>
        </xdr:nvSpPr>
        <xdr:spPr>
          <a:xfrm>
            <a:off x="6476170" y="0"/>
            <a:ext cx="1129754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72285BB5-F7F1-F13E-E601-FE5B20924FF2}"/>
              </a:ext>
            </a:extLst>
          </xdr:cNvPr>
          <xdr:cNvSpPr/>
        </xdr:nvSpPr>
        <xdr:spPr>
          <a:xfrm>
            <a:off x="3939631" y="0"/>
            <a:ext cx="1154518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7216BDBD-EDCC-046D-B506-297E4E4D93FB}"/>
              </a:ext>
            </a:extLst>
          </xdr:cNvPr>
          <xdr:cNvSpPr/>
        </xdr:nvSpPr>
        <xdr:spPr>
          <a:xfrm>
            <a:off x="2687554" y="0"/>
            <a:ext cx="1125944" cy="34501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3D14BD92-848A-37D8-A047-F40B3A108262}"/>
              </a:ext>
            </a:extLst>
          </xdr:cNvPr>
          <xdr:cNvSpPr/>
        </xdr:nvSpPr>
        <xdr:spPr>
          <a:xfrm>
            <a:off x="1187506" y="0"/>
            <a:ext cx="1377725" cy="34501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857766</xdr:colOff>
      <xdr:row>0</xdr:row>
      <xdr:rowOff>0</xdr:rowOff>
    </xdr:from>
    <xdr:to>
      <xdr:col>14</xdr:col>
      <xdr:colOff>517401</xdr:colOff>
      <xdr:row>1</xdr:row>
      <xdr:rowOff>263699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164D546-B8F2-6B28-8F3C-623FDA069370}"/>
            </a:ext>
          </a:extLst>
        </xdr:cNvPr>
        <xdr:cNvGrpSpPr/>
      </xdr:nvGrpSpPr>
      <xdr:grpSpPr>
        <a:xfrm>
          <a:off x="1156869" y="0"/>
          <a:ext cx="10235055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3C4B4DFD-AEF9-7DAE-44AE-D7B7FEFF8DC9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B038BC58-A70A-96D6-EB3D-053EB05CB2BC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EF6EB7A8-0755-E172-45D0-E0A8BC496469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645DF33A-5B55-DF1B-7C0B-46CAA470C555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053A8FD-BF60-7522-2F54-80ECD5179F2B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2760168E-EAAD-4A5D-CA93-80341C07F4F7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3FAEA8-9A0C-9D92-93B8-61014780C080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472BCEA6-174F-9253-93A4-0E3753F2F470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79325DFA-91F9-587B-9E00-F357707F680F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DA32F7FD-9E3C-212A-5800-2739DBC785A7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9BF4C934-F867-42F8-B50A-7C9BD0892C64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1BB65D83-6406-423F-A232-ED13F4202474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853956</xdr:colOff>
      <xdr:row>0</xdr:row>
      <xdr:rowOff>0</xdr:rowOff>
    </xdr:from>
    <xdr:to>
      <xdr:col>14</xdr:col>
      <xdr:colOff>511686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668FAE5-2013-4EE1-9E2D-98CBA223F6BB}"/>
            </a:ext>
          </a:extLst>
        </xdr:cNvPr>
        <xdr:cNvGrpSpPr/>
      </xdr:nvGrpSpPr>
      <xdr:grpSpPr>
        <a:xfrm>
          <a:off x="1153059" y="0"/>
          <a:ext cx="10233150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10FF834-D737-7AF5-430D-83D408C4426C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C57AD687-E60B-BB0B-CB4C-19E4DBF0FFA1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966B40A3-12D3-A1C4-7689-C09B62F779AC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E09B4652-200E-FA1B-E6F5-645A3B3082D8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CEC6FA9-6EF4-03B7-54B2-0D516EB88138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9C187CD3-2CA5-2E2D-074A-17976460F4DE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A15CF6F5-27A6-7C13-4545-55E8025E7312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53E06075-CEC8-F6CB-FDA6-48E03332233A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34DB12E-E50A-CABA-9A04-1EA6982FBCE5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280E946A-C204-23AD-4CAB-712884243D13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9B5BA7C9-C097-3A26-C723-DB07D0B19018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3914E0AE-528F-1701-8CEC-13472DA27A44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857766</xdr:colOff>
      <xdr:row>0</xdr:row>
      <xdr:rowOff>0</xdr:rowOff>
    </xdr:from>
    <xdr:to>
      <xdr:col>14</xdr:col>
      <xdr:colOff>515496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A227021-CB60-4281-9108-5D331180873D}"/>
            </a:ext>
          </a:extLst>
        </xdr:cNvPr>
        <xdr:cNvGrpSpPr/>
      </xdr:nvGrpSpPr>
      <xdr:grpSpPr>
        <a:xfrm>
          <a:off x="1156869" y="0"/>
          <a:ext cx="10233150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D41C0C28-2E8C-9BEA-6807-C8CF3E632418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8F45E0E8-3727-F897-EC6B-421A44ADB983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40265AC-2BB1-92F5-213A-9787DE7A80FC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DF8460DE-D25D-D2D0-0703-F8E0865B119F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1C6693F5-5605-0D13-39F0-A145CE797075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E71EE4BA-B8A8-FAC5-89FA-26978D9F21E1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4EDE4501-4708-23BF-EF68-68A2D71F20DC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F826E86E-2A73-1A73-05E7-E52EB223E9B6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4FE51B1A-DD13-9311-B253-553B02DA5663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5E6D1928-9C38-9DE1-0BE0-1146FE9A56D9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83BCD6F-72A1-6832-E325-BCF12F06D07A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E68E95FF-577F-38FC-91D1-29EC333D0F07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853956</xdr:colOff>
      <xdr:row>0</xdr:row>
      <xdr:rowOff>0</xdr:rowOff>
    </xdr:from>
    <xdr:to>
      <xdr:col>14</xdr:col>
      <xdr:colOff>511686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A5D6D3F-1B1B-4366-8754-43A5840D6DE0}"/>
            </a:ext>
          </a:extLst>
        </xdr:cNvPr>
        <xdr:cNvGrpSpPr/>
      </xdr:nvGrpSpPr>
      <xdr:grpSpPr>
        <a:xfrm>
          <a:off x="1153059" y="0"/>
          <a:ext cx="10233150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1CF359A-3158-EBA5-5373-67588FABE0E0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19AC73AA-BCA3-43FB-134F-E5FB7B905ACD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9019FF00-7FE4-2C02-3F11-7BB60FC863CE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6F20C7D8-1B5B-0088-0FDA-920F4DA3F833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B0FC7E5-3636-B3EB-F671-D4E61AB184AD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F50050F-3BFB-DAF3-D246-83F7677164AE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76D76165-FB51-4C48-798E-4F1DCB603BF9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AD021E7D-0848-CC65-CBFC-3569EF84EECD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DCE5927A-D18E-CA8D-D509-2B98CC92C72A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4A253CC-BF72-3EE7-11D9-0D0C55B0B536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DB99816D-012A-0D94-42C1-742CA405BC18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E72CA0C9-AC45-7BD5-F638-121C57813412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854921</xdr:colOff>
      <xdr:row>0</xdr:row>
      <xdr:rowOff>0</xdr:rowOff>
    </xdr:from>
    <xdr:to>
      <xdr:col>8</xdr:col>
      <xdr:colOff>745410</xdr:colOff>
      <xdr:row>1</xdr:row>
      <xdr:rowOff>263699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A492A6A-3915-447E-894F-2AFB119021D2}"/>
            </a:ext>
          </a:extLst>
        </xdr:cNvPr>
        <xdr:cNvGrpSpPr/>
      </xdr:nvGrpSpPr>
      <xdr:grpSpPr>
        <a:xfrm>
          <a:off x="1154024" y="0"/>
          <a:ext cx="10188171" cy="612652"/>
          <a:chOff x="1156620" y="0"/>
          <a:chExt cx="10170838" cy="62362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9C4F84F6-79CD-365E-68BF-853AE71533AF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E35C6902-B496-F5A2-74C1-FDCBA2D2AD42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C924A9B3-9E2D-DD18-8629-6EA59F00FAE7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14EC37DD-9E8A-A512-064C-83532AF941F3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CE679420-005B-92B9-DDE5-000772C2D1E5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CC98B032-0905-F747-8F6A-3E57CE22889E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FD335116-4DFB-2AEF-E497-DDC6D3A29CB9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5A89337E-8ABD-040A-2BCE-CA927582A08C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23B43FAA-D298-21AD-847D-84F544B2D278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44612645-0F63-18A5-08F2-B31B17D8980A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50BBAC15-D09B-E3CB-C203-E6063582E595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54C4654B-EDD9-D4AE-73D6-602AC28F9729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854921</xdr:colOff>
      <xdr:row>0</xdr:row>
      <xdr:rowOff>0</xdr:rowOff>
    </xdr:from>
    <xdr:to>
      <xdr:col>8</xdr:col>
      <xdr:colOff>745410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DE46B43-1BED-4BC7-ABFA-57FE64DFA3C5}"/>
            </a:ext>
          </a:extLst>
        </xdr:cNvPr>
        <xdr:cNvGrpSpPr/>
      </xdr:nvGrpSpPr>
      <xdr:grpSpPr>
        <a:xfrm>
          <a:off x="1162652" y="0"/>
          <a:ext cx="10192143" cy="615391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963DE146-D534-42E7-74CA-B42EDAE102C6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5D3E1562-3731-95F8-923D-56CE842C0B59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0FD0075F-73AB-E437-7389-AF40442139E5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789FFBAE-3DAF-6307-FB72-F6EEDFB14F50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3712833D-7FCD-F350-ABD0-A955E2928586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7D183204-D64A-3876-7FC7-1902776AE883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026B7298-6514-52B6-AD57-76343EAB9928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DF4E2941-5CBB-CA97-D42A-02D9AFAE5584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A3F78104-8074-25DA-FF8D-6A2B987168BD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A72D41CA-DEE5-08D1-3E5A-78865E998F6C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74DFF211-17B3-F375-BD4E-6856E554A70B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7D7CA55C-1EF6-908E-3845-39A0EDAD57D1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854921</xdr:colOff>
      <xdr:row>0</xdr:row>
      <xdr:rowOff>0</xdr:rowOff>
    </xdr:from>
    <xdr:to>
      <xdr:col>8</xdr:col>
      <xdr:colOff>745410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ED1749E-975C-4B07-B91E-36C8442DB49E}"/>
            </a:ext>
          </a:extLst>
        </xdr:cNvPr>
        <xdr:cNvGrpSpPr/>
      </xdr:nvGrpSpPr>
      <xdr:grpSpPr>
        <a:xfrm>
          <a:off x="1154024" y="0"/>
          <a:ext cx="10188171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47EF5693-CDA0-BF66-8828-7569E3A44AE9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C01FFCB6-50C1-CFBD-0425-855DAA49DD65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619DB0C9-42E5-5BD5-3DFA-639F6A1E21A7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AD22EEE4-A2B4-458F-D4D4-D465C4431C3B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310DF737-8BA3-FABA-1563-12D0A9A1284D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C05C7541-88FB-74C3-34A2-2B367CF4124D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C7EED188-387D-D42B-6E37-38DAE5CB528F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7D3746EA-F8A9-5A94-E96A-EB1E8255258A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E04B047E-6419-BCCB-C65F-DA33C04CD70C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425438DF-4B2C-9F9C-E4D3-A462F4BCE116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30C3B5DA-D954-CE8A-29CF-D388DFA32E77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4D9104C0-06F4-8627-808F-A634347E50D6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854921</xdr:colOff>
      <xdr:row>0</xdr:row>
      <xdr:rowOff>0</xdr:rowOff>
    </xdr:from>
    <xdr:to>
      <xdr:col>8</xdr:col>
      <xdr:colOff>745410</xdr:colOff>
      <xdr:row>1</xdr:row>
      <xdr:rowOff>263699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CCBE7E0-3C3A-41EB-94E3-B58DFB1707AF}"/>
            </a:ext>
          </a:extLst>
        </xdr:cNvPr>
        <xdr:cNvGrpSpPr/>
      </xdr:nvGrpSpPr>
      <xdr:grpSpPr>
        <a:xfrm>
          <a:off x="1154024" y="0"/>
          <a:ext cx="10188171" cy="612652"/>
          <a:chOff x="1156620" y="0"/>
          <a:chExt cx="10170838" cy="62362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30D4A364-F747-C319-C4E8-6F0AC2F2AAC1}"/>
              </a:ext>
            </a:extLst>
          </xdr:cNvPr>
          <xdr:cNvSpPr/>
        </xdr:nvSpPr>
        <xdr:spPr>
          <a:xfrm>
            <a:off x="1360844" y="361221"/>
            <a:ext cx="2019810" cy="26240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Financeira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1833E174-EE33-D754-566F-E8CC3C961DB1}"/>
              </a:ext>
            </a:extLst>
          </xdr:cNvPr>
          <xdr:cNvSpPr/>
        </xdr:nvSpPr>
        <xdr:spPr>
          <a:xfrm>
            <a:off x="3577658" y="365031"/>
            <a:ext cx="2020205" cy="2585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Clientes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8A00129-9E73-5FE4-4226-41C42C8E1EEC}"/>
              </a:ext>
            </a:extLst>
          </xdr:cNvPr>
          <xdr:cNvSpPr/>
        </xdr:nvSpPr>
        <xdr:spPr>
          <a:xfrm>
            <a:off x="10187352" y="0"/>
            <a:ext cx="1140106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0134C694-6128-0C16-F4BB-F34DA0A9D613}"/>
              </a:ext>
            </a:extLst>
          </xdr:cNvPr>
          <xdr:cNvSpPr/>
        </xdr:nvSpPr>
        <xdr:spPr>
          <a:xfrm>
            <a:off x="8921933" y="0"/>
            <a:ext cx="114575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6A0F5EAF-C6F8-AF6A-D1F2-3D9F72A3A5ED}"/>
              </a:ext>
            </a:extLst>
          </xdr:cNvPr>
          <xdr:cNvSpPr/>
        </xdr:nvSpPr>
        <xdr:spPr>
          <a:xfrm>
            <a:off x="5157799" y="0"/>
            <a:ext cx="1132509" cy="35849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D817FBEA-B7E7-8196-55A1-506BE187076D}"/>
              </a:ext>
            </a:extLst>
          </xdr:cNvPr>
          <xdr:cNvSpPr/>
        </xdr:nvSpPr>
        <xdr:spPr>
          <a:xfrm>
            <a:off x="7664055" y="0"/>
            <a:ext cx="1134379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D14D94E1-DF22-0689-41FB-2ACDCBD9B20E}"/>
              </a:ext>
            </a:extLst>
          </xdr:cNvPr>
          <xdr:cNvSpPr/>
        </xdr:nvSpPr>
        <xdr:spPr>
          <a:xfrm>
            <a:off x="6415656" y="0"/>
            <a:ext cx="1121113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915266F7-7697-9223-88E8-8507B7F6ED7C}"/>
              </a:ext>
            </a:extLst>
          </xdr:cNvPr>
          <xdr:cNvSpPr/>
        </xdr:nvSpPr>
        <xdr:spPr>
          <a:xfrm>
            <a:off x="3894241" y="0"/>
            <a:ext cx="1149539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61F7AE93-182F-9F7C-F393-EB55C3BEAFF2}"/>
              </a:ext>
            </a:extLst>
          </xdr:cNvPr>
          <xdr:cNvSpPr/>
        </xdr:nvSpPr>
        <xdr:spPr>
          <a:xfrm>
            <a:off x="2649629" y="0"/>
            <a:ext cx="1124946" cy="35849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B4759240-DB97-B988-CCF5-C9222970C458}"/>
              </a:ext>
            </a:extLst>
          </xdr:cNvPr>
          <xdr:cNvSpPr/>
        </xdr:nvSpPr>
        <xdr:spPr>
          <a:xfrm>
            <a:off x="1156620" y="0"/>
            <a:ext cx="1369511" cy="35849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502871A3-E23F-355A-2B48-55F93EE56E09}"/>
              </a:ext>
            </a:extLst>
          </xdr:cNvPr>
          <xdr:cNvSpPr/>
        </xdr:nvSpPr>
        <xdr:spPr>
          <a:xfrm>
            <a:off x="7994537" y="366343"/>
            <a:ext cx="2019810" cy="257285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ysClr val="windowText" lastClr="000000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ysClr val="windowText" lastClr="000000"/>
                </a:solidFill>
                <a:latin typeface="Montserrat SemiBold" pitchFamily="2" charset="0"/>
              </a:rPr>
              <a:t> de Aprendizagem</a:t>
            </a:r>
            <a:endParaRPr lang="pt-BR" sz="800" b="0">
              <a:solidFill>
                <a:sysClr val="windowText" lastClr="000000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28C02598-07F7-2128-4CE9-AADA6CAAFBA2}"/>
              </a:ext>
            </a:extLst>
          </xdr:cNvPr>
          <xdr:cNvSpPr/>
        </xdr:nvSpPr>
        <xdr:spPr>
          <a:xfrm>
            <a:off x="5792962" y="364438"/>
            <a:ext cx="2010285" cy="259190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Perspectiva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Processos Internos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854579</xdr:colOff>
      <xdr:row>0</xdr:row>
      <xdr:rowOff>0</xdr:rowOff>
    </xdr:from>
    <xdr:to>
      <xdr:col>11</xdr:col>
      <xdr:colOff>324269</xdr:colOff>
      <xdr:row>1</xdr:row>
      <xdr:rowOff>247052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DA5D32E-9F7E-CBE9-0081-4A1CCB5A3DC7}"/>
            </a:ext>
          </a:extLst>
        </xdr:cNvPr>
        <xdr:cNvGrpSpPr/>
      </xdr:nvGrpSpPr>
      <xdr:grpSpPr>
        <a:xfrm>
          <a:off x="1153682" y="0"/>
          <a:ext cx="10436793" cy="603127"/>
          <a:chOff x="1157243" y="0"/>
          <a:chExt cx="10389755" cy="621679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A9D385D-03D4-B201-AA53-075A9ECDE05B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Acompanhamento</a:t>
            </a: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34BB98EA-D259-D08C-B686-C549AF768D62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Metas Globais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46A1B2E4-843E-32C0-757D-A5D2A89BA0BF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4CC67A55-5FCC-CA11-047D-3B41355877B7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D3E718E6-29AF-57D0-9B39-9FAFF6E19425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6322892D-D432-FBBD-9808-C47CCEFB0D0D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A56187AA-31A2-8817-B324-1E8675295C5C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D4FEAF52-572A-B6E4-A034-E8CC878D6DC9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E9D036B7-8B6C-4039-1AB9-D691ED9216DC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94E26414-5E52-785B-614B-3B19CA820B66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ABAA2BD2-0075-0F65-8C4A-3F036A06843B}"/>
              </a:ext>
            </a:extLst>
          </xdr:cNvPr>
          <xdr:cNvSpPr/>
        </xdr:nvSpPr>
        <xdr:spPr>
          <a:xfrm>
            <a:off x="7633031" y="372818"/>
            <a:ext cx="1801905" cy="24886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Análize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Específica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3E7A1BA5-9643-15DA-97CC-CD00702D21E2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Planos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Ação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2CF712D2-3522-43E5-AE58-22B49425D07E}"/>
              </a:ext>
            </a:extLst>
          </xdr:cNvPr>
          <xdr:cNvSpPr/>
        </xdr:nvSpPr>
        <xdr:spPr>
          <a:xfrm>
            <a:off x="9729853" y="376628"/>
            <a:ext cx="1817145" cy="243146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Impressão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822960</xdr:colOff>
          <xdr:row>4</xdr:row>
          <xdr:rowOff>22860</xdr:rowOff>
        </xdr:from>
        <xdr:to>
          <xdr:col>5</xdr:col>
          <xdr:colOff>175260</xdr:colOff>
          <xdr:row>4</xdr:row>
          <xdr:rowOff>266700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F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858389</xdr:colOff>
      <xdr:row>0</xdr:row>
      <xdr:rowOff>0</xdr:rowOff>
    </xdr:from>
    <xdr:to>
      <xdr:col>5</xdr:col>
      <xdr:colOff>7813927</xdr:colOff>
      <xdr:row>1</xdr:row>
      <xdr:rowOff>254547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E3F22ED-3F05-4A9C-AE92-3AC1D99A901C}"/>
            </a:ext>
          </a:extLst>
        </xdr:cNvPr>
        <xdr:cNvGrpSpPr/>
      </xdr:nvGrpSpPr>
      <xdr:grpSpPr>
        <a:xfrm>
          <a:off x="1157492" y="0"/>
          <a:ext cx="10388099" cy="610622"/>
          <a:chOff x="1157243" y="0"/>
          <a:chExt cx="10389755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CF3F853-7C30-0D2B-7088-9197BDD1128F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Acompanhamento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6C043E6F-C308-BC1D-1AD7-10BA7EA2CC55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Metas Globais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316BA460-E019-E239-E313-91981F9CAD33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7EC7C078-C904-9544-F979-C2AEA70B2DC4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21D57B40-44A1-4484-F153-0290634D660E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3016CFB5-CADE-3271-4FFE-9D516BBD6B01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A3442BD5-2B39-8318-6F28-D28CD8D0DD0D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34BBAD2E-64A1-C830-DECB-B49C0787E4DA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54FFE288-AD9E-4679-8838-C51BBCC7DD37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C7014BC2-CFDC-EC30-1F4E-D463BD85C5CE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8DE04027-246F-7803-2D32-CBED8D69D54D}"/>
              </a:ext>
            </a:extLst>
          </xdr:cNvPr>
          <xdr:cNvSpPr/>
        </xdr:nvSpPr>
        <xdr:spPr>
          <a:xfrm>
            <a:off x="7633031" y="372818"/>
            <a:ext cx="1801905" cy="24886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Análize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Específica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BDD41E53-75FD-07D0-56C2-779483D319F8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Planos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Ação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893C37F5-B53E-FFBF-49C5-BDC61C015142}"/>
              </a:ext>
            </a:extLst>
          </xdr:cNvPr>
          <xdr:cNvSpPr/>
        </xdr:nvSpPr>
        <xdr:spPr>
          <a:xfrm>
            <a:off x="9729853" y="376628"/>
            <a:ext cx="1817145" cy="243146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Impressão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854579</xdr:colOff>
      <xdr:row>0</xdr:row>
      <xdr:rowOff>0</xdr:rowOff>
    </xdr:from>
    <xdr:to>
      <xdr:col>15</xdr:col>
      <xdr:colOff>362440</xdr:colOff>
      <xdr:row>1</xdr:row>
      <xdr:rowOff>265479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B7FAEA4-93B4-4FB2-A51D-4B386FAB913E}"/>
            </a:ext>
          </a:extLst>
        </xdr:cNvPr>
        <xdr:cNvGrpSpPr/>
      </xdr:nvGrpSpPr>
      <xdr:grpSpPr>
        <a:xfrm>
          <a:off x="1153682" y="0"/>
          <a:ext cx="10389506" cy="614432"/>
          <a:chOff x="1157243" y="0"/>
          <a:chExt cx="10389755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921A3C6C-373B-9F89-1626-D2496AA3EB58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Acompanhamento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19C274E6-687B-1F32-F7D8-93B96C5E6C08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Metas Globais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18ED177-99F0-9962-C7C4-C01E7D298A8C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D4D1943F-D415-00DA-75A8-07FFE8151020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BD9E6F93-50E7-7D50-F473-E157E5206EDD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FA953D15-534D-61EE-0473-284887DAC8DE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D6119974-61D3-FE32-F19C-95B62E2BC812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EDEEAE53-F9A5-08B3-EFD2-A34784DC7C31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B7BA47F2-E74E-B0AC-8B4D-8CB57FC28555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410F6396-CA48-1F4F-CA80-220E396072DE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A6825E6F-0F73-434C-1368-EA5113BF2CEE}"/>
              </a:ext>
            </a:extLst>
          </xdr:cNvPr>
          <xdr:cNvSpPr/>
        </xdr:nvSpPr>
        <xdr:spPr>
          <a:xfrm>
            <a:off x="7633031" y="372818"/>
            <a:ext cx="1801905" cy="24886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Análize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Específica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85CCEC54-804D-1603-6034-456A063647B8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Planos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Ação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374E4D66-C91E-C378-8D62-2B15800791EA}"/>
              </a:ext>
            </a:extLst>
          </xdr:cNvPr>
          <xdr:cNvSpPr/>
        </xdr:nvSpPr>
        <xdr:spPr>
          <a:xfrm>
            <a:off x="9729853" y="376628"/>
            <a:ext cx="1817145" cy="243146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Impressão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13</xdr:row>
          <xdr:rowOff>53340</xdr:rowOff>
        </xdr:from>
        <xdr:to>
          <xdr:col>5</xdr:col>
          <xdr:colOff>701040</xdr:colOff>
          <xdr:row>13</xdr:row>
          <xdr:rowOff>266700</xdr:rowOff>
        </xdr:to>
        <xdr:sp macro="" textlink="">
          <xdr:nvSpPr>
            <xdr:cNvPr id="21505" name="Drop Dow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1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60960</xdr:rowOff>
        </xdr:from>
        <xdr:to>
          <xdr:col>5</xdr:col>
          <xdr:colOff>708660</xdr:colOff>
          <xdr:row>4</xdr:row>
          <xdr:rowOff>266700</xdr:rowOff>
        </xdr:to>
        <xdr:sp macro="" textlink="">
          <xdr:nvSpPr>
            <xdr:cNvPr id="21506" name="Drop Dow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1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858389</xdr:colOff>
      <xdr:row>0</xdr:row>
      <xdr:rowOff>0</xdr:rowOff>
    </xdr:from>
    <xdr:to>
      <xdr:col>12</xdr:col>
      <xdr:colOff>188213</xdr:colOff>
      <xdr:row>1</xdr:row>
      <xdr:rowOff>262951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D36BBEC-BDBF-47CA-8709-06069EE3E792}"/>
            </a:ext>
          </a:extLst>
        </xdr:cNvPr>
        <xdr:cNvGrpSpPr/>
      </xdr:nvGrpSpPr>
      <xdr:grpSpPr>
        <a:xfrm>
          <a:off x="1157492" y="0"/>
          <a:ext cx="10425114" cy="604783"/>
          <a:chOff x="1157243" y="0"/>
          <a:chExt cx="10389755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504A9EF4-7E1F-1BA0-2391-7C94D79E075C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Acompanhamento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61CE0D4D-E171-051F-6BAE-1FAD7A9E8972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Metas Globais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2AA39B8-41EE-CFEE-9947-FA24937CC7D2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6134EC60-675A-601D-6F28-377CE7722618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C517322A-3D9A-251D-533B-018AFA8C0597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68CC9A6-D9F8-B808-3518-C4E9207763B3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8CE7B2F0-709E-5554-0E08-15E0B75E14E0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B80CC076-3ABB-40A9-E45F-02D7A0D72986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309DF20D-F5C1-97DA-0F6C-503D6275A94E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15DD2EE6-624F-BBAB-D00E-1C46EC5454DE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99074A54-E628-6891-BBC5-7428C6FD3509}"/>
              </a:ext>
            </a:extLst>
          </xdr:cNvPr>
          <xdr:cNvSpPr/>
        </xdr:nvSpPr>
        <xdr:spPr>
          <a:xfrm>
            <a:off x="7633031" y="372818"/>
            <a:ext cx="1801905" cy="24886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Análize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Específica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E433460C-E582-5359-D8D2-1ED404DD69B9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Planos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Ação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F0323405-D200-D50A-3A0E-910DA7A10433}"/>
              </a:ext>
            </a:extLst>
          </xdr:cNvPr>
          <xdr:cNvSpPr/>
        </xdr:nvSpPr>
        <xdr:spPr>
          <a:xfrm>
            <a:off x="9729853" y="376628"/>
            <a:ext cx="1817145" cy="243146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Impressão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854579</xdr:colOff>
      <xdr:row>0</xdr:row>
      <xdr:rowOff>0</xdr:rowOff>
    </xdr:from>
    <xdr:to>
      <xdr:col>11</xdr:col>
      <xdr:colOff>780828</xdr:colOff>
      <xdr:row>1</xdr:row>
      <xdr:rowOff>265479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9790B2C-A05B-4454-8C95-FEBBC7EF1AEC}"/>
            </a:ext>
          </a:extLst>
        </xdr:cNvPr>
        <xdr:cNvGrpSpPr/>
      </xdr:nvGrpSpPr>
      <xdr:grpSpPr>
        <a:xfrm>
          <a:off x="1153682" y="0"/>
          <a:ext cx="10430454" cy="614432"/>
          <a:chOff x="1157243" y="0"/>
          <a:chExt cx="10389755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378EE456-B90C-2D75-0DE1-DDCE4867A814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Acompanhamento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3DB21651-8B8E-41E5-7B08-407207A368C7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Metas Globais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765B0743-7214-A2BD-33D0-085B6969A842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44F3209E-370F-3A5B-AA60-A8045AF769C4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9BAB1DC5-CA37-659F-F0BA-60B30581FDEB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940E1E0-A359-8B6E-5A4F-6DE824ECF53D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7C4CBA5E-1F0E-C790-336E-AE99081F2B5E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9981B856-C08A-9E77-B4A5-1201389B6458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1417C8EC-CFCE-BE11-CFC5-2725D1A75030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2443CA9C-8BA4-3611-9C89-31154EC6EB7B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29F673BC-438B-8000-6F0B-C8A7A4625F52}"/>
              </a:ext>
            </a:extLst>
          </xdr:cNvPr>
          <xdr:cNvSpPr/>
        </xdr:nvSpPr>
        <xdr:spPr>
          <a:xfrm>
            <a:off x="7633031" y="372818"/>
            <a:ext cx="1801905" cy="248861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Análize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Específica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79362E2B-B339-1540-D241-844B30F1FA5D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Planos</a:t>
            </a:r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 de Ação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F702963C-4CA8-D02F-D338-A0A17703E8E0}"/>
              </a:ext>
            </a:extLst>
          </xdr:cNvPr>
          <xdr:cNvSpPr/>
        </xdr:nvSpPr>
        <xdr:spPr>
          <a:xfrm>
            <a:off x="9729853" y="376628"/>
            <a:ext cx="1817145" cy="243146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Impressão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854579</xdr:colOff>
      <xdr:row>0</xdr:row>
      <xdr:rowOff>0</xdr:rowOff>
    </xdr:from>
    <xdr:to>
      <xdr:col>12</xdr:col>
      <xdr:colOff>96554</xdr:colOff>
      <xdr:row>1</xdr:row>
      <xdr:rowOff>265479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6F583B2-BFFB-4AB8-BAC2-3462C11BCF37}"/>
            </a:ext>
          </a:extLst>
        </xdr:cNvPr>
        <xdr:cNvGrpSpPr/>
      </xdr:nvGrpSpPr>
      <xdr:grpSpPr>
        <a:xfrm>
          <a:off x="1161053" y="0"/>
          <a:ext cx="10201457" cy="621554"/>
          <a:chOff x="1157243" y="0"/>
          <a:chExt cx="10182331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54E652F-4118-E84F-542A-C6BA6DA971C5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Perspectivas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953FF150-7753-E651-55AC-9C67EE5ED83B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Análise dos Planos e Ação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C004ED0-19E3-FE6F-D366-6263A137BE85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9605BE6F-62C5-78BC-BFCC-96898FD6484E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FFD3E3B-5E61-58B6-5A86-52863FB7EF91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9AA9B543-C780-A6F8-0134-9AE17D0B47EE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DA73B1F4-4989-0F57-1DEA-073C1C8241C2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381E32FB-C9E2-88A5-D76A-88ADE9127324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E1ADB916-51E9-4043-769B-027E87AEE73B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5D634CE4-6EE8-F7F5-7C5A-6B7993A7A11F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18D1E7CA-AF04-1F8D-23CC-5D1BF5414715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Estratégias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30480</xdr:rowOff>
        </xdr:from>
        <xdr:to>
          <xdr:col>7</xdr:col>
          <xdr:colOff>0</xdr:colOff>
          <xdr:row>3</xdr:row>
          <xdr:rowOff>289560</xdr:rowOff>
        </xdr:to>
        <xdr:sp macro="" textlink="">
          <xdr:nvSpPr>
            <xdr:cNvPr id="46081" name="Drop Down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15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27842</xdr:colOff>
      <xdr:row>5</xdr:row>
      <xdr:rowOff>289371</xdr:rowOff>
    </xdr:from>
    <xdr:to>
      <xdr:col>6</xdr:col>
      <xdr:colOff>219391</xdr:colOff>
      <xdr:row>9</xdr:row>
      <xdr:rowOff>380956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EE4E468F-615F-44E6-9B74-280E87DEF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227170</xdr:colOff>
      <xdr:row>5</xdr:row>
      <xdr:rowOff>302706</xdr:rowOff>
    </xdr:from>
    <xdr:to>
      <xdr:col>8</xdr:col>
      <xdr:colOff>150434</xdr:colOff>
      <xdr:row>9</xdr:row>
      <xdr:rowOff>380956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17E2C674-F8B1-46A3-A206-1E597323C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160118</xdr:colOff>
      <xdr:row>5</xdr:row>
      <xdr:rowOff>283656</xdr:rowOff>
    </xdr:from>
    <xdr:to>
      <xdr:col>8</xdr:col>
      <xdr:colOff>1572593</xdr:colOff>
      <xdr:row>9</xdr:row>
      <xdr:rowOff>380956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E7AFE55A-D25D-4C1A-8FD2-1E159D750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1582277</xdr:colOff>
      <xdr:row>5</xdr:row>
      <xdr:rowOff>302706</xdr:rowOff>
    </xdr:from>
    <xdr:to>
      <xdr:col>8</xdr:col>
      <xdr:colOff>3023327</xdr:colOff>
      <xdr:row>9</xdr:row>
      <xdr:rowOff>380956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F70BE566-1C58-48A0-B65F-0E67862FE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3033011</xdr:colOff>
      <xdr:row>5</xdr:row>
      <xdr:rowOff>283656</xdr:rowOff>
    </xdr:from>
    <xdr:to>
      <xdr:col>9</xdr:col>
      <xdr:colOff>783436</xdr:colOff>
      <xdr:row>9</xdr:row>
      <xdr:rowOff>380956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D4327FEF-B59F-420F-B762-737DFD954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793120</xdr:colOff>
      <xdr:row>5</xdr:row>
      <xdr:rowOff>283656</xdr:rowOff>
    </xdr:from>
    <xdr:to>
      <xdr:col>11</xdr:col>
      <xdr:colOff>514741</xdr:colOff>
      <xdr:row>9</xdr:row>
      <xdr:rowOff>380956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98D6919-108C-4CA4-973D-12B4A71BF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524425</xdr:colOff>
      <xdr:row>5</xdr:row>
      <xdr:rowOff>285561</xdr:rowOff>
    </xdr:from>
    <xdr:to>
      <xdr:col>13</xdr:col>
      <xdr:colOff>495298</xdr:colOff>
      <xdr:row>9</xdr:row>
      <xdr:rowOff>380956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3E9F8B09-BDE3-414B-A38C-3A9442D34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503078</xdr:colOff>
      <xdr:row>5</xdr:row>
      <xdr:rowOff>304650</xdr:rowOff>
    </xdr:from>
    <xdr:to>
      <xdr:col>15</xdr:col>
      <xdr:colOff>761303</xdr:colOff>
      <xdr:row>9</xdr:row>
      <xdr:rowOff>380956</xdr:rowOff>
    </xdr:to>
    <xdr:graphicFrame macro="">
      <xdr:nvGraphicFramePr>
        <xdr:cNvPr id="46080" name="Gráfico 46079">
          <a:extLst>
            <a:ext uri="{FF2B5EF4-FFF2-40B4-BE49-F238E27FC236}">
              <a16:creationId xmlns:a16="http://schemas.microsoft.com/office/drawing/2014/main" id="{BA7E4913-0339-421C-B4B5-101CF327B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27842</xdr:colOff>
      <xdr:row>11</xdr:row>
      <xdr:rowOff>307756</xdr:rowOff>
    </xdr:from>
    <xdr:to>
      <xdr:col>6</xdr:col>
      <xdr:colOff>289362</xdr:colOff>
      <xdr:row>16</xdr:row>
      <xdr:rowOff>21645</xdr:rowOff>
    </xdr:to>
    <xdr:graphicFrame macro="">
      <xdr:nvGraphicFramePr>
        <xdr:cNvPr id="46082" name="Gráfico 46081">
          <a:extLst>
            <a:ext uri="{FF2B5EF4-FFF2-40B4-BE49-F238E27FC236}">
              <a16:creationId xmlns:a16="http://schemas.microsoft.com/office/drawing/2014/main" id="{3CA54649-305C-1D96-89CB-5899EA69C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295238</xdr:colOff>
      <xdr:row>12</xdr:row>
      <xdr:rowOff>0</xdr:rowOff>
    </xdr:from>
    <xdr:to>
      <xdr:col>8</xdr:col>
      <xdr:colOff>236292</xdr:colOff>
      <xdr:row>16</xdr:row>
      <xdr:rowOff>21645</xdr:rowOff>
    </xdr:to>
    <xdr:graphicFrame macro="">
      <xdr:nvGraphicFramePr>
        <xdr:cNvPr id="46083" name="Gráfico 46082">
          <a:extLst>
            <a:ext uri="{FF2B5EF4-FFF2-40B4-BE49-F238E27FC236}">
              <a16:creationId xmlns:a16="http://schemas.microsoft.com/office/drawing/2014/main" id="{8A3371C4-F6BC-4F9C-8987-94DCE4508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245978</xdr:colOff>
      <xdr:row>11</xdr:row>
      <xdr:rowOff>305851</xdr:rowOff>
    </xdr:from>
    <xdr:to>
      <xdr:col>8</xdr:col>
      <xdr:colOff>1664813</xdr:colOff>
      <xdr:row>16</xdr:row>
      <xdr:rowOff>21645</xdr:rowOff>
    </xdr:to>
    <xdr:graphicFrame macro="">
      <xdr:nvGraphicFramePr>
        <xdr:cNvPr id="46084" name="Gráfico 46083">
          <a:extLst>
            <a:ext uri="{FF2B5EF4-FFF2-40B4-BE49-F238E27FC236}">
              <a16:creationId xmlns:a16="http://schemas.microsoft.com/office/drawing/2014/main" id="{E648B2C4-F623-4AA7-8C0A-46A117576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1674499</xdr:colOff>
      <xdr:row>12</xdr:row>
      <xdr:rowOff>19050</xdr:rowOff>
    </xdr:from>
    <xdr:to>
      <xdr:col>8</xdr:col>
      <xdr:colOff>3110479</xdr:colOff>
      <xdr:row>16</xdr:row>
      <xdr:rowOff>21645</xdr:rowOff>
    </xdr:to>
    <xdr:graphicFrame macro="">
      <xdr:nvGraphicFramePr>
        <xdr:cNvPr id="46085" name="Gráfico 46084">
          <a:extLst>
            <a:ext uri="{FF2B5EF4-FFF2-40B4-BE49-F238E27FC236}">
              <a16:creationId xmlns:a16="http://schemas.microsoft.com/office/drawing/2014/main" id="{B5211E9A-1C0E-4191-B771-4CA28B0F3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3120165</xdr:colOff>
      <xdr:row>11</xdr:row>
      <xdr:rowOff>305851</xdr:rowOff>
    </xdr:from>
    <xdr:to>
      <xdr:col>9</xdr:col>
      <xdr:colOff>820547</xdr:colOff>
      <xdr:row>16</xdr:row>
      <xdr:rowOff>21645</xdr:rowOff>
    </xdr:to>
    <xdr:graphicFrame macro="">
      <xdr:nvGraphicFramePr>
        <xdr:cNvPr id="46086" name="Gráfico 46085">
          <a:extLst>
            <a:ext uri="{FF2B5EF4-FFF2-40B4-BE49-F238E27FC236}">
              <a16:creationId xmlns:a16="http://schemas.microsoft.com/office/drawing/2014/main" id="{17E6A8CA-7CC0-45F8-9633-75A719AEE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830233</xdr:colOff>
      <xdr:row>11</xdr:row>
      <xdr:rowOff>305851</xdr:rowOff>
    </xdr:from>
    <xdr:to>
      <xdr:col>11</xdr:col>
      <xdr:colOff>526575</xdr:colOff>
      <xdr:row>16</xdr:row>
      <xdr:rowOff>21645</xdr:rowOff>
    </xdr:to>
    <xdr:graphicFrame macro="">
      <xdr:nvGraphicFramePr>
        <xdr:cNvPr id="46087" name="Gráfico 46086">
          <a:extLst>
            <a:ext uri="{FF2B5EF4-FFF2-40B4-BE49-F238E27FC236}">
              <a16:creationId xmlns:a16="http://schemas.microsoft.com/office/drawing/2014/main" id="{1962CB70-1F6B-4900-A80D-A799B11C4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536261</xdr:colOff>
      <xdr:row>11</xdr:row>
      <xdr:rowOff>305851</xdr:rowOff>
    </xdr:from>
    <xdr:to>
      <xdr:col>13</xdr:col>
      <xdr:colOff>561865</xdr:colOff>
      <xdr:row>16</xdr:row>
      <xdr:rowOff>21645</xdr:rowOff>
    </xdr:to>
    <xdr:graphicFrame macro="">
      <xdr:nvGraphicFramePr>
        <xdr:cNvPr id="46088" name="Gráfico 46087">
          <a:extLst>
            <a:ext uri="{FF2B5EF4-FFF2-40B4-BE49-F238E27FC236}">
              <a16:creationId xmlns:a16="http://schemas.microsoft.com/office/drawing/2014/main" id="{AA204327-5DD1-483E-A8DD-6173E051E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571550</xdr:colOff>
      <xdr:row>11</xdr:row>
      <xdr:rowOff>307756</xdr:rowOff>
    </xdr:from>
    <xdr:to>
      <xdr:col>15</xdr:col>
      <xdr:colOff>764490</xdr:colOff>
      <xdr:row>16</xdr:row>
      <xdr:rowOff>17835</xdr:rowOff>
    </xdr:to>
    <xdr:graphicFrame macro="">
      <xdr:nvGraphicFramePr>
        <xdr:cNvPr id="46089" name="Gráfico 46088">
          <a:extLst>
            <a:ext uri="{FF2B5EF4-FFF2-40B4-BE49-F238E27FC236}">
              <a16:creationId xmlns:a16="http://schemas.microsoft.com/office/drawing/2014/main" id="{FE95FBE7-1F05-4885-B1A7-AA7C2E1F8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858389</xdr:colOff>
      <xdr:row>0</xdr:row>
      <xdr:rowOff>0</xdr:rowOff>
    </xdr:from>
    <xdr:to>
      <xdr:col>9</xdr:col>
      <xdr:colOff>59041</xdr:colOff>
      <xdr:row>1</xdr:row>
      <xdr:rowOff>265479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291C0A3-2F10-4364-9AE8-BF60866E3D2C}"/>
            </a:ext>
          </a:extLst>
        </xdr:cNvPr>
        <xdr:cNvGrpSpPr/>
      </xdr:nvGrpSpPr>
      <xdr:grpSpPr>
        <a:xfrm>
          <a:off x="1157243" y="0"/>
          <a:ext cx="10203362" cy="621554"/>
          <a:chOff x="1157243" y="0"/>
          <a:chExt cx="10182331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A72ADE9F-6BAA-60BC-22E7-3210F3ACAAF1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Perspectivas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A69DE50D-7DA9-8E52-4409-9D784581F69E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Análise dos Planos e Ação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DEC4D65D-7DD2-7FC6-D147-A1770F2C279C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2BEE7047-21BF-AF1A-E955-5DE5558B589B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A97250A-976E-ADD8-5681-44D269D45D40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70B2683C-06BD-2F0D-8E89-3223AD5ED265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40CC83A6-88D1-A369-9BA2-076C0891FF60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E155FE36-1701-4AF3-B2E9-01E6229D5CBA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2C010DAF-F814-0C0A-02B9-7C39C6626502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FA39A4C0-130E-CA88-C75A-B0B91F4A4791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35F53AE-DD61-D71F-7B31-1BF3ED0790BA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Estratégias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3</xdr:row>
          <xdr:rowOff>38100</xdr:rowOff>
        </xdr:from>
        <xdr:to>
          <xdr:col>4</xdr:col>
          <xdr:colOff>2583180</xdr:colOff>
          <xdr:row>3</xdr:row>
          <xdr:rowOff>289560</xdr:rowOff>
        </xdr:to>
        <xdr:sp macro="" textlink="">
          <xdr:nvSpPr>
            <xdr:cNvPr id="47105" name="Drop Down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16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11946</xdr:colOff>
      <xdr:row>9</xdr:row>
      <xdr:rowOff>10718</xdr:rowOff>
    </xdr:from>
    <xdr:to>
      <xdr:col>10</xdr:col>
      <xdr:colOff>2608248</xdr:colOff>
      <xdr:row>19</xdr:row>
      <xdr:rowOff>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55234C08-135D-ABEB-6BF1-6A2079D2E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858389</xdr:colOff>
      <xdr:row>0</xdr:row>
      <xdr:rowOff>0</xdr:rowOff>
    </xdr:from>
    <xdr:to>
      <xdr:col>17</xdr:col>
      <xdr:colOff>169674</xdr:colOff>
      <xdr:row>1</xdr:row>
      <xdr:rowOff>265479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C0EB806-B600-45DE-9735-2CCD46A29DB0}"/>
            </a:ext>
          </a:extLst>
        </xdr:cNvPr>
        <xdr:cNvGrpSpPr/>
      </xdr:nvGrpSpPr>
      <xdr:grpSpPr>
        <a:xfrm>
          <a:off x="1157243" y="0"/>
          <a:ext cx="10214792" cy="621554"/>
          <a:chOff x="1157243" y="0"/>
          <a:chExt cx="10182331" cy="621679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28153F80-290F-2241-7652-3F04D1B2C7CF}"/>
              </a:ext>
            </a:extLst>
          </xdr:cNvPr>
          <xdr:cNvSpPr/>
        </xdr:nvSpPr>
        <xdr:spPr>
          <a:xfrm>
            <a:off x="1359716" y="365807"/>
            <a:ext cx="1803810" cy="255872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Perspectivas</a:t>
            </a: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8F2F495-CCC1-5938-D134-CF17AB93165F}"/>
              </a:ext>
            </a:extLst>
          </xdr:cNvPr>
          <xdr:cNvSpPr/>
        </xdr:nvSpPr>
        <xdr:spPr>
          <a:xfrm>
            <a:off x="3454631" y="371510"/>
            <a:ext cx="1803810" cy="250169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baseline="0">
                <a:solidFill>
                  <a:schemeClr val="bg1"/>
                </a:solidFill>
                <a:latin typeface="Montserrat SemiBold" pitchFamily="2" charset="0"/>
              </a:rPr>
              <a:t>Análise dos Planos e Ação </a:t>
            </a:r>
            <a:endParaRPr lang="pt-BR" sz="800" b="0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78F05D43-4D27-3C4A-36D3-0CCD197D88DF}"/>
              </a:ext>
            </a:extLst>
          </xdr:cNvPr>
          <xdr:cNvSpPr/>
        </xdr:nvSpPr>
        <xdr:spPr>
          <a:xfrm>
            <a:off x="10196702" y="0"/>
            <a:ext cx="1142872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Instruções</a:t>
            </a:r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A53639A-4563-10A3-E222-9A1922C9EE85}"/>
              </a:ext>
            </a:extLst>
          </xdr:cNvPr>
          <xdr:cNvSpPr/>
        </xdr:nvSpPr>
        <xdr:spPr>
          <a:xfrm>
            <a:off x="8934137" y="0"/>
            <a:ext cx="1140903" cy="357377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Dashboards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A4F87288-1ABD-70EC-FEB7-DABB475CB706}"/>
              </a:ext>
            </a:extLst>
          </xdr:cNvPr>
          <xdr:cNvSpPr/>
        </xdr:nvSpPr>
        <xdr:spPr>
          <a:xfrm>
            <a:off x="5167159" y="0"/>
            <a:ext cx="1129554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Planos</a:t>
            </a:r>
            <a:r>
              <a:rPr lang="pt-BR" sz="800" b="0" baseline="0">
                <a:latin typeface="Montserrat SemiBold" pitchFamily="2" charset="0"/>
              </a:rPr>
              <a:t> de ação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4FE0D46B-EC24-78BA-0A69-AD12F289B610}"/>
              </a:ext>
            </a:extLst>
          </xdr:cNvPr>
          <xdr:cNvSpPr/>
        </xdr:nvSpPr>
        <xdr:spPr>
          <a:xfrm>
            <a:off x="7673404" y="0"/>
            <a:ext cx="113523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Mapa</a:t>
            </a:r>
            <a:r>
              <a:rPr lang="pt-BR" sz="800" b="0" baseline="0">
                <a:latin typeface="Montserrat SemiBold" pitchFamily="2" charset="0"/>
              </a:rPr>
              <a:t> BSC</a:t>
            </a:r>
            <a:endParaRPr lang="pt-BR" sz="800" b="0">
              <a:latin typeface="Montserrat SemiBold" pitchFamily="2" charset="0"/>
            </a:endParaRP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A4168143-E0F8-D4A5-B8E3-0895F0B96BE6}"/>
              </a:ext>
            </a:extLst>
          </xdr:cNvPr>
          <xdr:cNvSpPr/>
        </xdr:nvSpPr>
        <xdr:spPr>
          <a:xfrm>
            <a:off x="6424062" y="0"/>
            <a:ext cx="1118150" cy="357377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Relatórios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96EAD27D-E368-8856-215A-1B2E8795926F}"/>
              </a:ext>
            </a:extLst>
          </xdr:cNvPr>
          <xdr:cNvSpPr/>
        </xdr:nvSpPr>
        <xdr:spPr>
          <a:xfrm>
            <a:off x="3898837" y="0"/>
            <a:ext cx="1154217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Estratégia</a:t>
            </a: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BAAF89FF-604A-FB52-9D30-600D5DEE2E8E}"/>
              </a:ext>
            </a:extLst>
          </xdr:cNvPr>
          <xdr:cNvSpPr/>
        </xdr:nvSpPr>
        <xdr:spPr>
          <a:xfrm>
            <a:off x="2655190" y="0"/>
            <a:ext cx="1121986" cy="357377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Metas</a:t>
            </a:r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E7CEEDA3-6EBD-D98A-7E6E-BAC0E279EBCA}"/>
              </a:ext>
            </a:extLst>
          </xdr:cNvPr>
          <xdr:cNvSpPr/>
        </xdr:nvSpPr>
        <xdr:spPr>
          <a:xfrm>
            <a:off x="1157243" y="0"/>
            <a:ext cx="1370546" cy="357377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latin typeface="Montserrat SemiBold" pitchFamily="2" charset="0"/>
              </a:rPr>
              <a:t>Premissas Gerais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593C023F-6B51-4886-4AE2-9ECF5BD05D76}"/>
              </a:ext>
            </a:extLst>
          </xdr:cNvPr>
          <xdr:cNvSpPr/>
        </xdr:nvSpPr>
        <xdr:spPr>
          <a:xfrm>
            <a:off x="5543831" y="369014"/>
            <a:ext cx="1801905" cy="252665"/>
          </a:xfrm>
          <a:prstGeom prst="rect">
            <a:avLst/>
          </a:prstGeom>
          <a:solidFill>
            <a:schemeClr val="bg1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>
                <a:solidFill>
                  <a:schemeClr val="bg1"/>
                </a:solidFill>
                <a:latin typeface="Montserrat SemiBold" pitchFamily="2" charset="0"/>
              </a:rPr>
              <a:t>Análise das Estratégias</a:t>
            </a:r>
          </a:p>
        </xdr:txBody>
      </xdr:sp>
    </xdr:grpSp>
    <xdr:clientData/>
  </xdr:twoCellAnchor>
  <xdr:twoCellAnchor>
    <xdr:from>
      <xdr:col>5</xdr:col>
      <xdr:colOff>20332</xdr:colOff>
      <xdr:row>4</xdr:row>
      <xdr:rowOff>20332</xdr:rowOff>
    </xdr:from>
    <xdr:to>
      <xdr:col>15</xdr:col>
      <xdr:colOff>124626</xdr:colOff>
      <xdr:row>11</xdr:row>
      <xdr:rowOff>106822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6A290FD6-2A34-422D-9922-3DE1F39DE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2597297</xdr:colOff>
      <xdr:row>35</xdr:row>
      <xdr:rowOff>197570</xdr:rowOff>
    </xdr:from>
    <xdr:to>
      <xdr:col>15</xdr:col>
      <xdr:colOff>245601</xdr:colOff>
      <xdr:row>55</xdr:row>
      <xdr:rowOff>21358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0F2549D-8BB7-448D-879C-5C4210CB2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daniel herculis consultoria">
      <a:dk1>
        <a:srgbClr val="012245"/>
      </a:dk1>
      <a:lt1>
        <a:srgbClr val="FEFFFF"/>
      </a:lt1>
      <a:dk2>
        <a:srgbClr val="012245"/>
      </a:dk2>
      <a:lt2>
        <a:srgbClr val="D9DBDF"/>
      </a:lt2>
      <a:accent1>
        <a:srgbClr val="012245"/>
      </a:accent1>
      <a:accent2>
        <a:srgbClr val="2E7271"/>
      </a:accent2>
      <a:accent3>
        <a:srgbClr val="FEFFFF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990F-5187-4FE0-AA0F-FAF5BA007094}">
  <dimension ref="A1:L1845"/>
  <sheetViews>
    <sheetView workbookViewId="0">
      <selection activeCell="A6" sqref="A6"/>
    </sheetView>
  </sheetViews>
  <sheetFormatPr defaultRowHeight="14.4" x14ac:dyDescent="0.3"/>
  <cols>
    <col min="1" max="1" width="12.109375" customWidth="1"/>
    <col min="2" max="2" width="14.33203125" bestFit="1" customWidth="1"/>
    <col min="3" max="3" width="26.33203125" bestFit="1" customWidth="1"/>
    <col min="4" max="4" width="5" bestFit="1" customWidth="1"/>
    <col min="5" max="5" width="10.44140625" bestFit="1" customWidth="1"/>
    <col min="8" max="8" width="12.109375" customWidth="1"/>
    <col min="9" max="9" width="14.33203125" bestFit="1" customWidth="1"/>
    <col min="10" max="10" width="26.33203125" bestFit="1" customWidth="1"/>
    <col min="11" max="11" width="5" bestFit="1" customWidth="1"/>
    <col min="12" max="12" width="10.44140625" bestFit="1" customWidth="1"/>
  </cols>
  <sheetData>
    <row r="1" spans="1:12" x14ac:dyDescent="0.3">
      <c r="A1" t="s">
        <v>103</v>
      </c>
      <c r="H1" t="s">
        <v>104</v>
      </c>
    </row>
    <row r="2" spans="1:12" x14ac:dyDescent="0.3">
      <c r="A2" t="s">
        <v>105</v>
      </c>
      <c r="B2" t="s">
        <v>106</v>
      </c>
      <c r="C2" t="s">
        <v>107</v>
      </c>
      <c r="D2" t="s">
        <v>18</v>
      </c>
      <c r="E2" t="s">
        <v>108</v>
      </c>
      <c r="H2" t="s">
        <v>105</v>
      </c>
      <c r="I2" t="s">
        <v>106</v>
      </c>
      <c r="J2" t="s">
        <v>107</v>
      </c>
      <c r="K2" t="s">
        <v>18</v>
      </c>
      <c r="L2" t="s">
        <v>108</v>
      </c>
    </row>
    <row r="3" spans="1:12" x14ac:dyDescent="0.3">
      <c r="A3" s="53">
        <f>DATE(D3,1,1)</f>
        <v>43466</v>
      </c>
      <c r="B3" s="54">
        <f t="shared" ref="B3:B66" si="0">A3</f>
        <v>43466</v>
      </c>
      <c r="C3" t="s">
        <v>109</v>
      </c>
      <c r="D3">
        <v>2019</v>
      </c>
      <c r="E3" t="s">
        <v>110</v>
      </c>
      <c r="H3" s="53">
        <f>DATE(K3,1,1)</f>
        <v>43466</v>
      </c>
      <c r="I3" s="54">
        <f>H3</f>
        <v>43466</v>
      </c>
      <c r="J3" t="s">
        <v>109</v>
      </c>
      <c r="K3">
        <v>2019</v>
      </c>
      <c r="L3" t="s">
        <v>110</v>
      </c>
    </row>
    <row r="4" spans="1:12" x14ac:dyDescent="0.3">
      <c r="A4" s="53">
        <f>A7-48</f>
        <v>43528</v>
      </c>
      <c r="B4" s="54">
        <f t="shared" si="0"/>
        <v>43528</v>
      </c>
      <c r="C4" t="s">
        <v>111</v>
      </c>
      <c r="D4">
        <v>2019</v>
      </c>
      <c r="E4" t="s">
        <v>110</v>
      </c>
      <c r="H4" s="53">
        <f>H7-48</f>
        <v>43528</v>
      </c>
      <c r="I4" s="54">
        <f>H4</f>
        <v>43528</v>
      </c>
      <c r="J4" t="s">
        <v>111</v>
      </c>
      <c r="K4">
        <v>2019</v>
      </c>
      <c r="L4" t="s">
        <v>110</v>
      </c>
    </row>
    <row r="5" spans="1:12" x14ac:dyDescent="0.3">
      <c r="A5" s="53">
        <f>A7-47</f>
        <v>43529</v>
      </c>
      <c r="B5" s="54">
        <f t="shared" si="0"/>
        <v>43529</v>
      </c>
      <c r="C5" t="s">
        <v>111</v>
      </c>
      <c r="D5">
        <v>2019</v>
      </c>
      <c r="E5" t="s">
        <v>110</v>
      </c>
      <c r="H5" s="53">
        <f>H7-47</f>
        <v>43529</v>
      </c>
      <c r="I5" s="54">
        <f>H5</f>
        <v>43529</v>
      </c>
      <c r="J5" t="s">
        <v>111</v>
      </c>
      <c r="K5">
        <v>2019</v>
      </c>
      <c r="L5" t="s">
        <v>110</v>
      </c>
    </row>
    <row r="6" spans="1:12" x14ac:dyDescent="0.3">
      <c r="A6" s="53">
        <f>A7-2</f>
        <v>43574</v>
      </c>
      <c r="B6" s="54">
        <f t="shared" si="0"/>
        <v>43574</v>
      </c>
      <c r="C6" t="s">
        <v>112</v>
      </c>
      <c r="D6">
        <v>2019</v>
      </c>
      <c r="E6" t="s">
        <v>110</v>
      </c>
      <c r="H6" s="53">
        <f>H7-2</f>
        <v>43574</v>
      </c>
      <c r="I6" s="54">
        <f>H6</f>
        <v>43574</v>
      </c>
      <c r="J6" t="s">
        <v>112</v>
      </c>
      <c r="K6">
        <v>2019</v>
      </c>
      <c r="L6" t="s">
        <v>110</v>
      </c>
    </row>
    <row r="7" spans="1:12" x14ac:dyDescent="0.3">
      <c r="A7" s="53">
        <f>FLOOR(DAY(MINUTE(D7/38)/2+56)&amp;"/5"&amp;"/"&amp;D7,7)-34</f>
        <v>43576</v>
      </c>
      <c r="B7" s="54">
        <f t="shared" si="0"/>
        <v>43576</v>
      </c>
      <c r="C7" t="s">
        <v>113</v>
      </c>
      <c r="D7">
        <v>2019</v>
      </c>
      <c r="E7" t="s">
        <v>110</v>
      </c>
      <c r="H7" s="53">
        <f>FLOOR(DAY(MINUTE(K7/38)/2+56)&amp;"/5"&amp;"/"&amp;K7,7)-34</f>
        <v>43576</v>
      </c>
      <c r="I7" s="54">
        <f>H7</f>
        <v>43576</v>
      </c>
      <c r="J7" t="s">
        <v>113</v>
      </c>
      <c r="K7">
        <v>2019</v>
      </c>
      <c r="L7" t="s">
        <v>110</v>
      </c>
    </row>
    <row r="8" spans="1:12" x14ac:dyDescent="0.3">
      <c r="A8" s="53">
        <f>DATE(D8,4,14)</f>
        <v>43569</v>
      </c>
      <c r="B8" s="54">
        <f t="shared" si="0"/>
        <v>43569</v>
      </c>
      <c r="C8" t="s">
        <v>114</v>
      </c>
      <c r="D8">
        <v>2019</v>
      </c>
      <c r="E8" t="s">
        <v>115</v>
      </c>
      <c r="H8" s="53">
        <f>DATE(K8,4,21)</f>
        <v>43576</v>
      </c>
      <c r="I8" s="54">
        <f t="shared" ref="I8:I71" si="1">H8</f>
        <v>43576</v>
      </c>
      <c r="J8" t="s">
        <v>116</v>
      </c>
      <c r="K8">
        <v>2019</v>
      </c>
      <c r="L8" t="s">
        <v>110</v>
      </c>
    </row>
    <row r="9" spans="1:12" x14ac:dyDescent="0.3">
      <c r="A9" s="53">
        <f>DATE(D9,4,21)</f>
        <v>43576</v>
      </c>
      <c r="B9" s="54">
        <f t="shared" si="0"/>
        <v>43576</v>
      </c>
      <c r="C9" t="s">
        <v>116</v>
      </c>
      <c r="D9">
        <v>2019</v>
      </c>
      <c r="E9" t="s">
        <v>110</v>
      </c>
      <c r="H9" s="53">
        <f>DATE(K9,5,1)</f>
        <v>43586</v>
      </c>
      <c r="I9" s="54">
        <f t="shared" si="1"/>
        <v>43586</v>
      </c>
      <c r="J9" t="s">
        <v>117</v>
      </c>
      <c r="K9">
        <v>2019</v>
      </c>
      <c r="L9" t="s">
        <v>110</v>
      </c>
    </row>
    <row r="10" spans="1:12" x14ac:dyDescent="0.3">
      <c r="A10" s="53">
        <f>DATE(D10,5,1)</f>
        <v>43586</v>
      </c>
      <c r="B10" s="54">
        <f t="shared" si="0"/>
        <v>43586</v>
      </c>
      <c r="C10" t="s">
        <v>117</v>
      </c>
      <c r="D10">
        <v>2019</v>
      </c>
      <c r="E10" t="s">
        <v>110</v>
      </c>
      <c r="H10" s="53">
        <f>DATE(K10,5,1)+(14-WEEKDAY(DATE(K10,5,1),2))</f>
        <v>43597</v>
      </c>
      <c r="I10" s="54">
        <f t="shared" si="1"/>
        <v>43597</v>
      </c>
      <c r="J10" t="s">
        <v>118</v>
      </c>
      <c r="K10">
        <v>2019</v>
      </c>
      <c r="L10" t="s">
        <v>110</v>
      </c>
    </row>
    <row r="11" spans="1:12" x14ac:dyDescent="0.3">
      <c r="A11" s="53">
        <f>DATE(D11,5,1)+(14-WEEKDAY(DATE(D11,5,1),2))</f>
        <v>43597</v>
      </c>
      <c r="B11" s="54">
        <f t="shared" si="0"/>
        <v>43597</v>
      </c>
      <c r="C11" t="s">
        <v>118</v>
      </c>
      <c r="D11">
        <v>2019</v>
      </c>
      <c r="E11" t="s">
        <v>110</v>
      </c>
      <c r="H11" s="53">
        <f>H7+60</f>
        <v>43636</v>
      </c>
      <c r="I11" s="54">
        <f t="shared" si="1"/>
        <v>43636</v>
      </c>
      <c r="J11" t="s">
        <v>119</v>
      </c>
      <c r="K11">
        <v>2019</v>
      </c>
      <c r="L11" t="s">
        <v>110</v>
      </c>
    </row>
    <row r="12" spans="1:12" x14ac:dyDescent="0.3">
      <c r="A12" s="53">
        <f>A7+60</f>
        <v>43636</v>
      </c>
      <c r="B12" s="54">
        <f t="shared" si="0"/>
        <v>43636</v>
      </c>
      <c r="C12" t="s">
        <v>119</v>
      </c>
      <c r="D12">
        <v>2019</v>
      </c>
      <c r="E12" t="s">
        <v>110</v>
      </c>
      <c r="H12" s="53">
        <f>DATE(K12,6,19)</f>
        <v>43635</v>
      </c>
      <c r="I12" s="54">
        <f t="shared" si="1"/>
        <v>43635</v>
      </c>
      <c r="J12" t="s">
        <v>114</v>
      </c>
      <c r="K12">
        <v>2019</v>
      </c>
      <c r="L12" t="s">
        <v>115</v>
      </c>
    </row>
    <row r="13" spans="1:12" x14ac:dyDescent="0.3">
      <c r="A13" s="53">
        <f>DATE(D13,7,9)</f>
        <v>43655</v>
      </c>
      <c r="B13" s="54">
        <f t="shared" si="0"/>
        <v>43655</v>
      </c>
      <c r="C13" t="s">
        <v>120</v>
      </c>
      <c r="D13">
        <v>2019</v>
      </c>
      <c r="E13" t="s">
        <v>121</v>
      </c>
      <c r="H13" s="53">
        <f>DATE(K13,7,9)</f>
        <v>43655</v>
      </c>
      <c r="I13" s="54">
        <f t="shared" si="1"/>
        <v>43655</v>
      </c>
      <c r="J13" t="s">
        <v>120</v>
      </c>
      <c r="K13">
        <v>2019</v>
      </c>
      <c r="L13" t="s">
        <v>121</v>
      </c>
    </row>
    <row r="14" spans="1:12" x14ac:dyDescent="0.3">
      <c r="A14" s="53">
        <f>DATE(D14,8,8)</f>
        <v>43685</v>
      </c>
      <c r="B14" s="54">
        <f t="shared" si="0"/>
        <v>43685</v>
      </c>
      <c r="C14" t="s">
        <v>122</v>
      </c>
      <c r="D14">
        <v>2019</v>
      </c>
      <c r="E14" t="s">
        <v>115</v>
      </c>
      <c r="H14" s="53">
        <f>DATE(K14,8,1)+(14-WEEKDAY(DATE(K14,8,1),2))</f>
        <v>43688</v>
      </c>
      <c r="I14" s="54">
        <f t="shared" si="1"/>
        <v>43688</v>
      </c>
      <c r="J14" t="s">
        <v>123</v>
      </c>
      <c r="K14">
        <v>2019</v>
      </c>
      <c r="L14" t="s">
        <v>110</v>
      </c>
    </row>
    <row r="15" spans="1:12" x14ac:dyDescent="0.3">
      <c r="A15" s="53">
        <f>DATE(D15,8,1)+(14-WEEKDAY(DATE(D15,8,1),2))</f>
        <v>43688</v>
      </c>
      <c r="B15" s="54">
        <f t="shared" si="0"/>
        <v>43688</v>
      </c>
      <c r="C15" t="s">
        <v>123</v>
      </c>
      <c r="D15">
        <v>2019</v>
      </c>
      <c r="E15" t="s">
        <v>110</v>
      </c>
      <c r="H15" s="53">
        <f>DATE(K15,9,7)</f>
        <v>43715</v>
      </c>
      <c r="I15" s="54">
        <f t="shared" si="1"/>
        <v>43715</v>
      </c>
      <c r="J15" t="s">
        <v>124</v>
      </c>
      <c r="K15">
        <v>2019</v>
      </c>
      <c r="L15" t="s">
        <v>110</v>
      </c>
    </row>
    <row r="16" spans="1:12" x14ac:dyDescent="0.3">
      <c r="A16" s="53">
        <f>DATE(D16,9,7)</f>
        <v>43715</v>
      </c>
      <c r="B16" s="54">
        <f t="shared" si="0"/>
        <v>43715</v>
      </c>
      <c r="C16" t="s">
        <v>124</v>
      </c>
      <c r="D16">
        <v>2019</v>
      </c>
      <c r="E16" t="s">
        <v>110</v>
      </c>
      <c r="H16" s="53">
        <f>DATE(K16,10,12)</f>
        <v>43750</v>
      </c>
      <c r="I16" s="54">
        <f t="shared" si="1"/>
        <v>43750</v>
      </c>
      <c r="J16" t="s">
        <v>125</v>
      </c>
      <c r="K16">
        <v>2019</v>
      </c>
      <c r="L16" t="s">
        <v>110</v>
      </c>
    </row>
    <row r="17" spans="1:12" x14ac:dyDescent="0.3">
      <c r="A17" s="53">
        <f>DATE(D17,10,12)</f>
        <v>43750</v>
      </c>
      <c r="B17" s="54">
        <f t="shared" si="0"/>
        <v>43750</v>
      </c>
      <c r="C17" t="s">
        <v>125</v>
      </c>
      <c r="D17">
        <v>2019</v>
      </c>
      <c r="E17" t="s">
        <v>110</v>
      </c>
      <c r="H17" s="53">
        <f>DATE(K17,11,2)</f>
        <v>43771</v>
      </c>
      <c r="I17" s="54">
        <f t="shared" si="1"/>
        <v>43771</v>
      </c>
      <c r="J17" t="s">
        <v>126</v>
      </c>
      <c r="K17">
        <v>2019</v>
      </c>
      <c r="L17" t="s">
        <v>110</v>
      </c>
    </row>
    <row r="18" spans="1:12" x14ac:dyDescent="0.3">
      <c r="A18" s="53">
        <f>DATE(D18,11,2)</f>
        <v>43771</v>
      </c>
      <c r="B18" s="54">
        <f t="shared" si="0"/>
        <v>43771</v>
      </c>
      <c r="C18" t="s">
        <v>126</v>
      </c>
      <c r="D18">
        <v>2019</v>
      </c>
      <c r="E18" t="s">
        <v>110</v>
      </c>
      <c r="H18" s="53">
        <f>DATE(K18,11,15)</f>
        <v>43784</v>
      </c>
      <c r="I18" s="54">
        <f t="shared" si="1"/>
        <v>43784</v>
      </c>
      <c r="J18" t="s">
        <v>127</v>
      </c>
      <c r="K18">
        <v>2019</v>
      </c>
      <c r="L18" t="s">
        <v>110</v>
      </c>
    </row>
    <row r="19" spans="1:12" x14ac:dyDescent="0.3">
      <c r="A19" s="53">
        <f>DATE(D19,11,15)</f>
        <v>43784</v>
      </c>
      <c r="B19" s="54">
        <f t="shared" si="0"/>
        <v>43784</v>
      </c>
      <c r="C19" t="s">
        <v>127</v>
      </c>
      <c r="D19">
        <v>2019</v>
      </c>
      <c r="E19" t="s">
        <v>110</v>
      </c>
      <c r="H19" s="53">
        <f>DATE(K19,11,20)</f>
        <v>43789</v>
      </c>
      <c r="I19" s="54">
        <f t="shared" si="1"/>
        <v>43789</v>
      </c>
      <c r="J19" t="s">
        <v>128</v>
      </c>
      <c r="K19">
        <v>2019</v>
      </c>
      <c r="L19" t="s">
        <v>110</v>
      </c>
    </row>
    <row r="20" spans="1:12" x14ac:dyDescent="0.3">
      <c r="A20" s="53">
        <f>DATE(D20,11,20)</f>
        <v>43789</v>
      </c>
      <c r="B20" s="54">
        <f t="shared" si="0"/>
        <v>43789</v>
      </c>
      <c r="C20" t="s">
        <v>128</v>
      </c>
      <c r="D20">
        <v>2019</v>
      </c>
      <c r="E20" t="s">
        <v>110</v>
      </c>
      <c r="H20" s="53">
        <f>DATE(K20,12,25)</f>
        <v>43824</v>
      </c>
      <c r="I20" s="54">
        <f t="shared" si="1"/>
        <v>43824</v>
      </c>
      <c r="J20" t="s">
        <v>129</v>
      </c>
      <c r="K20">
        <v>2019</v>
      </c>
      <c r="L20" t="s">
        <v>110</v>
      </c>
    </row>
    <row r="21" spans="1:12" x14ac:dyDescent="0.3">
      <c r="A21" s="53">
        <f>DATE(D21,12,25)</f>
        <v>43824</v>
      </c>
      <c r="B21" s="54">
        <f t="shared" si="0"/>
        <v>43824</v>
      </c>
      <c r="C21" t="s">
        <v>129</v>
      </c>
      <c r="D21">
        <v>2019</v>
      </c>
      <c r="E21" t="s">
        <v>110</v>
      </c>
      <c r="H21" s="53">
        <f>DATE(K21,1,1)</f>
        <v>43831</v>
      </c>
      <c r="I21" s="54">
        <f t="shared" si="1"/>
        <v>43831</v>
      </c>
      <c r="J21" t="s">
        <v>109</v>
      </c>
      <c r="K21">
        <f>K3+1</f>
        <v>2020</v>
      </c>
      <c r="L21" t="s">
        <v>110</v>
      </c>
    </row>
    <row r="22" spans="1:12" x14ac:dyDescent="0.3">
      <c r="A22" s="53">
        <f>DATE(D22,1,1)</f>
        <v>43831</v>
      </c>
      <c r="B22" s="54">
        <f t="shared" si="0"/>
        <v>43831</v>
      </c>
      <c r="C22" t="s">
        <v>109</v>
      </c>
      <c r="D22">
        <f>D3+1</f>
        <v>2020</v>
      </c>
      <c r="E22" t="s">
        <v>110</v>
      </c>
      <c r="H22" s="53">
        <f>H25-48</f>
        <v>43885</v>
      </c>
      <c r="I22" s="54">
        <f t="shared" si="1"/>
        <v>43885</v>
      </c>
      <c r="J22" t="s">
        <v>111</v>
      </c>
      <c r="K22">
        <f t="shared" ref="K22:K85" si="2">K4+1</f>
        <v>2020</v>
      </c>
      <c r="L22" t="s">
        <v>110</v>
      </c>
    </row>
    <row r="23" spans="1:12" x14ac:dyDescent="0.3">
      <c r="A23" s="53">
        <f>A26-48</f>
        <v>43885</v>
      </c>
      <c r="B23" s="54">
        <f t="shared" si="0"/>
        <v>43885</v>
      </c>
      <c r="C23" t="s">
        <v>111</v>
      </c>
      <c r="D23">
        <f t="shared" ref="D23:D86" si="3">D4+1</f>
        <v>2020</v>
      </c>
      <c r="E23" t="s">
        <v>110</v>
      </c>
      <c r="H23" s="53">
        <f>H25-47</f>
        <v>43886</v>
      </c>
      <c r="I23" s="54">
        <f t="shared" si="1"/>
        <v>43886</v>
      </c>
      <c r="J23" t="s">
        <v>111</v>
      </c>
      <c r="K23">
        <f t="shared" si="2"/>
        <v>2020</v>
      </c>
      <c r="L23" t="s">
        <v>110</v>
      </c>
    </row>
    <row r="24" spans="1:12" x14ac:dyDescent="0.3">
      <c r="A24" s="53">
        <f>A26-47</f>
        <v>43886</v>
      </c>
      <c r="B24" s="54">
        <f t="shared" si="0"/>
        <v>43886</v>
      </c>
      <c r="C24" t="s">
        <v>111</v>
      </c>
      <c r="D24">
        <f t="shared" si="3"/>
        <v>2020</v>
      </c>
      <c r="E24" t="s">
        <v>110</v>
      </c>
      <c r="H24" s="53">
        <f>H25-2</f>
        <v>43931</v>
      </c>
      <c r="I24" s="54">
        <f t="shared" si="1"/>
        <v>43931</v>
      </c>
      <c r="J24" t="s">
        <v>112</v>
      </c>
      <c r="K24">
        <f t="shared" si="2"/>
        <v>2020</v>
      </c>
      <c r="L24" t="s">
        <v>110</v>
      </c>
    </row>
    <row r="25" spans="1:12" x14ac:dyDescent="0.3">
      <c r="A25" s="53">
        <f>A26-2</f>
        <v>43931</v>
      </c>
      <c r="B25" s="54">
        <f t="shared" si="0"/>
        <v>43931</v>
      </c>
      <c r="C25" t="s">
        <v>112</v>
      </c>
      <c r="D25">
        <f t="shared" si="3"/>
        <v>2020</v>
      </c>
      <c r="E25" t="s">
        <v>110</v>
      </c>
      <c r="H25" s="53">
        <f>FLOOR(DAY(MINUTE(K25/38)/2+56)&amp;"/5"&amp;"/"&amp;K25,7)-34</f>
        <v>43933</v>
      </c>
      <c r="I25" s="54">
        <f t="shared" si="1"/>
        <v>43933</v>
      </c>
      <c r="J25" t="s">
        <v>113</v>
      </c>
      <c r="K25">
        <f t="shared" si="2"/>
        <v>2020</v>
      </c>
      <c r="L25" t="s">
        <v>110</v>
      </c>
    </row>
    <row r="26" spans="1:12" x14ac:dyDescent="0.3">
      <c r="A26" s="53">
        <f>FLOOR(DAY(MINUTE(D26/38)/2+56)&amp;"/5"&amp;"/"&amp;D26,7)-34</f>
        <v>43933</v>
      </c>
      <c r="B26" s="54">
        <f t="shared" si="0"/>
        <v>43933</v>
      </c>
      <c r="C26" t="s">
        <v>113</v>
      </c>
      <c r="D26">
        <f t="shared" si="3"/>
        <v>2020</v>
      </c>
      <c r="E26" t="s">
        <v>110</v>
      </c>
      <c r="H26" s="53">
        <f>DATE(K26,4,21)</f>
        <v>43942</v>
      </c>
      <c r="I26" s="54">
        <f t="shared" si="1"/>
        <v>43942</v>
      </c>
      <c r="J26" t="s">
        <v>116</v>
      </c>
      <c r="K26">
        <f t="shared" si="2"/>
        <v>2020</v>
      </c>
      <c r="L26" t="s">
        <v>110</v>
      </c>
    </row>
    <row r="27" spans="1:12" x14ac:dyDescent="0.3">
      <c r="A27" s="53">
        <f>DATE(D27,4,14)</f>
        <v>43935</v>
      </c>
      <c r="B27" s="54">
        <f t="shared" si="0"/>
        <v>43935</v>
      </c>
      <c r="C27" t="s">
        <v>114</v>
      </c>
      <c r="D27">
        <f t="shared" si="3"/>
        <v>2020</v>
      </c>
      <c r="E27" t="s">
        <v>115</v>
      </c>
      <c r="H27" s="53">
        <f>DATE(K27,5,1)</f>
        <v>43952</v>
      </c>
      <c r="I27" s="54">
        <f t="shared" si="1"/>
        <v>43952</v>
      </c>
      <c r="J27" t="s">
        <v>117</v>
      </c>
      <c r="K27">
        <f t="shared" si="2"/>
        <v>2020</v>
      </c>
      <c r="L27" t="s">
        <v>110</v>
      </c>
    </row>
    <row r="28" spans="1:12" x14ac:dyDescent="0.3">
      <c r="A28" s="53">
        <f>DATE(D28,4,21)</f>
        <v>43942</v>
      </c>
      <c r="B28" s="54">
        <f t="shared" si="0"/>
        <v>43942</v>
      </c>
      <c r="C28" t="s">
        <v>116</v>
      </c>
      <c r="D28">
        <f t="shared" si="3"/>
        <v>2020</v>
      </c>
      <c r="E28" t="s">
        <v>110</v>
      </c>
      <c r="H28" s="53">
        <f>DATE(K28,5,1)+(14-WEEKDAY(DATE(K28,5,1),2))</f>
        <v>43961</v>
      </c>
      <c r="I28" s="54">
        <f t="shared" si="1"/>
        <v>43961</v>
      </c>
      <c r="J28" t="s">
        <v>118</v>
      </c>
      <c r="K28">
        <f t="shared" si="2"/>
        <v>2020</v>
      </c>
      <c r="L28" t="s">
        <v>110</v>
      </c>
    </row>
    <row r="29" spans="1:12" x14ac:dyDescent="0.3">
      <c r="A29" s="53">
        <f>DATE(D29,5,1)</f>
        <v>43952</v>
      </c>
      <c r="B29" s="54">
        <f t="shared" si="0"/>
        <v>43952</v>
      </c>
      <c r="C29" t="s">
        <v>117</v>
      </c>
      <c r="D29">
        <f t="shared" si="3"/>
        <v>2020</v>
      </c>
      <c r="E29" t="s">
        <v>110</v>
      </c>
      <c r="H29" s="53">
        <f>H25+60</f>
        <v>43993</v>
      </c>
      <c r="I29" s="54">
        <f t="shared" si="1"/>
        <v>43993</v>
      </c>
      <c r="J29" t="s">
        <v>119</v>
      </c>
      <c r="K29">
        <f t="shared" si="2"/>
        <v>2020</v>
      </c>
      <c r="L29" t="s">
        <v>110</v>
      </c>
    </row>
    <row r="30" spans="1:12" x14ac:dyDescent="0.3">
      <c r="A30" s="53">
        <f>DATE(D30,5,1)+(14-WEEKDAY(DATE(D30,5,1),2))</f>
        <v>43961</v>
      </c>
      <c r="B30" s="54">
        <f t="shared" si="0"/>
        <v>43961</v>
      </c>
      <c r="C30" t="s">
        <v>118</v>
      </c>
      <c r="D30">
        <f t="shared" si="3"/>
        <v>2020</v>
      </c>
      <c r="E30" t="s">
        <v>110</v>
      </c>
      <c r="H30" s="53">
        <f>DATE(K30,6,19)</f>
        <v>44001</v>
      </c>
      <c r="I30" s="54">
        <f t="shared" si="1"/>
        <v>44001</v>
      </c>
      <c r="J30" t="s">
        <v>114</v>
      </c>
      <c r="K30">
        <f t="shared" si="2"/>
        <v>2020</v>
      </c>
      <c r="L30" t="s">
        <v>115</v>
      </c>
    </row>
    <row r="31" spans="1:12" x14ac:dyDescent="0.3">
      <c r="A31" s="53">
        <f>A26+60</f>
        <v>43993</v>
      </c>
      <c r="B31" s="54">
        <f t="shared" si="0"/>
        <v>43993</v>
      </c>
      <c r="C31" t="s">
        <v>119</v>
      </c>
      <c r="D31">
        <f t="shared" si="3"/>
        <v>2020</v>
      </c>
      <c r="E31" t="s">
        <v>110</v>
      </c>
      <c r="H31" s="53">
        <f>DATE(K31,7,9)</f>
        <v>44021</v>
      </c>
      <c r="I31" s="54">
        <f t="shared" si="1"/>
        <v>44021</v>
      </c>
      <c r="J31" t="s">
        <v>120</v>
      </c>
      <c r="K31">
        <f t="shared" si="2"/>
        <v>2020</v>
      </c>
      <c r="L31" t="s">
        <v>121</v>
      </c>
    </row>
    <row r="32" spans="1:12" x14ac:dyDescent="0.3">
      <c r="A32" s="53">
        <f>DATE(D32,7,9)</f>
        <v>44021</v>
      </c>
      <c r="B32" s="54">
        <f t="shared" si="0"/>
        <v>44021</v>
      </c>
      <c r="C32" t="s">
        <v>120</v>
      </c>
      <c r="D32">
        <f t="shared" si="3"/>
        <v>2020</v>
      </c>
      <c r="E32" t="s">
        <v>121</v>
      </c>
      <c r="H32" s="53">
        <f>DATE(K32,8,1)+(14-WEEKDAY(DATE(K32,8,1),2))</f>
        <v>44052</v>
      </c>
      <c r="I32" s="54">
        <f t="shared" si="1"/>
        <v>44052</v>
      </c>
      <c r="J32" t="s">
        <v>123</v>
      </c>
      <c r="K32">
        <f t="shared" si="2"/>
        <v>2020</v>
      </c>
      <c r="L32" t="s">
        <v>110</v>
      </c>
    </row>
    <row r="33" spans="1:12" x14ac:dyDescent="0.3">
      <c r="A33" s="53">
        <f>DATE(D33,8,8)</f>
        <v>44051</v>
      </c>
      <c r="B33" s="54">
        <f t="shared" si="0"/>
        <v>44051</v>
      </c>
      <c r="C33" t="s">
        <v>122</v>
      </c>
      <c r="D33">
        <f t="shared" si="3"/>
        <v>2020</v>
      </c>
      <c r="E33" t="s">
        <v>115</v>
      </c>
      <c r="H33" s="53">
        <f>DATE(K33,9,7)</f>
        <v>44081</v>
      </c>
      <c r="I33" s="54">
        <f t="shared" si="1"/>
        <v>44081</v>
      </c>
      <c r="J33" t="s">
        <v>124</v>
      </c>
      <c r="K33">
        <f t="shared" si="2"/>
        <v>2020</v>
      </c>
      <c r="L33" t="s">
        <v>110</v>
      </c>
    </row>
    <row r="34" spans="1:12" x14ac:dyDescent="0.3">
      <c r="A34" s="53">
        <f>DATE(D34,8,1)+(14-WEEKDAY(DATE(D34,8,1),2))</f>
        <v>44052</v>
      </c>
      <c r="B34" s="54">
        <f t="shared" si="0"/>
        <v>44052</v>
      </c>
      <c r="C34" t="s">
        <v>123</v>
      </c>
      <c r="D34">
        <f t="shared" si="3"/>
        <v>2020</v>
      </c>
      <c r="E34" t="s">
        <v>110</v>
      </c>
      <c r="H34" s="53">
        <f>DATE(K34,10,12)</f>
        <v>44116</v>
      </c>
      <c r="I34" s="54">
        <f t="shared" si="1"/>
        <v>44116</v>
      </c>
      <c r="J34" t="s">
        <v>125</v>
      </c>
      <c r="K34">
        <f t="shared" si="2"/>
        <v>2020</v>
      </c>
      <c r="L34" t="s">
        <v>110</v>
      </c>
    </row>
    <row r="35" spans="1:12" x14ac:dyDescent="0.3">
      <c r="A35" s="53">
        <f>DATE(D35,9,7)</f>
        <v>44081</v>
      </c>
      <c r="B35" s="54">
        <f t="shared" si="0"/>
        <v>44081</v>
      </c>
      <c r="C35" t="s">
        <v>124</v>
      </c>
      <c r="D35">
        <f t="shared" si="3"/>
        <v>2020</v>
      </c>
      <c r="E35" t="s">
        <v>110</v>
      </c>
      <c r="H35" s="53">
        <f>DATE(K35,11,2)</f>
        <v>44137</v>
      </c>
      <c r="I35" s="54">
        <f t="shared" si="1"/>
        <v>44137</v>
      </c>
      <c r="J35" t="s">
        <v>126</v>
      </c>
      <c r="K35">
        <f t="shared" si="2"/>
        <v>2020</v>
      </c>
      <c r="L35" t="s">
        <v>110</v>
      </c>
    </row>
    <row r="36" spans="1:12" x14ac:dyDescent="0.3">
      <c r="A36" s="53">
        <f>DATE(D36,10,12)</f>
        <v>44116</v>
      </c>
      <c r="B36" s="54">
        <f t="shared" si="0"/>
        <v>44116</v>
      </c>
      <c r="C36" t="s">
        <v>125</v>
      </c>
      <c r="D36">
        <f t="shared" si="3"/>
        <v>2020</v>
      </c>
      <c r="E36" t="s">
        <v>110</v>
      </c>
      <c r="H36" s="53">
        <f>DATE(K36,11,15)</f>
        <v>44150</v>
      </c>
      <c r="I36" s="54">
        <f t="shared" si="1"/>
        <v>44150</v>
      </c>
      <c r="J36" t="s">
        <v>127</v>
      </c>
      <c r="K36">
        <f t="shared" si="2"/>
        <v>2020</v>
      </c>
      <c r="L36" t="s">
        <v>110</v>
      </c>
    </row>
    <row r="37" spans="1:12" x14ac:dyDescent="0.3">
      <c r="A37" s="53">
        <f>DATE(D37,11,2)</f>
        <v>44137</v>
      </c>
      <c r="B37" s="54">
        <f t="shared" si="0"/>
        <v>44137</v>
      </c>
      <c r="C37" t="s">
        <v>126</v>
      </c>
      <c r="D37">
        <f t="shared" si="3"/>
        <v>2020</v>
      </c>
      <c r="E37" t="s">
        <v>110</v>
      </c>
      <c r="H37" s="53">
        <f>DATE(K37,11,20)</f>
        <v>44155</v>
      </c>
      <c r="I37" s="54">
        <f t="shared" si="1"/>
        <v>44155</v>
      </c>
      <c r="J37" t="s">
        <v>128</v>
      </c>
      <c r="K37">
        <f t="shared" si="2"/>
        <v>2020</v>
      </c>
      <c r="L37" t="s">
        <v>110</v>
      </c>
    </row>
    <row r="38" spans="1:12" x14ac:dyDescent="0.3">
      <c r="A38" s="53">
        <f>DATE(D38,11,15)</f>
        <v>44150</v>
      </c>
      <c r="B38" s="54">
        <f t="shared" si="0"/>
        <v>44150</v>
      </c>
      <c r="C38" t="s">
        <v>127</v>
      </c>
      <c r="D38">
        <f t="shared" si="3"/>
        <v>2020</v>
      </c>
      <c r="E38" t="s">
        <v>110</v>
      </c>
      <c r="H38" s="53">
        <f>DATE(K38,12,25)</f>
        <v>44190</v>
      </c>
      <c r="I38" s="54">
        <f t="shared" si="1"/>
        <v>44190</v>
      </c>
      <c r="J38" t="s">
        <v>129</v>
      </c>
      <c r="K38">
        <f t="shared" si="2"/>
        <v>2020</v>
      </c>
      <c r="L38" t="s">
        <v>110</v>
      </c>
    </row>
    <row r="39" spans="1:12" x14ac:dyDescent="0.3">
      <c r="A39" s="53">
        <f>DATE(D39,11,20)</f>
        <v>44155</v>
      </c>
      <c r="B39" s="54">
        <f t="shared" si="0"/>
        <v>44155</v>
      </c>
      <c r="C39" t="s">
        <v>128</v>
      </c>
      <c r="D39">
        <f t="shared" si="3"/>
        <v>2020</v>
      </c>
      <c r="E39" t="s">
        <v>110</v>
      </c>
      <c r="H39" s="53">
        <f>DATE(K39,1,1)</f>
        <v>44197</v>
      </c>
      <c r="I39" s="54">
        <f t="shared" si="1"/>
        <v>44197</v>
      </c>
      <c r="J39" t="s">
        <v>109</v>
      </c>
      <c r="K39">
        <f>K21+1</f>
        <v>2021</v>
      </c>
      <c r="L39" t="s">
        <v>110</v>
      </c>
    </row>
    <row r="40" spans="1:12" x14ac:dyDescent="0.3">
      <c r="A40" s="53">
        <f>DATE(D40,12,25)</f>
        <v>44190</v>
      </c>
      <c r="B40" s="54">
        <f t="shared" si="0"/>
        <v>44190</v>
      </c>
      <c r="C40" t="s">
        <v>129</v>
      </c>
      <c r="D40">
        <f t="shared" si="3"/>
        <v>2020</v>
      </c>
      <c r="E40" t="s">
        <v>110</v>
      </c>
      <c r="H40" s="53">
        <f>H43-48</f>
        <v>44242</v>
      </c>
      <c r="I40" s="54">
        <f t="shared" si="1"/>
        <v>44242</v>
      </c>
      <c r="J40" t="s">
        <v>111</v>
      </c>
      <c r="K40">
        <f t="shared" si="2"/>
        <v>2021</v>
      </c>
      <c r="L40" t="s">
        <v>110</v>
      </c>
    </row>
    <row r="41" spans="1:12" x14ac:dyDescent="0.3">
      <c r="A41" s="53">
        <f>DATE(D41,1,1)</f>
        <v>44197</v>
      </c>
      <c r="B41" s="54">
        <f t="shared" si="0"/>
        <v>44197</v>
      </c>
      <c r="C41" t="s">
        <v>109</v>
      </c>
      <c r="D41">
        <f>D22+1</f>
        <v>2021</v>
      </c>
      <c r="E41" t="s">
        <v>110</v>
      </c>
      <c r="H41" s="53">
        <f>H43-47</f>
        <v>44243</v>
      </c>
      <c r="I41" s="54">
        <f t="shared" si="1"/>
        <v>44243</v>
      </c>
      <c r="J41" t="s">
        <v>111</v>
      </c>
      <c r="K41">
        <f t="shared" si="2"/>
        <v>2021</v>
      </c>
      <c r="L41" t="s">
        <v>110</v>
      </c>
    </row>
    <row r="42" spans="1:12" x14ac:dyDescent="0.3">
      <c r="A42" s="53">
        <f>A45-48</f>
        <v>44242</v>
      </c>
      <c r="B42" s="54">
        <f t="shared" si="0"/>
        <v>44242</v>
      </c>
      <c r="C42" t="s">
        <v>111</v>
      </c>
      <c r="D42">
        <f t="shared" si="3"/>
        <v>2021</v>
      </c>
      <c r="E42" t="s">
        <v>110</v>
      </c>
      <c r="H42" s="53">
        <f>H43-2</f>
        <v>44288</v>
      </c>
      <c r="I42" s="54">
        <f t="shared" si="1"/>
        <v>44288</v>
      </c>
      <c r="J42" t="s">
        <v>112</v>
      </c>
      <c r="K42">
        <f t="shared" si="2"/>
        <v>2021</v>
      </c>
      <c r="L42" t="s">
        <v>110</v>
      </c>
    </row>
    <row r="43" spans="1:12" x14ac:dyDescent="0.3">
      <c r="A43" s="53">
        <f>A45-47</f>
        <v>44243</v>
      </c>
      <c r="B43" s="54">
        <f t="shared" si="0"/>
        <v>44243</v>
      </c>
      <c r="C43" t="s">
        <v>111</v>
      </c>
      <c r="D43">
        <f t="shared" si="3"/>
        <v>2021</v>
      </c>
      <c r="E43" t="s">
        <v>110</v>
      </c>
      <c r="H43" s="53">
        <f>FLOOR(DAY(MINUTE(K43/38)/2+56)&amp;"/5"&amp;"/"&amp;K43,7)-34</f>
        <v>44290</v>
      </c>
      <c r="I43" s="54">
        <f t="shared" si="1"/>
        <v>44290</v>
      </c>
      <c r="J43" t="s">
        <v>113</v>
      </c>
      <c r="K43">
        <f t="shared" si="2"/>
        <v>2021</v>
      </c>
      <c r="L43" t="s">
        <v>110</v>
      </c>
    </row>
    <row r="44" spans="1:12" x14ac:dyDescent="0.3">
      <c r="A44" s="53">
        <f>A45-2</f>
        <v>44288</v>
      </c>
      <c r="B44" s="54">
        <f t="shared" si="0"/>
        <v>44288</v>
      </c>
      <c r="C44" t="s">
        <v>112</v>
      </c>
      <c r="D44">
        <f t="shared" si="3"/>
        <v>2021</v>
      </c>
      <c r="E44" t="s">
        <v>110</v>
      </c>
      <c r="H44" s="53">
        <f>DATE(K44,4,21)</f>
        <v>44307</v>
      </c>
      <c r="I44" s="54">
        <f t="shared" si="1"/>
        <v>44307</v>
      </c>
      <c r="J44" t="s">
        <v>116</v>
      </c>
      <c r="K44">
        <f t="shared" si="2"/>
        <v>2021</v>
      </c>
      <c r="L44" t="s">
        <v>110</v>
      </c>
    </row>
    <row r="45" spans="1:12" x14ac:dyDescent="0.3">
      <c r="A45" s="53">
        <f>FLOOR(DAY(MINUTE(D45/38)/2+56)&amp;"/5"&amp;"/"&amp;D45,7)-34</f>
        <v>44290</v>
      </c>
      <c r="B45" s="54">
        <f t="shared" si="0"/>
        <v>44290</v>
      </c>
      <c r="C45" t="s">
        <v>113</v>
      </c>
      <c r="D45">
        <f t="shared" si="3"/>
        <v>2021</v>
      </c>
      <c r="E45" t="s">
        <v>110</v>
      </c>
      <c r="H45" s="53">
        <f>DATE(K45,5,1)</f>
        <v>44317</v>
      </c>
      <c r="I45" s="54">
        <f t="shared" si="1"/>
        <v>44317</v>
      </c>
      <c r="J45" t="s">
        <v>117</v>
      </c>
      <c r="K45">
        <f t="shared" si="2"/>
        <v>2021</v>
      </c>
      <c r="L45" t="s">
        <v>110</v>
      </c>
    </row>
    <row r="46" spans="1:12" x14ac:dyDescent="0.3">
      <c r="A46" s="53">
        <f>DATE(D46,4,14)</f>
        <v>44300</v>
      </c>
      <c r="B46" s="54">
        <f t="shared" si="0"/>
        <v>44300</v>
      </c>
      <c r="C46" t="s">
        <v>114</v>
      </c>
      <c r="D46">
        <f t="shared" si="3"/>
        <v>2021</v>
      </c>
      <c r="E46" t="s">
        <v>115</v>
      </c>
      <c r="H46" s="53">
        <f>DATE(K46,5,1)+(14-WEEKDAY(DATE(K46,5,1),2))</f>
        <v>44325</v>
      </c>
      <c r="I46" s="54">
        <f t="shared" si="1"/>
        <v>44325</v>
      </c>
      <c r="J46" t="s">
        <v>118</v>
      </c>
      <c r="K46">
        <f t="shared" si="2"/>
        <v>2021</v>
      </c>
      <c r="L46" t="s">
        <v>110</v>
      </c>
    </row>
    <row r="47" spans="1:12" x14ac:dyDescent="0.3">
      <c r="A47" s="53">
        <f>DATE(D47,4,21)</f>
        <v>44307</v>
      </c>
      <c r="B47" s="54">
        <f t="shared" si="0"/>
        <v>44307</v>
      </c>
      <c r="C47" t="s">
        <v>116</v>
      </c>
      <c r="D47">
        <f t="shared" si="3"/>
        <v>2021</v>
      </c>
      <c r="E47" t="s">
        <v>110</v>
      </c>
      <c r="H47" s="53">
        <f>H43+60</f>
        <v>44350</v>
      </c>
      <c r="I47" s="54">
        <f t="shared" si="1"/>
        <v>44350</v>
      </c>
      <c r="J47" t="s">
        <v>119</v>
      </c>
      <c r="K47">
        <f t="shared" si="2"/>
        <v>2021</v>
      </c>
      <c r="L47" t="s">
        <v>110</v>
      </c>
    </row>
    <row r="48" spans="1:12" x14ac:dyDescent="0.3">
      <c r="A48" s="53">
        <f>DATE(D48,5,1)</f>
        <v>44317</v>
      </c>
      <c r="B48" s="54">
        <f t="shared" si="0"/>
        <v>44317</v>
      </c>
      <c r="C48" t="s">
        <v>117</v>
      </c>
      <c r="D48">
        <f t="shared" si="3"/>
        <v>2021</v>
      </c>
      <c r="E48" t="s">
        <v>110</v>
      </c>
      <c r="H48" s="53">
        <f>DATE(K48,6,19)</f>
        <v>44366</v>
      </c>
      <c r="I48" s="54">
        <f t="shared" si="1"/>
        <v>44366</v>
      </c>
      <c r="J48" t="s">
        <v>114</v>
      </c>
      <c r="K48">
        <f t="shared" si="2"/>
        <v>2021</v>
      </c>
      <c r="L48" t="s">
        <v>115</v>
      </c>
    </row>
    <row r="49" spans="1:12" x14ac:dyDescent="0.3">
      <c r="A49" s="53">
        <f>DATE(D49,5,1)+(14-WEEKDAY(DATE(D49,5,1),2))</f>
        <v>44325</v>
      </c>
      <c r="B49" s="54">
        <f t="shared" si="0"/>
        <v>44325</v>
      </c>
      <c r="C49" t="s">
        <v>118</v>
      </c>
      <c r="D49">
        <f t="shared" si="3"/>
        <v>2021</v>
      </c>
      <c r="E49" t="s">
        <v>110</v>
      </c>
      <c r="H49" s="53">
        <f>DATE(K49,7,9)</f>
        <v>44386</v>
      </c>
      <c r="I49" s="54">
        <f t="shared" si="1"/>
        <v>44386</v>
      </c>
      <c r="J49" t="s">
        <v>120</v>
      </c>
      <c r="K49">
        <f t="shared" si="2"/>
        <v>2021</v>
      </c>
      <c r="L49" t="s">
        <v>121</v>
      </c>
    </row>
    <row r="50" spans="1:12" x14ac:dyDescent="0.3">
      <c r="A50" s="53">
        <f>A45+60</f>
        <v>44350</v>
      </c>
      <c r="B50" s="54">
        <f t="shared" si="0"/>
        <v>44350</v>
      </c>
      <c r="C50" t="s">
        <v>119</v>
      </c>
      <c r="D50">
        <f t="shared" si="3"/>
        <v>2021</v>
      </c>
      <c r="E50" t="s">
        <v>110</v>
      </c>
      <c r="H50" s="53">
        <f>DATE(K50,8,1)+(14-WEEKDAY(DATE(K50,8,1),2))</f>
        <v>44416</v>
      </c>
      <c r="I50" s="54">
        <f t="shared" si="1"/>
        <v>44416</v>
      </c>
      <c r="J50" t="s">
        <v>123</v>
      </c>
      <c r="K50">
        <f t="shared" si="2"/>
        <v>2021</v>
      </c>
      <c r="L50" t="s">
        <v>110</v>
      </c>
    </row>
    <row r="51" spans="1:12" x14ac:dyDescent="0.3">
      <c r="A51" s="53">
        <f>DATE(D51,7,9)</f>
        <v>44386</v>
      </c>
      <c r="B51" s="54">
        <f t="shared" si="0"/>
        <v>44386</v>
      </c>
      <c r="C51" t="s">
        <v>120</v>
      </c>
      <c r="D51">
        <f t="shared" si="3"/>
        <v>2021</v>
      </c>
      <c r="E51" t="s">
        <v>121</v>
      </c>
      <c r="H51" s="53">
        <f>DATE(K51,9,7)</f>
        <v>44446</v>
      </c>
      <c r="I51" s="54">
        <f t="shared" si="1"/>
        <v>44446</v>
      </c>
      <c r="J51" t="s">
        <v>124</v>
      </c>
      <c r="K51">
        <f t="shared" si="2"/>
        <v>2021</v>
      </c>
      <c r="L51" t="s">
        <v>110</v>
      </c>
    </row>
    <row r="52" spans="1:12" x14ac:dyDescent="0.3">
      <c r="A52" s="53">
        <f>DATE(D52,8,8)</f>
        <v>44416</v>
      </c>
      <c r="B52" s="54">
        <f t="shared" si="0"/>
        <v>44416</v>
      </c>
      <c r="C52" t="s">
        <v>122</v>
      </c>
      <c r="D52">
        <f t="shared" si="3"/>
        <v>2021</v>
      </c>
      <c r="E52" t="s">
        <v>115</v>
      </c>
      <c r="H52" s="53">
        <f>DATE(K52,10,12)</f>
        <v>44481</v>
      </c>
      <c r="I52" s="54">
        <f t="shared" si="1"/>
        <v>44481</v>
      </c>
      <c r="J52" t="s">
        <v>125</v>
      </c>
      <c r="K52">
        <f t="shared" si="2"/>
        <v>2021</v>
      </c>
      <c r="L52" t="s">
        <v>110</v>
      </c>
    </row>
    <row r="53" spans="1:12" x14ac:dyDescent="0.3">
      <c r="A53" s="53">
        <f>DATE(D53,8,1)+(14-WEEKDAY(DATE(D53,8,1),2))</f>
        <v>44416</v>
      </c>
      <c r="B53" s="54">
        <f t="shared" si="0"/>
        <v>44416</v>
      </c>
      <c r="C53" t="s">
        <v>123</v>
      </c>
      <c r="D53">
        <f t="shared" si="3"/>
        <v>2021</v>
      </c>
      <c r="E53" t="s">
        <v>110</v>
      </c>
      <c r="H53" s="53">
        <f>DATE(K53,11,2)</f>
        <v>44502</v>
      </c>
      <c r="I53" s="54">
        <f t="shared" si="1"/>
        <v>44502</v>
      </c>
      <c r="J53" t="s">
        <v>126</v>
      </c>
      <c r="K53">
        <f t="shared" si="2"/>
        <v>2021</v>
      </c>
      <c r="L53" t="s">
        <v>110</v>
      </c>
    </row>
    <row r="54" spans="1:12" x14ac:dyDescent="0.3">
      <c r="A54" s="53">
        <f>DATE(D54,9,7)</f>
        <v>44446</v>
      </c>
      <c r="B54" s="54">
        <f t="shared" si="0"/>
        <v>44446</v>
      </c>
      <c r="C54" t="s">
        <v>124</v>
      </c>
      <c r="D54">
        <f t="shared" si="3"/>
        <v>2021</v>
      </c>
      <c r="E54" t="s">
        <v>110</v>
      </c>
      <c r="H54" s="53">
        <f>DATE(K54,11,15)</f>
        <v>44515</v>
      </c>
      <c r="I54" s="54">
        <f t="shared" si="1"/>
        <v>44515</v>
      </c>
      <c r="J54" t="s">
        <v>127</v>
      </c>
      <c r="K54">
        <f t="shared" si="2"/>
        <v>2021</v>
      </c>
      <c r="L54" t="s">
        <v>110</v>
      </c>
    </row>
    <row r="55" spans="1:12" x14ac:dyDescent="0.3">
      <c r="A55" s="53">
        <f>DATE(D55,10,12)</f>
        <v>44481</v>
      </c>
      <c r="B55" s="54">
        <f t="shared" si="0"/>
        <v>44481</v>
      </c>
      <c r="C55" t="s">
        <v>125</v>
      </c>
      <c r="D55">
        <f t="shared" si="3"/>
        <v>2021</v>
      </c>
      <c r="E55" t="s">
        <v>110</v>
      </c>
      <c r="H55" s="53">
        <f>DATE(K55,11,20)</f>
        <v>44520</v>
      </c>
      <c r="I55" s="54">
        <f t="shared" si="1"/>
        <v>44520</v>
      </c>
      <c r="J55" t="s">
        <v>128</v>
      </c>
      <c r="K55">
        <f t="shared" si="2"/>
        <v>2021</v>
      </c>
      <c r="L55" t="s">
        <v>110</v>
      </c>
    </row>
    <row r="56" spans="1:12" x14ac:dyDescent="0.3">
      <c r="A56" s="53">
        <f>DATE(D56,11,2)</f>
        <v>44502</v>
      </c>
      <c r="B56" s="54">
        <f t="shared" si="0"/>
        <v>44502</v>
      </c>
      <c r="C56" t="s">
        <v>126</v>
      </c>
      <c r="D56">
        <f t="shared" si="3"/>
        <v>2021</v>
      </c>
      <c r="E56" t="s">
        <v>110</v>
      </c>
      <c r="H56" s="53">
        <f>DATE(K56,12,25)</f>
        <v>44555</v>
      </c>
      <c r="I56" s="54">
        <f t="shared" si="1"/>
        <v>44555</v>
      </c>
      <c r="J56" t="s">
        <v>129</v>
      </c>
      <c r="K56">
        <f t="shared" si="2"/>
        <v>2021</v>
      </c>
      <c r="L56" t="s">
        <v>110</v>
      </c>
    </row>
    <row r="57" spans="1:12" x14ac:dyDescent="0.3">
      <c r="A57" s="53">
        <f>DATE(D57,11,15)</f>
        <v>44515</v>
      </c>
      <c r="B57" s="54">
        <f t="shared" si="0"/>
        <v>44515</v>
      </c>
      <c r="C57" t="s">
        <v>127</v>
      </c>
      <c r="D57">
        <f t="shared" si="3"/>
        <v>2021</v>
      </c>
      <c r="E57" t="s">
        <v>110</v>
      </c>
      <c r="H57" s="53">
        <f>DATE(K57,1,1)</f>
        <v>44562</v>
      </c>
      <c r="I57" s="54">
        <f t="shared" si="1"/>
        <v>44562</v>
      </c>
      <c r="J57" t="s">
        <v>109</v>
      </c>
      <c r="K57">
        <f>K39+1</f>
        <v>2022</v>
      </c>
      <c r="L57" t="s">
        <v>110</v>
      </c>
    </row>
    <row r="58" spans="1:12" x14ac:dyDescent="0.3">
      <c r="A58" s="53">
        <f>DATE(D58,11,20)</f>
        <v>44520</v>
      </c>
      <c r="B58" s="54">
        <f t="shared" si="0"/>
        <v>44520</v>
      </c>
      <c r="C58" t="s">
        <v>128</v>
      </c>
      <c r="D58">
        <f t="shared" si="3"/>
        <v>2021</v>
      </c>
      <c r="E58" t="s">
        <v>110</v>
      </c>
      <c r="H58" s="53">
        <f>H61-48</f>
        <v>44620</v>
      </c>
      <c r="I58" s="54">
        <f t="shared" si="1"/>
        <v>44620</v>
      </c>
      <c r="J58" t="s">
        <v>111</v>
      </c>
      <c r="K58">
        <f t="shared" si="2"/>
        <v>2022</v>
      </c>
      <c r="L58" t="s">
        <v>110</v>
      </c>
    </row>
    <row r="59" spans="1:12" x14ac:dyDescent="0.3">
      <c r="A59" s="53">
        <f>DATE(D59,12,25)</f>
        <v>44555</v>
      </c>
      <c r="B59" s="54">
        <f t="shared" si="0"/>
        <v>44555</v>
      </c>
      <c r="C59" t="s">
        <v>129</v>
      </c>
      <c r="D59">
        <f t="shared" si="3"/>
        <v>2021</v>
      </c>
      <c r="E59" t="s">
        <v>110</v>
      </c>
      <c r="H59" s="53">
        <f>H61-47</f>
        <v>44621</v>
      </c>
      <c r="I59" s="54">
        <f t="shared" si="1"/>
        <v>44621</v>
      </c>
      <c r="J59" t="s">
        <v>111</v>
      </c>
      <c r="K59">
        <f t="shared" si="2"/>
        <v>2022</v>
      </c>
      <c r="L59" t="s">
        <v>110</v>
      </c>
    </row>
    <row r="60" spans="1:12" x14ac:dyDescent="0.3">
      <c r="A60" s="53">
        <f>DATE(D60,1,1)</f>
        <v>44562</v>
      </c>
      <c r="B60" s="54">
        <f t="shared" si="0"/>
        <v>44562</v>
      </c>
      <c r="C60" t="s">
        <v>109</v>
      </c>
      <c r="D60">
        <f>D41+1</f>
        <v>2022</v>
      </c>
      <c r="E60" t="s">
        <v>110</v>
      </c>
      <c r="H60" s="53">
        <f>H61-2</f>
        <v>44666</v>
      </c>
      <c r="I60" s="54">
        <f t="shared" si="1"/>
        <v>44666</v>
      </c>
      <c r="J60" t="s">
        <v>112</v>
      </c>
      <c r="K60">
        <f t="shared" si="2"/>
        <v>2022</v>
      </c>
      <c r="L60" t="s">
        <v>110</v>
      </c>
    </row>
    <row r="61" spans="1:12" x14ac:dyDescent="0.3">
      <c r="A61" s="53">
        <f>A64-48</f>
        <v>44620</v>
      </c>
      <c r="B61" s="54">
        <f t="shared" si="0"/>
        <v>44620</v>
      </c>
      <c r="C61" t="s">
        <v>111</v>
      </c>
      <c r="D61">
        <f t="shared" si="3"/>
        <v>2022</v>
      </c>
      <c r="E61" t="s">
        <v>110</v>
      </c>
      <c r="H61" s="53">
        <f>FLOOR(DAY(MINUTE(K61/38)/2+56)&amp;"/5"&amp;"/"&amp;K61,7)-34</f>
        <v>44668</v>
      </c>
      <c r="I61" s="54">
        <f t="shared" si="1"/>
        <v>44668</v>
      </c>
      <c r="J61" t="s">
        <v>113</v>
      </c>
      <c r="K61">
        <f t="shared" si="2"/>
        <v>2022</v>
      </c>
      <c r="L61" t="s">
        <v>110</v>
      </c>
    </row>
    <row r="62" spans="1:12" x14ac:dyDescent="0.3">
      <c r="A62" s="53">
        <f>A64-47</f>
        <v>44621</v>
      </c>
      <c r="B62" s="54">
        <f t="shared" si="0"/>
        <v>44621</v>
      </c>
      <c r="C62" t="s">
        <v>111</v>
      </c>
      <c r="D62">
        <f t="shared" si="3"/>
        <v>2022</v>
      </c>
      <c r="E62" t="s">
        <v>110</v>
      </c>
      <c r="H62" s="53">
        <f>DATE(K62,4,21)</f>
        <v>44672</v>
      </c>
      <c r="I62" s="54">
        <f t="shared" si="1"/>
        <v>44672</v>
      </c>
      <c r="J62" t="s">
        <v>116</v>
      </c>
      <c r="K62">
        <f t="shared" si="2"/>
        <v>2022</v>
      </c>
      <c r="L62" t="s">
        <v>110</v>
      </c>
    </row>
    <row r="63" spans="1:12" x14ac:dyDescent="0.3">
      <c r="A63" s="53">
        <f>A64-2</f>
        <v>44666</v>
      </c>
      <c r="B63" s="54">
        <f t="shared" si="0"/>
        <v>44666</v>
      </c>
      <c r="C63" t="s">
        <v>112</v>
      </c>
      <c r="D63">
        <f t="shared" si="3"/>
        <v>2022</v>
      </c>
      <c r="E63" t="s">
        <v>110</v>
      </c>
      <c r="H63" s="53">
        <f>DATE(K63,5,1)</f>
        <v>44682</v>
      </c>
      <c r="I63" s="54">
        <f t="shared" si="1"/>
        <v>44682</v>
      </c>
      <c r="J63" t="s">
        <v>117</v>
      </c>
      <c r="K63">
        <f t="shared" si="2"/>
        <v>2022</v>
      </c>
      <c r="L63" t="s">
        <v>110</v>
      </c>
    </row>
    <row r="64" spans="1:12" x14ac:dyDescent="0.3">
      <c r="A64" s="53">
        <f>FLOOR(DAY(MINUTE(D64/38)/2+56)&amp;"/5"&amp;"/"&amp;D64,7)-34</f>
        <v>44668</v>
      </c>
      <c r="B64" s="54">
        <f t="shared" si="0"/>
        <v>44668</v>
      </c>
      <c r="C64" t="s">
        <v>113</v>
      </c>
      <c r="D64">
        <f t="shared" si="3"/>
        <v>2022</v>
      </c>
      <c r="E64" t="s">
        <v>110</v>
      </c>
      <c r="H64" s="53">
        <f>DATE(K64,5,1)+(14-WEEKDAY(DATE(K64,5,1),2))</f>
        <v>44689</v>
      </c>
      <c r="I64" s="54">
        <f t="shared" si="1"/>
        <v>44689</v>
      </c>
      <c r="J64" t="s">
        <v>118</v>
      </c>
      <c r="K64">
        <f t="shared" si="2"/>
        <v>2022</v>
      </c>
      <c r="L64" t="s">
        <v>110</v>
      </c>
    </row>
    <row r="65" spans="1:12" x14ac:dyDescent="0.3">
      <c r="A65" s="53">
        <f>DATE(D65,4,14)</f>
        <v>44665</v>
      </c>
      <c r="B65" s="54">
        <f t="shared" si="0"/>
        <v>44665</v>
      </c>
      <c r="C65" t="s">
        <v>114</v>
      </c>
      <c r="D65">
        <f t="shared" si="3"/>
        <v>2022</v>
      </c>
      <c r="E65" t="s">
        <v>115</v>
      </c>
      <c r="H65" s="53">
        <f>H61+60</f>
        <v>44728</v>
      </c>
      <c r="I65" s="54">
        <f t="shared" si="1"/>
        <v>44728</v>
      </c>
      <c r="J65" t="s">
        <v>119</v>
      </c>
      <c r="K65">
        <f t="shared" si="2"/>
        <v>2022</v>
      </c>
      <c r="L65" t="s">
        <v>110</v>
      </c>
    </row>
    <row r="66" spans="1:12" x14ac:dyDescent="0.3">
      <c r="A66" s="53">
        <f>DATE(D66,4,21)</f>
        <v>44672</v>
      </c>
      <c r="B66" s="54">
        <f t="shared" si="0"/>
        <v>44672</v>
      </c>
      <c r="C66" t="s">
        <v>116</v>
      </c>
      <c r="D66">
        <f t="shared" si="3"/>
        <v>2022</v>
      </c>
      <c r="E66" t="s">
        <v>110</v>
      </c>
      <c r="H66" s="53">
        <f>DATE(K66,6,19)</f>
        <v>44731</v>
      </c>
      <c r="I66" s="54">
        <f t="shared" si="1"/>
        <v>44731</v>
      </c>
      <c r="J66" t="s">
        <v>114</v>
      </c>
      <c r="K66">
        <f t="shared" si="2"/>
        <v>2022</v>
      </c>
      <c r="L66" t="s">
        <v>115</v>
      </c>
    </row>
    <row r="67" spans="1:12" x14ac:dyDescent="0.3">
      <c r="A67" s="53">
        <f>DATE(D67,5,1)</f>
        <v>44682</v>
      </c>
      <c r="B67" s="54">
        <f t="shared" ref="B67:B130" si="4">A67</f>
        <v>44682</v>
      </c>
      <c r="C67" t="s">
        <v>117</v>
      </c>
      <c r="D67">
        <f t="shared" si="3"/>
        <v>2022</v>
      </c>
      <c r="E67" t="s">
        <v>110</v>
      </c>
      <c r="H67" s="53">
        <f>DATE(K67,7,9)</f>
        <v>44751</v>
      </c>
      <c r="I67" s="54">
        <f t="shared" si="1"/>
        <v>44751</v>
      </c>
      <c r="J67" t="s">
        <v>120</v>
      </c>
      <c r="K67">
        <f t="shared" si="2"/>
        <v>2022</v>
      </c>
      <c r="L67" t="s">
        <v>121</v>
      </c>
    </row>
    <row r="68" spans="1:12" x14ac:dyDescent="0.3">
      <c r="A68" s="53">
        <f>DATE(D68,5,1)+(14-WEEKDAY(DATE(D68,5,1),2))</f>
        <v>44689</v>
      </c>
      <c r="B68" s="54">
        <f t="shared" si="4"/>
        <v>44689</v>
      </c>
      <c r="C68" t="s">
        <v>118</v>
      </c>
      <c r="D68">
        <f t="shared" si="3"/>
        <v>2022</v>
      </c>
      <c r="E68" t="s">
        <v>110</v>
      </c>
      <c r="H68" s="53">
        <f>DATE(K68,8,1)+(14-WEEKDAY(DATE(K68,8,1),2))</f>
        <v>44787</v>
      </c>
      <c r="I68" s="54">
        <f t="shared" si="1"/>
        <v>44787</v>
      </c>
      <c r="J68" t="s">
        <v>123</v>
      </c>
      <c r="K68">
        <f t="shared" si="2"/>
        <v>2022</v>
      </c>
      <c r="L68" t="s">
        <v>110</v>
      </c>
    </row>
    <row r="69" spans="1:12" x14ac:dyDescent="0.3">
      <c r="A69" s="53">
        <f>A64+60</f>
        <v>44728</v>
      </c>
      <c r="B69" s="54">
        <f t="shared" si="4"/>
        <v>44728</v>
      </c>
      <c r="C69" t="s">
        <v>119</v>
      </c>
      <c r="D69">
        <f t="shared" si="3"/>
        <v>2022</v>
      </c>
      <c r="E69" t="s">
        <v>110</v>
      </c>
      <c r="H69" s="53">
        <f>DATE(K69,9,7)</f>
        <v>44811</v>
      </c>
      <c r="I69" s="54">
        <f t="shared" si="1"/>
        <v>44811</v>
      </c>
      <c r="J69" t="s">
        <v>124</v>
      </c>
      <c r="K69">
        <f t="shared" si="2"/>
        <v>2022</v>
      </c>
      <c r="L69" t="s">
        <v>110</v>
      </c>
    </row>
    <row r="70" spans="1:12" x14ac:dyDescent="0.3">
      <c r="A70" s="53">
        <f>DATE(D70,7,9)</f>
        <v>44751</v>
      </c>
      <c r="B70" s="54">
        <f t="shared" si="4"/>
        <v>44751</v>
      </c>
      <c r="C70" t="s">
        <v>120</v>
      </c>
      <c r="D70">
        <f t="shared" si="3"/>
        <v>2022</v>
      </c>
      <c r="E70" t="s">
        <v>121</v>
      </c>
      <c r="H70" s="53">
        <f>DATE(K70,10,12)</f>
        <v>44846</v>
      </c>
      <c r="I70" s="54">
        <f t="shared" si="1"/>
        <v>44846</v>
      </c>
      <c r="J70" t="s">
        <v>125</v>
      </c>
      <c r="K70">
        <f t="shared" si="2"/>
        <v>2022</v>
      </c>
      <c r="L70" t="s">
        <v>110</v>
      </c>
    </row>
    <row r="71" spans="1:12" x14ac:dyDescent="0.3">
      <c r="A71" s="53">
        <f>DATE(D71,8,8)</f>
        <v>44781</v>
      </c>
      <c r="B71" s="54">
        <f t="shared" si="4"/>
        <v>44781</v>
      </c>
      <c r="C71" t="s">
        <v>122</v>
      </c>
      <c r="D71">
        <f t="shared" si="3"/>
        <v>2022</v>
      </c>
      <c r="E71" t="s">
        <v>115</v>
      </c>
      <c r="H71" s="53">
        <f>DATE(K71,11,2)</f>
        <v>44867</v>
      </c>
      <c r="I71" s="54">
        <f t="shared" si="1"/>
        <v>44867</v>
      </c>
      <c r="J71" t="s">
        <v>126</v>
      </c>
      <c r="K71">
        <f t="shared" si="2"/>
        <v>2022</v>
      </c>
      <c r="L71" t="s">
        <v>110</v>
      </c>
    </row>
    <row r="72" spans="1:12" x14ac:dyDescent="0.3">
      <c r="A72" s="53">
        <f>DATE(D72,8,1)+(14-WEEKDAY(DATE(D72,8,1),2))</f>
        <v>44787</v>
      </c>
      <c r="B72" s="54">
        <f t="shared" si="4"/>
        <v>44787</v>
      </c>
      <c r="C72" t="s">
        <v>123</v>
      </c>
      <c r="D72">
        <f t="shared" si="3"/>
        <v>2022</v>
      </c>
      <c r="E72" t="s">
        <v>110</v>
      </c>
      <c r="H72" s="53">
        <f>DATE(K72,11,15)</f>
        <v>44880</v>
      </c>
      <c r="I72" s="54">
        <f t="shared" ref="I72:I135" si="5">H72</f>
        <v>44880</v>
      </c>
      <c r="J72" t="s">
        <v>127</v>
      </c>
      <c r="K72">
        <f t="shared" si="2"/>
        <v>2022</v>
      </c>
      <c r="L72" t="s">
        <v>110</v>
      </c>
    </row>
    <row r="73" spans="1:12" x14ac:dyDescent="0.3">
      <c r="A73" s="53">
        <f>DATE(D73,9,7)</f>
        <v>44811</v>
      </c>
      <c r="B73" s="54">
        <f t="shared" si="4"/>
        <v>44811</v>
      </c>
      <c r="C73" t="s">
        <v>124</v>
      </c>
      <c r="D73">
        <f t="shared" si="3"/>
        <v>2022</v>
      </c>
      <c r="E73" t="s">
        <v>110</v>
      </c>
      <c r="H73" s="53">
        <f>DATE(K73,11,20)</f>
        <v>44885</v>
      </c>
      <c r="I73" s="54">
        <f t="shared" si="5"/>
        <v>44885</v>
      </c>
      <c r="J73" t="s">
        <v>128</v>
      </c>
      <c r="K73">
        <f t="shared" si="2"/>
        <v>2022</v>
      </c>
      <c r="L73" t="s">
        <v>110</v>
      </c>
    </row>
    <row r="74" spans="1:12" x14ac:dyDescent="0.3">
      <c r="A74" s="53">
        <f>DATE(D74,10,12)</f>
        <v>44846</v>
      </c>
      <c r="B74" s="54">
        <f t="shared" si="4"/>
        <v>44846</v>
      </c>
      <c r="C74" t="s">
        <v>125</v>
      </c>
      <c r="D74">
        <f t="shared" si="3"/>
        <v>2022</v>
      </c>
      <c r="E74" t="s">
        <v>110</v>
      </c>
      <c r="H74" s="53">
        <f>DATE(K74,12,25)</f>
        <v>44920</v>
      </c>
      <c r="I74" s="54">
        <f t="shared" si="5"/>
        <v>44920</v>
      </c>
      <c r="J74" t="s">
        <v>129</v>
      </c>
      <c r="K74">
        <f t="shared" si="2"/>
        <v>2022</v>
      </c>
      <c r="L74" t="s">
        <v>110</v>
      </c>
    </row>
    <row r="75" spans="1:12" x14ac:dyDescent="0.3">
      <c r="A75" s="53">
        <f>DATE(D75,11,2)</f>
        <v>44867</v>
      </c>
      <c r="B75" s="54">
        <f t="shared" si="4"/>
        <v>44867</v>
      </c>
      <c r="C75" t="s">
        <v>126</v>
      </c>
      <c r="D75">
        <f t="shared" si="3"/>
        <v>2022</v>
      </c>
      <c r="E75" t="s">
        <v>110</v>
      </c>
      <c r="H75" s="53">
        <f>DATE(K75,1,1)</f>
        <v>44927</v>
      </c>
      <c r="I75" s="54">
        <f t="shared" si="5"/>
        <v>44927</v>
      </c>
      <c r="J75" t="s">
        <v>109</v>
      </c>
      <c r="K75">
        <f>K57+1</f>
        <v>2023</v>
      </c>
      <c r="L75" t="s">
        <v>110</v>
      </c>
    </row>
    <row r="76" spans="1:12" x14ac:dyDescent="0.3">
      <c r="A76" s="53">
        <f>DATE(D76,11,15)</f>
        <v>44880</v>
      </c>
      <c r="B76" s="54">
        <f t="shared" si="4"/>
        <v>44880</v>
      </c>
      <c r="C76" t="s">
        <v>127</v>
      </c>
      <c r="D76">
        <f t="shared" si="3"/>
        <v>2022</v>
      </c>
      <c r="E76" t="s">
        <v>110</v>
      </c>
      <c r="H76" s="53">
        <f>H79-48</f>
        <v>44977</v>
      </c>
      <c r="I76" s="54">
        <f t="shared" si="5"/>
        <v>44977</v>
      </c>
      <c r="J76" t="s">
        <v>111</v>
      </c>
      <c r="K76">
        <f t="shared" si="2"/>
        <v>2023</v>
      </c>
      <c r="L76" t="s">
        <v>110</v>
      </c>
    </row>
    <row r="77" spans="1:12" x14ac:dyDescent="0.3">
      <c r="A77" s="53">
        <f>DATE(D77,11,20)</f>
        <v>44885</v>
      </c>
      <c r="B77" s="54">
        <f t="shared" si="4"/>
        <v>44885</v>
      </c>
      <c r="C77" t="s">
        <v>128</v>
      </c>
      <c r="D77">
        <f t="shared" si="3"/>
        <v>2022</v>
      </c>
      <c r="E77" t="s">
        <v>110</v>
      </c>
      <c r="H77" s="53">
        <f>H79-47</f>
        <v>44978</v>
      </c>
      <c r="I77" s="54">
        <f t="shared" si="5"/>
        <v>44978</v>
      </c>
      <c r="J77" t="s">
        <v>111</v>
      </c>
      <c r="K77">
        <f t="shared" si="2"/>
        <v>2023</v>
      </c>
      <c r="L77" t="s">
        <v>110</v>
      </c>
    </row>
    <row r="78" spans="1:12" x14ac:dyDescent="0.3">
      <c r="A78" s="53">
        <f>DATE(D78,12,25)</f>
        <v>44920</v>
      </c>
      <c r="B78" s="54">
        <f t="shared" si="4"/>
        <v>44920</v>
      </c>
      <c r="C78" t="s">
        <v>129</v>
      </c>
      <c r="D78">
        <f t="shared" si="3"/>
        <v>2022</v>
      </c>
      <c r="E78" t="s">
        <v>110</v>
      </c>
      <c r="H78" s="53">
        <f>H79-2</f>
        <v>45023</v>
      </c>
      <c r="I78" s="54">
        <f t="shared" si="5"/>
        <v>45023</v>
      </c>
      <c r="J78" t="s">
        <v>112</v>
      </c>
      <c r="K78">
        <f t="shared" si="2"/>
        <v>2023</v>
      </c>
      <c r="L78" t="s">
        <v>110</v>
      </c>
    </row>
    <row r="79" spans="1:12" x14ac:dyDescent="0.3">
      <c r="A79" s="53">
        <f>DATE(D79,1,1)</f>
        <v>44927</v>
      </c>
      <c r="B79" s="54">
        <f t="shared" si="4"/>
        <v>44927</v>
      </c>
      <c r="C79" t="s">
        <v>109</v>
      </c>
      <c r="D79">
        <f>D60+1</f>
        <v>2023</v>
      </c>
      <c r="E79" t="s">
        <v>110</v>
      </c>
      <c r="H79" s="53">
        <f>FLOOR(DAY(MINUTE(K79/38)/2+56)&amp;"/5"&amp;"/"&amp;K79,7)-34</f>
        <v>45025</v>
      </c>
      <c r="I79" s="54">
        <f t="shared" si="5"/>
        <v>45025</v>
      </c>
      <c r="J79" t="s">
        <v>113</v>
      </c>
      <c r="K79">
        <f t="shared" si="2"/>
        <v>2023</v>
      </c>
      <c r="L79" t="s">
        <v>110</v>
      </c>
    </row>
    <row r="80" spans="1:12" x14ac:dyDescent="0.3">
      <c r="A80" s="53">
        <f>A83-48</f>
        <v>44977</v>
      </c>
      <c r="B80" s="54">
        <f t="shared" si="4"/>
        <v>44977</v>
      </c>
      <c r="C80" t="s">
        <v>111</v>
      </c>
      <c r="D80">
        <f t="shared" si="3"/>
        <v>2023</v>
      </c>
      <c r="E80" t="s">
        <v>110</v>
      </c>
      <c r="H80" s="53">
        <f>DATE(K80,4,21)</f>
        <v>45037</v>
      </c>
      <c r="I80" s="54">
        <f t="shared" si="5"/>
        <v>45037</v>
      </c>
      <c r="J80" t="s">
        <v>116</v>
      </c>
      <c r="K80">
        <f t="shared" si="2"/>
        <v>2023</v>
      </c>
      <c r="L80" t="s">
        <v>110</v>
      </c>
    </row>
    <row r="81" spans="1:12" x14ac:dyDescent="0.3">
      <c r="A81" s="53">
        <f>A83-47</f>
        <v>44978</v>
      </c>
      <c r="B81" s="54">
        <f t="shared" si="4"/>
        <v>44978</v>
      </c>
      <c r="C81" t="s">
        <v>111</v>
      </c>
      <c r="D81">
        <f t="shared" si="3"/>
        <v>2023</v>
      </c>
      <c r="E81" t="s">
        <v>110</v>
      </c>
      <c r="H81" s="53">
        <f>DATE(K81,5,1)</f>
        <v>45047</v>
      </c>
      <c r="I81" s="54">
        <f t="shared" si="5"/>
        <v>45047</v>
      </c>
      <c r="J81" t="s">
        <v>117</v>
      </c>
      <c r="K81">
        <f t="shared" si="2"/>
        <v>2023</v>
      </c>
      <c r="L81" t="s">
        <v>110</v>
      </c>
    </row>
    <row r="82" spans="1:12" x14ac:dyDescent="0.3">
      <c r="A82" s="53">
        <f>A83-2</f>
        <v>45023</v>
      </c>
      <c r="B82" s="54">
        <f t="shared" si="4"/>
        <v>45023</v>
      </c>
      <c r="C82" t="s">
        <v>112</v>
      </c>
      <c r="D82">
        <f t="shared" si="3"/>
        <v>2023</v>
      </c>
      <c r="E82" t="s">
        <v>110</v>
      </c>
      <c r="H82" s="53">
        <f>DATE(K82,5,1)+(14-WEEKDAY(DATE(K82,5,1),2))</f>
        <v>45060</v>
      </c>
      <c r="I82" s="54">
        <f t="shared" si="5"/>
        <v>45060</v>
      </c>
      <c r="J82" t="s">
        <v>118</v>
      </c>
      <c r="K82">
        <f t="shared" si="2"/>
        <v>2023</v>
      </c>
      <c r="L82" t="s">
        <v>110</v>
      </c>
    </row>
    <row r="83" spans="1:12" x14ac:dyDescent="0.3">
      <c r="A83" s="53">
        <f>FLOOR(DAY(MINUTE(D83/38)/2+56)&amp;"/5"&amp;"/"&amp;D83,7)-34</f>
        <v>45025</v>
      </c>
      <c r="B83" s="54">
        <f t="shared" si="4"/>
        <v>45025</v>
      </c>
      <c r="C83" t="s">
        <v>113</v>
      </c>
      <c r="D83">
        <f t="shared" si="3"/>
        <v>2023</v>
      </c>
      <c r="E83" t="s">
        <v>110</v>
      </c>
      <c r="H83" s="53">
        <f>H79+60</f>
        <v>45085</v>
      </c>
      <c r="I83" s="54">
        <f t="shared" si="5"/>
        <v>45085</v>
      </c>
      <c r="J83" t="s">
        <v>119</v>
      </c>
      <c r="K83">
        <f t="shared" si="2"/>
        <v>2023</v>
      </c>
      <c r="L83" t="s">
        <v>110</v>
      </c>
    </row>
    <row r="84" spans="1:12" x14ac:dyDescent="0.3">
      <c r="A84" s="53">
        <f>DATE(D84,4,14)</f>
        <v>45030</v>
      </c>
      <c r="B84" s="54">
        <f t="shared" si="4"/>
        <v>45030</v>
      </c>
      <c r="C84" t="s">
        <v>114</v>
      </c>
      <c r="D84">
        <f t="shared" si="3"/>
        <v>2023</v>
      </c>
      <c r="E84" t="s">
        <v>115</v>
      </c>
      <c r="H84" s="53">
        <f>DATE(K84,6,19)</f>
        <v>45096</v>
      </c>
      <c r="I84" s="54">
        <f t="shared" si="5"/>
        <v>45096</v>
      </c>
      <c r="J84" t="s">
        <v>114</v>
      </c>
      <c r="K84">
        <f t="shared" si="2"/>
        <v>2023</v>
      </c>
      <c r="L84" t="s">
        <v>115</v>
      </c>
    </row>
    <row r="85" spans="1:12" x14ac:dyDescent="0.3">
      <c r="A85" s="53">
        <f>DATE(D85,4,21)</f>
        <v>45037</v>
      </c>
      <c r="B85" s="54">
        <f t="shared" si="4"/>
        <v>45037</v>
      </c>
      <c r="C85" t="s">
        <v>116</v>
      </c>
      <c r="D85">
        <f t="shared" si="3"/>
        <v>2023</v>
      </c>
      <c r="E85" t="s">
        <v>110</v>
      </c>
      <c r="H85" s="53">
        <f>DATE(K85,7,9)</f>
        <v>45116</v>
      </c>
      <c r="I85" s="54">
        <f t="shared" si="5"/>
        <v>45116</v>
      </c>
      <c r="J85" t="s">
        <v>120</v>
      </c>
      <c r="K85">
        <f t="shared" si="2"/>
        <v>2023</v>
      </c>
      <c r="L85" t="s">
        <v>121</v>
      </c>
    </row>
    <row r="86" spans="1:12" x14ac:dyDescent="0.3">
      <c r="A86" s="53">
        <f>DATE(D86,5,1)</f>
        <v>45047</v>
      </c>
      <c r="B86" s="54">
        <f t="shared" si="4"/>
        <v>45047</v>
      </c>
      <c r="C86" t="s">
        <v>117</v>
      </c>
      <c r="D86">
        <f t="shared" si="3"/>
        <v>2023</v>
      </c>
      <c r="E86" t="s">
        <v>110</v>
      </c>
      <c r="H86" s="53">
        <f>DATE(K86,8,1)+(14-WEEKDAY(DATE(K86,8,1),2))</f>
        <v>45151</v>
      </c>
      <c r="I86" s="54">
        <f t="shared" si="5"/>
        <v>45151</v>
      </c>
      <c r="J86" t="s">
        <v>123</v>
      </c>
      <c r="K86">
        <f t="shared" ref="K86:K92" si="6">K68+1</f>
        <v>2023</v>
      </c>
      <c r="L86" t="s">
        <v>110</v>
      </c>
    </row>
    <row r="87" spans="1:12" x14ac:dyDescent="0.3">
      <c r="A87" s="53">
        <f>DATE(D87,5,1)+(14-WEEKDAY(DATE(D87,5,1),2))</f>
        <v>45060</v>
      </c>
      <c r="B87" s="54">
        <f t="shared" si="4"/>
        <v>45060</v>
      </c>
      <c r="C87" t="s">
        <v>118</v>
      </c>
      <c r="D87">
        <f t="shared" ref="D87:D97" si="7">D68+1</f>
        <v>2023</v>
      </c>
      <c r="E87" t="s">
        <v>110</v>
      </c>
      <c r="H87" s="53">
        <f>DATE(K87,9,7)</f>
        <v>45176</v>
      </c>
      <c r="I87" s="54">
        <f t="shared" si="5"/>
        <v>45176</v>
      </c>
      <c r="J87" t="s">
        <v>124</v>
      </c>
      <c r="K87">
        <f t="shared" si="6"/>
        <v>2023</v>
      </c>
      <c r="L87" t="s">
        <v>110</v>
      </c>
    </row>
    <row r="88" spans="1:12" x14ac:dyDescent="0.3">
      <c r="A88" s="53">
        <f>A83+60</f>
        <v>45085</v>
      </c>
      <c r="B88" s="54">
        <f t="shared" si="4"/>
        <v>45085</v>
      </c>
      <c r="C88" t="s">
        <v>119</v>
      </c>
      <c r="D88">
        <f t="shared" si="7"/>
        <v>2023</v>
      </c>
      <c r="E88" t="s">
        <v>110</v>
      </c>
      <c r="H88" s="53">
        <f>DATE(K88,10,12)</f>
        <v>45211</v>
      </c>
      <c r="I88" s="54">
        <f t="shared" si="5"/>
        <v>45211</v>
      </c>
      <c r="J88" t="s">
        <v>125</v>
      </c>
      <c r="K88">
        <f t="shared" si="6"/>
        <v>2023</v>
      </c>
      <c r="L88" t="s">
        <v>110</v>
      </c>
    </row>
    <row r="89" spans="1:12" x14ac:dyDescent="0.3">
      <c r="A89" s="53">
        <f>DATE(D89,7,9)</f>
        <v>45116</v>
      </c>
      <c r="B89" s="54">
        <f t="shared" si="4"/>
        <v>45116</v>
      </c>
      <c r="C89" t="s">
        <v>120</v>
      </c>
      <c r="D89">
        <f t="shared" si="7"/>
        <v>2023</v>
      </c>
      <c r="E89" t="s">
        <v>121</v>
      </c>
      <c r="H89" s="53">
        <f>DATE(K89,11,2)</f>
        <v>45232</v>
      </c>
      <c r="I89" s="54">
        <f t="shared" si="5"/>
        <v>45232</v>
      </c>
      <c r="J89" t="s">
        <v>126</v>
      </c>
      <c r="K89">
        <f t="shared" si="6"/>
        <v>2023</v>
      </c>
      <c r="L89" t="s">
        <v>110</v>
      </c>
    </row>
    <row r="90" spans="1:12" x14ac:dyDescent="0.3">
      <c r="A90" s="53">
        <f>DATE(D90,8,8)</f>
        <v>45146</v>
      </c>
      <c r="B90" s="54">
        <f t="shared" si="4"/>
        <v>45146</v>
      </c>
      <c r="C90" t="s">
        <v>122</v>
      </c>
      <c r="D90">
        <f t="shared" si="7"/>
        <v>2023</v>
      </c>
      <c r="E90" t="s">
        <v>115</v>
      </c>
      <c r="H90" s="53">
        <f>DATE(K90,11,15)</f>
        <v>45245</v>
      </c>
      <c r="I90" s="54">
        <f t="shared" si="5"/>
        <v>45245</v>
      </c>
      <c r="J90" t="s">
        <v>127</v>
      </c>
      <c r="K90">
        <f t="shared" si="6"/>
        <v>2023</v>
      </c>
      <c r="L90" t="s">
        <v>110</v>
      </c>
    </row>
    <row r="91" spans="1:12" x14ac:dyDescent="0.3">
      <c r="A91" s="53">
        <f>DATE(D91,8,1)+(14-WEEKDAY(DATE(D91,8,1),2))</f>
        <v>45151</v>
      </c>
      <c r="B91" s="54">
        <f t="shared" si="4"/>
        <v>45151</v>
      </c>
      <c r="C91" t="s">
        <v>123</v>
      </c>
      <c r="D91">
        <f t="shared" si="7"/>
        <v>2023</v>
      </c>
      <c r="E91" t="s">
        <v>110</v>
      </c>
      <c r="H91" s="53">
        <f>DATE(K91,11,20)</f>
        <v>45250</v>
      </c>
      <c r="I91" s="54">
        <f t="shared" si="5"/>
        <v>45250</v>
      </c>
      <c r="J91" t="s">
        <v>128</v>
      </c>
      <c r="K91">
        <f t="shared" si="6"/>
        <v>2023</v>
      </c>
      <c r="L91" t="s">
        <v>110</v>
      </c>
    </row>
    <row r="92" spans="1:12" x14ac:dyDescent="0.3">
      <c r="A92" s="53">
        <f>DATE(D92,9,7)</f>
        <v>45176</v>
      </c>
      <c r="B92" s="54">
        <f t="shared" si="4"/>
        <v>45176</v>
      </c>
      <c r="C92" t="s">
        <v>124</v>
      </c>
      <c r="D92">
        <f t="shared" si="7"/>
        <v>2023</v>
      </c>
      <c r="E92" t="s">
        <v>110</v>
      </c>
      <c r="H92" s="53">
        <f>DATE(K92,12,25)</f>
        <v>45285</v>
      </c>
      <c r="I92" s="54">
        <f t="shared" si="5"/>
        <v>45285</v>
      </c>
      <c r="J92" t="s">
        <v>129</v>
      </c>
      <c r="K92">
        <f t="shared" si="6"/>
        <v>2023</v>
      </c>
      <c r="L92" t="s">
        <v>110</v>
      </c>
    </row>
    <row r="93" spans="1:12" x14ac:dyDescent="0.3">
      <c r="A93" s="53">
        <f>DATE(D93,10,12)</f>
        <v>45211</v>
      </c>
      <c r="B93" s="54">
        <f t="shared" si="4"/>
        <v>45211</v>
      </c>
      <c r="C93" t="s">
        <v>125</v>
      </c>
      <c r="D93">
        <f t="shared" si="7"/>
        <v>2023</v>
      </c>
      <c r="E93" t="s">
        <v>110</v>
      </c>
      <c r="H93" s="53">
        <f>DATE(K93,1,1)</f>
        <v>45292</v>
      </c>
      <c r="I93" s="54">
        <f t="shared" si="5"/>
        <v>45292</v>
      </c>
      <c r="J93" t="s">
        <v>109</v>
      </c>
      <c r="K93">
        <f>K75+1</f>
        <v>2024</v>
      </c>
      <c r="L93" t="s">
        <v>110</v>
      </c>
    </row>
    <row r="94" spans="1:12" x14ac:dyDescent="0.3">
      <c r="A94" s="53">
        <f>DATE(D94,11,2)</f>
        <v>45232</v>
      </c>
      <c r="B94" s="54">
        <f t="shared" si="4"/>
        <v>45232</v>
      </c>
      <c r="C94" t="s">
        <v>126</v>
      </c>
      <c r="D94">
        <f t="shared" si="7"/>
        <v>2023</v>
      </c>
      <c r="E94" t="s">
        <v>110</v>
      </c>
      <c r="H94" s="53">
        <f>H97-48</f>
        <v>45334</v>
      </c>
      <c r="I94" s="54">
        <f t="shared" si="5"/>
        <v>45334</v>
      </c>
      <c r="J94" t="s">
        <v>111</v>
      </c>
      <c r="K94">
        <f t="shared" ref="K94:K110" si="8">K76+1</f>
        <v>2024</v>
      </c>
      <c r="L94" t="s">
        <v>110</v>
      </c>
    </row>
    <row r="95" spans="1:12" x14ac:dyDescent="0.3">
      <c r="A95" s="53">
        <f>DATE(D95,11,15)</f>
        <v>45245</v>
      </c>
      <c r="B95" s="54">
        <f t="shared" si="4"/>
        <v>45245</v>
      </c>
      <c r="C95" t="s">
        <v>127</v>
      </c>
      <c r="D95">
        <f t="shared" si="7"/>
        <v>2023</v>
      </c>
      <c r="E95" t="s">
        <v>110</v>
      </c>
      <c r="H95" s="53">
        <f>H97-47</f>
        <v>45335</v>
      </c>
      <c r="I95" s="54">
        <f t="shared" si="5"/>
        <v>45335</v>
      </c>
      <c r="J95" t="s">
        <v>111</v>
      </c>
      <c r="K95">
        <f t="shared" si="8"/>
        <v>2024</v>
      </c>
      <c r="L95" t="s">
        <v>110</v>
      </c>
    </row>
    <row r="96" spans="1:12" x14ac:dyDescent="0.3">
      <c r="A96" s="53">
        <f>DATE(D96,11,20)</f>
        <v>45250</v>
      </c>
      <c r="B96" s="54">
        <f t="shared" si="4"/>
        <v>45250</v>
      </c>
      <c r="C96" t="s">
        <v>128</v>
      </c>
      <c r="D96">
        <f t="shared" si="7"/>
        <v>2023</v>
      </c>
      <c r="E96" t="s">
        <v>110</v>
      </c>
      <c r="H96" s="53">
        <f>H97-2</f>
        <v>45380</v>
      </c>
      <c r="I96" s="54">
        <f t="shared" si="5"/>
        <v>45380</v>
      </c>
      <c r="J96" t="s">
        <v>112</v>
      </c>
      <c r="K96">
        <f t="shared" si="8"/>
        <v>2024</v>
      </c>
      <c r="L96" t="s">
        <v>110</v>
      </c>
    </row>
    <row r="97" spans="1:12" x14ac:dyDescent="0.3">
      <c r="A97" s="53">
        <f>DATE(D97,12,25)</f>
        <v>45285</v>
      </c>
      <c r="B97" s="54">
        <f t="shared" si="4"/>
        <v>45285</v>
      </c>
      <c r="C97" t="s">
        <v>129</v>
      </c>
      <c r="D97">
        <f t="shared" si="7"/>
        <v>2023</v>
      </c>
      <c r="E97" t="s">
        <v>110</v>
      </c>
      <c r="H97" s="53">
        <f>FLOOR(DAY(MINUTE(K97/38)/2+56)&amp;"/5"&amp;"/"&amp;K97,7)-34</f>
        <v>45382</v>
      </c>
      <c r="I97" s="54">
        <f t="shared" si="5"/>
        <v>45382</v>
      </c>
      <c r="J97" t="s">
        <v>113</v>
      </c>
      <c r="K97">
        <f t="shared" si="8"/>
        <v>2024</v>
      </c>
      <c r="L97" t="s">
        <v>110</v>
      </c>
    </row>
    <row r="98" spans="1:12" x14ac:dyDescent="0.3">
      <c r="A98" s="53">
        <f>DATE(D98,1,1)</f>
        <v>45292</v>
      </c>
      <c r="B98" s="54">
        <f t="shared" si="4"/>
        <v>45292</v>
      </c>
      <c r="C98" t="s">
        <v>109</v>
      </c>
      <c r="D98">
        <f>D79+1</f>
        <v>2024</v>
      </c>
      <c r="E98" t="s">
        <v>110</v>
      </c>
      <c r="H98" s="53">
        <f>DATE(K98,4,21)</f>
        <v>45403</v>
      </c>
      <c r="I98" s="54">
        <f t="shared" si="5"/>
        <v>45403</v>
      </c>
      <c r="J98" t="s">
        <v>116</v>
      </c>
      <c r="K98">
        <f t="shared" si="8"/>
        <v>2024</v>
      </c>
      <c r="L98" t="s">
        <v>110</v>
      </c>
    </row>
    <row r="99" spans="1:12" x14ac:dyDescent="0.3">
      <c r="A99" s="53">
        <f>A102-48</f>
        <v>45334</v>
      </c>
      <c r="B99" s="54">
        <f t="shared" si="4"/>
        <v>45334</v>
      </c>
      <c r="C99" t="s">
        <v>111</v>
      </c>
      <c r="D99">
        <f t="shared" ref="D99:D116" si="9">D80+1</f>
        <v>2024</v>
      </c>
      <c r="E99" t="s">
        <v>110</v>
      </c>
      <c r="H99" s="53">
        <f>DATE(K99,5,1)</f>
        <v>45413</v>
      </c>
      <c r="I99" s="54">
        <f t="shared" si="5"/>
        <v>45413</v>
      </c>
      <c r="J99" t="s">
        <v>117</v>
      </c>
      <c r="K99">
        <f t="shared" si="8"/>
        <v>2024</v>
      </c>
      <c r="L99" t="s">
        <v>110</v>
      </c>
    </row>
    <row r="100" spans="1:12" x14ac:dyDescent="0.3">
      <c r="A100" s="53">
        <f>A102-47</f>
        <v>45335</v>
      </c>
      <c r="B100" s="54">
        <f t="shared" si="4"/>
        <v>45335</v>
      </c>
      <c r="C100" t="s">
        <v>111</v>
      </c>
      <c r="D100">
        <f t="shared" si="9"/>
        <v>2024</v>
      </c>
      <c r="E100" t="s">
        <v>110</v>
      </c>
      <c r="H100" s="53">
        <f>DATE(K100,5,1)+(14-WEEKDAY(DATE(K100,5,1),2))</f>
        <v>45424</v>
      </c>
      <c r="I100" s="54">
        <f t="shared" si="5"/>
        <v>45424</v>
      </c>
      <c r="J100" t="s">
        <v>118</v>
      </c>
      <c r="K100">
        <f t="shared" si="8"/>
        <v>2024</v>
      </c>
      <c r="L100" t="s">
        <v>110</v>
      </c>
    </row>
    <row r="101" spans="1:12" x14ac:dyDescent="0.3">
      <c r="A101" s="53">
        <f>A102-2</f>
        <v>45380</v>
      </c>
      <c r="B101" s="54">
        <f t="shared" si="4"/>
        <v>45380</v>
      </c>
      <c r="C101" t="s">
        <v>112</v>
      </c>
      <c r="D101">
        <f t="shared" si="9"/>
        <v>2024</v>
      </c>
      <c r="E101" t="s">
        <v>110</v>
      </c>
      <c r="H101" s="53">
        <f>H97+60</f>
        <v>45442</v>
      </c>
      <c r="I101" s="54">
        <f t="shared" si="5"/>
        <v>45442</v>
      </c>
      <c r="J101" t="s">
        <v>119</v>
      </c>
      <c r="K101">
        <f t="shared" si="8"/>
        <v>2024</v>
      </c>
      <c r="L101" t="s">
        <v>110</v>
      </c>
    </row>
    <row r="102" spans="1:12" x14ac:dyDescent="0.3">
      <c r="A102" s="53">
        <f>FLOOR(DAY(MINUTE(D102/38)/2+56)&amp;"/5"&amp;"/"&amp;D102,7)-34</f>
        <v>45382</v>
      </c>
      <c r="B102" s="54">
        <f t="shared" si="4"/>
        <v>45382</v>
      </c>
      <c r="C102" t="s">
        <v>113</v>
      </c>
      <c r="D102">
        <f t="shared" si="9"/>
        <v>2024</v>
      </c>
      <c r="E102" t="s">
        <v>110</v>
      </c>
      <c r="H102" s="53">
        <f>DATE(K102,6,19)</f>
        <v>45462</v>
      </c>
      <c r="I102" s="54">
        <f t="shared" si="5"/>
        <v>45462</v>
      </c>
      <c r="J102" t="s">
        <v>114</v>
      </c>
      <c r="K102">
        <f t="shared" si="8"/>
        <v>2024</v>
      </c>
      <c r="L102" t="s">
        <v>115</v>
      </c>
    </row>
    <row r="103" spans="1:12" x14ac:dyDescent="0.3">
      <c r="A103" s="53">
        <f>DATE(D103,4,14)</f>
        <v>45396</v>
      </c>
      <c r="B103" s="54">
        <f t="shared" si="4"/>
        <v>45396</v>
      </c>
      <c r="C103" t="s">
        <v>114</v>
      </c>
      <c r="D103">
        <f t="shared" si="9"/>
        <v>2024</v>
      </c>
      <c r="E103" t="s">
        <v>115</v>
      </c>
      <c r="H103" s="53">
        <f>DATE(K103,7,9)</f>
        <v>45482</v>
      </c>
      <c r="I103" s="54">
        <f t="shared" si="5"/>
        <v>45482</v>
      </c>
      <c r="J103" t="s">
        <v>120</v>
      </c>
      <c r="K103">
        <f t="shared" si="8"/>
        <v>2024</v>
      </c>
      <c r="L103" t="s">
        <v>121</v>
      </c>
    </row>
    <row r="104" spans="1:12" x14ac:dyDescent="0.3">
      <c r="A104" s="53">
        <f>DATE(D104,4,21)</f>
        <v>45403</v>
      </c>
      <c r="B104" s="54">
        <f t="shared" si="4"/>
        <v>45403</v>
      </c>
      <c r="C104" t="s">
        <v>116</v>
      </c>
      <c r="D104">
        <f t="shared" si="9"/>
        <v>2024</v>
      </c>
      <c r="E104" t="s">
        <v>110</v>
      </c>
      <c r="H104" s="53">
        <f>DATE(K104,8,1)+(14-WEEKDAY(DATE(K104,8,1),2))</f>
        <v>45515</v>
      </c>
      <c r="I104" s="54">
        <f t="shared" si="5"/>
        <v>45515</v>
      </c>
      <c r="J104" t="s">
        <v>123</v>
      </c>
      <c r="K104">
        <f t="shared" si="8"/>
        <v>2024</v>
      </c>
      <c r="L104" t="s">
        <v>110</v>
      </c>
    </row>
    <row r="105" spans="1:12" x14ac:dyDescent="0.3">
      <c r="A105" s="53">
        <f>DATE(D105,5,1)</f>
        <v>45413</v>
      </c>
      <c r="B105" s="54">
        <f t="shared" si="4"/>
        <v>45413</v>
      </c>
      <c r="C105" t="s">
        <v>117</v>
      </c>
      <c r="D105">
        <f t="shared" si="9"/>
        <v>2024</v>
      </c>
      <c r="E105" t="s">
        <v>110</v>
      </c>
      <c r="H105" s="53">
        <f>DATE(K105,9,7)</f>
        <v>45542</v>
      </c>
      <c r="I105" s="54">
        <f t="shared" si="5"/>
        <v>45542</v>
      </c>
      <c r="J105" t="s">
        <v>124</v>
      </c>
      <c r="K105">
        <f t="shared" si="8"/>
        <v>2024</v>
      </c>
      <c r="L105" t="s">
        <v>110</v>
      </c>
    </row>
    <row r="106" spans="1:12" x14ac:dyDescent="0.3">
      <c r="A106" s="53">
        <f>DATE(D106,5,1)+(14-WEEKDAY(DATE(D106,5,1),2))</f>
        <v>45424</v>
      </c>
      <c r="B106" s="54">
        <f t="shared" si="4"/>
        <v>45424</v>
      </c>
      <c r="C106" t="s">
        <v>118</v>
      </c>
      <c r="D106">
        <f t="shared" si="9"/>
        <v>2024</v>
      </c>
      <c r="E106" t="s">
        <v>110</v>
      </c>
      <c r="H106" s="53">
        <f>DATE(K106,10,12)</f>
        <v>45577</v>
      </c>
      <c r="I106" s="54">
        <f t="shared" si="5"/>
        <v>45577</v>
      </c>
      <c r="J106" t="s">
        <v>125</v>
      </c>
      <c r="K106">
        <f t="shared" si="8"/>
        <v>2024</v>
      </c>
      <c r="L106" t="s">
        <v>110</v>
      </c>
    </row>
    <row r="107" spans="1:12" x14ac:dyDescent="0.3">
      <c r="A107" s="53">
        <f>A102+60</f>
        <v>45442</v>
      </c>
      <c r="B107" s="54">
        <f t="shared" si="4"/>
        <v>45442</v>
      </c>
      <c r="C107" t="s">
        <v>119</v>
      </c>
      <c r="D107">
        <f t="shared" si="9"/>
        <v>2024</v>
      </c>
      <c r="E107" t="s">
        <v>110</v>
      </c>
      <c r="H107" s="53">
        <f>DATE(K107,11,2)</f>
        <v>45598</v>
      </c>
      <c r="I107" s="54">
        <f t="shared" si="5"/>
        <v>45598</v>
      </c>
      <c r="J107" t="s">
        <v>126</v>
      </c>
      <c r="K107">
        <f t="shared" si="8"/>
        <v>2024</v>
      </c>
      <c r="L107" t="s">
        <v>110</v>
      </c>
    </row>
    <row r="108" spans="1:12" x14ac:dyDescent="0.3">
      <c r="A108" s="53">
        <f>DATE(D108,7,9)</f>
        <v>45482</v>
      </c>
      <c r="B108" s="54">
        <f t="shared" si="4"/>
        <v>45482</v>
      </c>
      <c r="C108" t="s">
        <v>120</v>
      </c>
      <c r="D108">
        <f t="shared" si="9"/>
        <v>2024</v>
      </c>
      <c r="E108" t="s">
        <v>121</v>
      </c>
      <c r="H108" s="53">
        <f>DATE(K108,11,15)</f>
        <v>45611</v>
      </c>
      <c r="I108" s="54">
        <f t="shared" si="5"/>
        <v>45611</v>
      </c>
      <c r="J108" t="s">
        <v>127</v>
      </c>
      <c r="K108">
        <f t="shared" si="8"/>
        <v>2024</v>
      </c>
      <c r="L108" t="s">
        <v>110</v>
      </c>
    </row>
    <row r="109" spans="1:12" x14ac:dyDescent="0.3">
      <c r="A109" s="53">
        <f>DATE(D109,8,8)</f>
        <v>45512</v>
      </c>
      <c r="B109" s="54">
        <f t="shared" si="4"/>
        <v>45512</v>
      </c>
      <c r="C109" t="s">
        <v>122</v>
      </c>
      <c r="D109">
        <f t="shared" si="9"/>
        <v>2024</v>
      </c>
      <c r="E109" t="s">
        <v>115</v>
      </c>
      <c r="H109" s="53">
        <f>DATE(K109,11,20)</f>
        <v>45616</v>
      </c>
      <c r="I109" s="54">
        <f t="shared" si="5"/>
        <v>45616</v>
      </c>
      <c r="J109" t="s">
        <v>128</v>
      </c>
      <c r="K109">
        <f t="shared" si="8"/>
        <v>2024</v>
      </c>
      <c r="L109" t="s">
        <v>110</v>
      </c>
    </row>
    <row r="110" spans="1:12" x14ac:dyDescent="0.3">
      <c r="A110" s="53">
        <f>DATE(D110,8,1)+(14-WEEKDAY(DATE(D110,8,1),2))</f>
        <v>45515</v>
      </c>
      <c r="B110" s="54">
        <f t="shared" si="4"/>
        <v>45515</v>
      </c>
      <c r="C110" t="s">
        <v>123</v>
      </c>
      <c r="D110">
        <f t="shared" si="9"/>
        <v>2024</v>
      </c>
      <c r="E110" t="s">
        <v>110</v>
      </c>
      <c r="H110" s="53">
        <f>DATE(K110,12,25)</f>
        <v>45651</v>
      </c>
      <c r="I110" s="54">
        <f t="shared" si="5"/>
        <v>45651</v>
      </c>
      <c r="J110" t="s">
        <v>129</v>
      </c>
      <c r="K110">
        <f t="shared" si="8"/>
        <v>2024</v>
      </c>
      <c r="L110" t="s">
        <v>110</v>
      </c>
    </row>
    <row r="111" spans="1:12" x14ac:dyDescent="0.3">
      <c r="A111" s="53">
        <f>DATE(D111,9,7)</f>
        <v>45542</v>
      </c>
      <c r="B111" s="54">
        <f t="shared" si="4"/>
        <v>45542</v>
      </c>
      <c r="C111" t="s">
        <v>124</v>
      </c>
      <c r="D111">
        <f t="shared" si="9"/>
        <v>2024</v>
      </c>
      <c r="E111" t="s">
        <v>110</v>
      </c>
      <c r="H111" s="53">
        <f>DATE(K111,1,1)</f>
        <v>45658</v>
      </c>
      <c r="I111" s="54">
        <f t="shared" si="5"/>
        <v>45658</v>
      </c>
      <c r="J111" t="s">
        <v>109</v>
      </c>
      <c r="K111">
        <f>K93+1</f>
        <v>2025</v>
      </c>
      <c r="L111" t="s">
        <v>110</v>
      </c>
    </row>
    <row r="112" spans="1:12" x14ac:dyDescent="0.3">
      <c r="A112" s="53">
        <f>DATE(D112,10,12)</f>
        <v>45577</v>
      </c>
      <c r="B112" s="54">
        <f t="shared" si="4"/>
        <v>45577</v>
      </c>
      <c r="C112" t="s">
        <v>125</v>
      </c>
      <c r="D112">
        <f t="shared" si="9"/>
        <v>2024</v>
      </c>
      <c r="E112" t="s">
        <v>110</v>
      </c>
      <c r="H112" s="53">
        <f>H115-48</f>
        <v>45719</v>
      </c>
      <c r="I112" s="54">
        <f t="shared" si="5"/>
        <v>45719</v>
      </c>
      <c r="J112" t="s">
        <v>111</v>
      </c>
      <c r="K112">
        <f t="shared" ref="K112:K175" si="10">K94+1</f>
        <v>2025</v>
      </c>
      <c r="L112" t="s">
        <v>110</v>
      </c>
    </row>
    <row r="113" spans="1:12" x14ac:dyDescent="0.3">
      <c r="A113" s="53">
        <f>DATE(D113,11,2)</f>
        <v>45598</v>
      </c>
      <c r="B113" s="54">
        <f t="shared" si="4"/>
        <v>45598</v>
      </c>
      <c r="C113" t="s">
        <v>126</v>
      </c>
      <c r="D113">
        <f t="shared" si="9"/>
        <v>2024</v>
      </c>
      <c r="E113" t="s">
        <v>110</v>
      </c>
      <c r="H113" s="53">
        <f>H115-47</f>
        <v>45720</v>
      </c>
      <c r="I113" s="54">
        <f t="shared" si="5"/>
        <v>45720</v>
      </c>
      <c r="J113" t="s">
        <v>111</v>
      </c>
      <c r="K113">
        <f t="shared" si="10"/>
        <v>2025</v>
      </c>
      <c r="L113" t="s">
        <v>110</v>
      </c>
    </row>
    <row r="114" spans="1:12" x14ac:dyDescent="0.3">
      <c r="A114" s="53">
        <f>DATE(D114,11,15)</f>
        <v>45611</v>
      </c>
      <c r="B114" s="54">
        <f t="shared" si="4"/>
        <v>45611</v>
      </c>
      <c r="C114" t="s">
        <v>127</v>
      </c>
      <c r="D114">
        <f t="shared" si="9"/>
        <v>2024</v>
      </c>
      <c r="E114" t="s">
        <v>110</v>
      </c>
      <c r="H114" s="53">
        <f>H115-2</f>
        <v>45765</v>
      </c>
      <c r="I114" s="54">
        <f t="shared" si="5"/>
        <v>45765</v>
      </c>
      <c r="J114" t="s">
        <v>112</v>
      </c>
      <c r="K114">
        <f t="shared" si="10"/>
        <v>2025</v>
      </c>
      <c r="L114" t="s">
        <v>110</v>
      </c>
    </row>
    <row r="115" spans="1:12" x14ac:dyDescent="0.3">
      <c r="A115" s="53">
        <f>DATE(D115,11,20)</f>
        <v>45616</v>
      </c>
      <c r="B115" s="54">
        <f t="shared" si="4"/>
        <v>45616</v>
      </c>
      <c r="C115" t="s">
        <v>128</v>
      </c>
      <c r="D115">
        <f t="shared" si="9"/>
        <v>2024</v>
      </c>
      <c r="E115" t="s">
        <v>110</v>
      </c>
      <c r="H115" s="53">
        <f>FLOOR(DAY(MINUTE(K115/38)/2+56)&amp;"/5"&amp;"/"&amp;K115,7)-34</f>
        <v>45767</v>
      </c>
      <c r="I115" s="54">
        <f t="shared" si="5"/>
        <v>45767</v>
      </c>
      <c r="J115" t="s">
        <v>113</v>
      </c>
      <c r="K115">
        <f t="shared" si="10"/>
        <v>2025</v>
      </c>
      <c r="L115" t="s">
        <v>110</v>
      </c>
    </row>
    <row r="116" spans="1:12" x14ac:dyDescent="0.3">
      <c r="A116" s="53">
        <f>DATE(D116,12,25)</f>
        <v>45651</v>
      </c>
      <c r="B116" s="54">
        <f t="shared" si="4"/>
        <v>45651</v>
      </c>
      <c r="C116" t="s">
        <v>129</v>
      </c>
      <c r="D116">
        <f t="shared" si="9"/>
        <v>2024</v>
      </c>
      <c r="E116" t="s">
        <v>110</v>
      </c>
      <c r="H116" s="53">
        <f>DATE(K116,4,21)</f>
        <v>45768</v>
      </c>
      <c r="I116" s="54">
        <f t="shared" si="5"/>
        <v>45768</v>
      </c>
      <c r="J116" t="s">
        <v>116</v>
      </c>
      <c r="K116">
        <f t="shared" si="10"/>
        <v>2025</v>
      </c>
      <c r="L116" t="s">
        <v>110</v>
      </c>
    </row>
    <row r="117" spans="1:12" x14ac:dyDescent="0.3">
      <c r="A117" s="53">
        <f>DATE(D117,1,1)</f>
        <v>45658</v>
      </c>
      <c r="B117" s="54">
        <f t="shared" si="4"/>
        <v>45658</v>
      </c>
      <c r="C117" t="s">
        <v>109</v>
      </c>
      <c r="D117">
        <f>D98+1</f>
        <v>2025</v>
      </c>
      <c r="E117" t="s">
        <v>110</v>
      </c>
      <c r="H117" s="53">
        <f>DATE(K117,5,1)</f>
        <v>45778</v>
      </c>
      <c r="I117" s="54">
        <f t="shared" si="5"/>
        <v>45778</v>
      </c>
      <c r="J117" t="s">
        <v>117</v>
      </c>
      <c r="K117">
        <f t="shared" si="10"/>
        <v>2025</v>
      </c>
      <c r="L117" t="s">
        <v>110</v>
      </c>
    </row>
    <row r="118" spans="1:12" x14ac:dyDescent="0.3">
      <c r="A118" s="53">
        <f>A121-48</f>
        <v>45719</v>
      </c>
      <c r="B118" s="54">
        <f t="shared" si="4"/>
        <v>45719</v>
      </c>
      <c r="C118" t="s">
        <v>111</v>
      </c>
      <c r="D118">
        <f t="shared" ref="D118:D135" si="11">D99+1</f>
        <v>2025</v>
      </c>
      <c r="E118" t="s">
        <v>110</v>
      </c>
      <c r="H118" s="53">
        <f>DATE(K118,5,1)+(14-WEEKDAY(DATE(K118,5,1),2))</f>
        <v>45788</v>
      </c>
      <c r="I118" s="54">
        <f t="shared" si="5"/>
        <v>45788</v>
      </c>
      <c r="J118" t="s">
        <v>118</v>
      </c>
      <c r="K118">
        <f t="shared" si="10"/>
        <v>2025</v>
      </c>
      <c r="L118" t="s">
        <v>110</v>
      </c>
    </row>
    <row r="119" spans="1:12" x14ac:dyDescent="0.3">
      <c r="A119" s="53">
        <f>A121-47</f>
        <v>45720</v>
      </c>
      <c r="B119" s="54">
        <f t="shared" si="4"/>
        <v>45720</v>
      </c>
      <c r="C119" t="s">
        <v>111</v>
      </c>
      <c r="D119">
        <f t="shared" si="11"/>
        <v>2025</v>
      </c>
      <c r="E119" t="s">
        <v>110</v>
      </c>
      <c r="H119" s="53">
        <f>H115+60</f>
        <v>45827</v>
      </c>
      <c r="I119" s="54">
        <f t="shared" si="5"/>
        <v>45827</v>
      </c>
      <c r="J119" t="s">
        <v>119</v>
      </c>
      <c r="K119">
        <f t="shared" si="10"/>
        <v>2025</v>
      </c>
      <c r="L119" t="s">
        <v>110</v>
      </c>
    </row>
    <row r="120" spans="1:12" x14ac:dyDescent="0.3">
      <c r="A120" s="53">
        <f>A121-2</f>
        <v>45765</v>
      </c>
      <c r="B120" s="54">
        <f t="shared" si="4"/>
        <v>45765</v>
      </c>
      <c r="C120" t="s">
        <v>112</v>
      </c>
      <c r="D120">
        <f t="shared" si="11"/>
        <v>2025</v>
      </c>
      <c r="E120" t="s">
        <v>110</v>
      </c>
      <c r="H120" s="53">
        <f>DATE(K120,6,19)</f>
        <v>45827</v>
      </c>
      <c r="I120" s="54">
        <f t="shared" si="5"/>
        <v>45827</v>
      </c>
      <c r="J120" t="s">
        <v>114</v>
      </c>
      <c r="K120">
        <f t="shared" si="10"/>
        <v>2025</v>
      </c>
      <c r="L120" t="s">
        <v>115</v>
      </c>
    </row>
    <row r="121" spans="1:12" x14ac:dyDescent="0.3">
      <c r="A121" s="53">
        <f>FLOOR(DAY(MINUTE(D121/38)/2+56)&amp;"/5"&amp;"/"&amp;D121,7)-34</f>
        <v>45767</v>
      </c>
      <c r="B121" s="54">
        <f t="shared" si="4"/>
        <v>45767</v>
      </c>
      <c r="C121" t="s">
        <v>113</v>
      </c>
      <c r="D121">
        <f t="shared" si="11"/>
        <v>2025</v>
      </c>
      <c r="E121" t="s">
        <v>110</v>
      </c>
      <c r="H121" s="53">
        <f>DATE(K121,7,9)</f>
        <v>45847</v>
      </c>
      <c r="I121" s="54">
        <f t="shared" si="5"/>
        <v>45847</v>
      </c>
      <c r="J121" t="s">
        <v>120</v>
      </c>
      <c r="K121">
        <f t="shared" si="10"/>
        <v>2025</v>
      </c>
      <c r="L121" t="s">
        <v>121</v>
      </c>
    </row>
    <row r="122" spans="1:12" x14ac:dyDescent="0.3">
      <c r="A122" s="53">
        <f>DATE(D122,4,14)</f>
        <v>45761</v>
      </c>
      <c r="B122" s="54">
        <f t="shared" si="4"/>
        <v>45761</v>
      </c>
      <c r="C122" t="s">
        <v>114</v>
      </c>
      <c r="D122">
        <f t="shared" si="11"/>
        <v>2025</v>
      </c>
      <c r="E122" t="s">
        <v>115</v>
      </c>
      <c r="H122" s="53">
        <f>DATE(K122,8,1)+(14-WEEKDAY(DATE(K122,8,1),2))</f>
        <v>45879</v>
      </c>
      <c r="I122" s="54">
        <f t="shared" si="5"/>
        <v>45879</v>
      </c>
      <c r="J122" t="s">
        <v>123</v>
      </c>
      <c r="K122">
        <f t="shared" si="10"/>
        <v>2025</v>
      </c>
      <c r="L122" t="s">
        <v>110</v>
      </c>
    </row>
    <row r="123" spans="1:12" x14ac:dyDescent="0.3">
      <c r="A123" s="53">
        <f>DATE(D123,4,21)</f>
        <v>45768</v>
      </c>
      <c r="B123" s="54">
        <f t="shared" si="4"/>
        <v>45768</v>
      </c>
      <c r="C123" t="s">
        <v>116</v>
      </c>
      <c r="D123">
        <f t="shared" si="11"/>
        <v>2025</v>
      </c>
      <c r="E123" t="s">
        <v>110</v>
      </c>
      <c r="H123" s="53">
        <f>DATE(K123,9,7)</f>
        <v>45907</v>
      </c>
      <c r="I123" s="54">
        <f t="shared" si="5"/>
        <v>45907</v>
      </c>
      <c r="J123" t="s">
        <v>124</v>
      </c>
      <c r="K123">
        <f t="shared" si="10"/>
        <v>2025</v>
      </c>
      <c r="L123" t="s">
        <v>110</v>
      </c>
    </row>
    <row r="124" spans="1:12" x14ac:dyDescent="0.3">
      <c r="A124" s="53">
        <f>DATE(D124,5,1)</f>
        <v>45778</v>
      </c>
      <c r="B124" s="54">
        <f t="shared" si="4"/>
        <v>45778</v>
      </c>
      <c r="C124" t="s">
        <v>117</v>
      </c>
      <c r="D124">
        <f t="shared" si="11"/>
        <v>2025</v>
      </c>
      <c r="E124" t="s">
        <v>110</v>
      </c>
      <c r="H124" s="53">
        <f>DATE(K124,10,12)</f>
        <v>45942</v>
      </c>
      <c r="I124" s="54">
        <f t="shared" si="5"/>
        <v>45942</v>
      </c>
      <c r="J124" t="s">
        <v>125</v>
      </c>
      <c r="K124">
        <f t="shared" si="10"/>
        <v>2025</v>
      </c>
      <c r="L124" t="s">
        <v>110</v>
      </c>
    </row>
    <row r="125" spans="1:12" x14ac:dyDescent="0.3">
      <c r="A125" s="53">
        <f>DATE(D125,5,1)+(14-WEEKDAY(DATE(D125,5,1),2))</f>
        <v>45788</v>
      </c>
      <c r="B125" s="54">
        <f t="shared" si="4"/>
        <v>45788</v>
      </c>
      <c r="C125" t="s">
        <v>118</v>
      </c>
      <c r="D125">
        <f t="shared" si="11"/>
        <v>2025</v>
      </c>
      <c r="E125" t="s">
        <v>110</v>
      </c>
      <c r="H125" s="53">
        <f>DATE(K125,11,2)</f>
        <v>45963</v>
      </c>
      <c r="I125" s="54">
        <f t="shared" si="5"/>
        <v>45963</v>
      </c>
      <c r="J125" t="s">
        <v>126</v>
      </c>
      <c r="K125">
        <f t="shared" si="10"/>
        <v>2025</v>
      </c>
      <c r="L125" t="s">
        <v>110</v>
      </c>
    </row>
    <row r="126" spans="1:12" x14ac:dyDescent="0.3">
      <c r="A126" s="53">
        <f>A121+60</f>
        <v>45827</v>
      </c>
      <c r="B126" s="54">
        <f t="shared" si="4"/>
        <v>45827</v>
      </c>
      <c r="C126" t="s">
        <v>119</v>
      </c>
      <c r="D126">
        <f t="shared" si="11"/>
        <v>2025</v>
      </c>
      <c r="E126" t="s">
        <v>110</v>
      </c>
      <c r="H126" s="53">
        <f>DATE(K126,11,15)</f>
        <v>45976</v>
      </c>
      <c r="I126" s="54">
        <f t="shared" si="5"/>
        <v>45976</v>
      </c>
      <c r="J126" t="s">
        <v>127</v>
      </c>
      <c r="K126">
        <f t="shared" si="10"/>
        <v>2025</v>
      </c>
      <c r="L126" t="s">
        <v>110</v>
      </c>
    </row>
    <row r="127" spans="1:12" x14ac:dyDescent="0.3">
      <c r="A127" s="53">
        <f>DATE(D127,7,9)</f>
        <v>45847</v>
      </c>
      <c r="B127" s="54">
        <f t="shared" si="4"/>
        <v>45847</v>
      </c>
      <c r="C127" t="s">
        <v>120</v>
      </c>
      <c r="D127">
        <f t="shared" si="11"/>
        <v>2025</v>
      </c>
      <c r="E127" t="s">
        <v>121</v>
      </c>
      <c r="H127" s="53">
        <f>DATE(K127,11,20)</f>
        <v>45981</v>
      </c>
      <c r="I127" s="54">
        <f t="shared" si="5"/>
        <v>45981</v>
      </c>
      <c r="J127" t="s">
        <v>128</v>
      </c>
      <c r="K127">
        <f t="shared" si="10"/>
        <v>2025</v>
      </c>
      <c r="L127" t="s">
        <v>110</v>
      </c>
    </row>
    <row r="128" spans="1:12" x14ac:dyDescent="0.3">
      <c r="A128" s="53">
        <f>DATE(D128,8,8)</f>
        <v>45877</v>
      </c>
      <c r="B128" s="54">
        <f t="shared" si="4"/>
        <v>45877</v>
      </c>
      <c r="C128" t="s">
        <v>122</v>
      </c>
      <c r="D128">
        <f t="shared" si="11"/>
        <v>2025</v>
      </c>
      <c r="E128" t="s">
        <v>115</v>
      </c>
      <c r="H128" s="53">
        <f>DATE(K128,12,25)</f>
        <v>46016</v>
      </c>
      <c r="I128" s="54">
        <f t="shared" si="5"/>
        <v>46016</v>
      </c>
      <c r="J128" t="s">
        <v>129</v>
      </c>
      <c r="K128">
        <f t="shared" si="10"/>
        <v>2025</v>
      </c>
      <c r="L128" t="s">
        <v>110</v>
      </c>
    </row>
    <row r="129" spans="1:12" x14ac:dyDescent="0.3">
      <c r="A129" s="53">
        <f>DATE(D129,8,1)+(14-WEEKDAY(DATE(D129,8,1),2))</f>
        <v>45879</v>
      </c>
      <c r="B129" s="54">
        <f t="shared" si="4"/>
        <v>45879</v>
      </c>
      <c r="C129" t="s">
        <v>123</v>
      </c>
      <c r="D129">
        <f t="shared" si="11"/>
        <v>2025</v>
      </c>
      <c r="E129" t="s">
        <v>110</v>
      </c>
      <c r="H129" s="53">
        <f>DATE(K129,1,1)</f>
        <v>46023</v>
      </c>
      <c r="I129" s="54">
        <f t="shared" si="5"/>
        <v>46023</v>
      </c>
      <c r="J129" t="s">
        <v>109</v>
      </c>
      <c r="K129">
        <f>K111+1</f>
        <v>2026</v>
      </c>
      <c r="L129" t="s">
        <v>110</v>
      </c>
    </row>
    <row r="130" spans="1:12" x14ac:dyDescent="0.3">
      <c r="A130" s="53">
        <f>DATE(D130,9,7)</f>
        <v>45907</v>
      </c>
      <c r="B130" s="54">
        <f t="shared" si="4"/>
        <v>45907</v>
      </c>
      <c r="C130" t="s">
        <v>124</v>
      </c>
      <c r="D130">
        <f t="shared" si="11"/>
        <v>2025</v>
      </c>
      <c r="E130" t="s">
        <v>110</v>
      </c>
      <c r="H130" s="53">
        <f>H133-48</f>
        <v>46069</v>
      </c>
      <c r="I130" s="54">
        <f t="shared" si="5"/>
        <v>46069</v>
      </c>
      <c r="J130" t="s">
        <v>111</v>
      </c>
      <c r="K130">
        <f t="shared" si="10"/>
        <v>2026</v>
      </c>
      <c r="L130" t="s">
        <v>110</v>
      </c>
    </row>
    <row r="131" spans="1:12" x14ac:dyDescent="0.3">
      <c r="A131" s="53">
        <f>DATE(D131,10,12)</f>
        <v>45942</v>
      </c>
      <c r="B131" s="54">
        <f t="shared" ref="B131:B194" si="12">A131</f>
        <v>45942</v>
      </c>
      <c r="C131" t="s">
        <v>125</v>
      </c>
      <c r="D131">
        <f t="shared" si="11"/>
        <v>2025</v>
      </c>
      <c r="E131" t="s">
        <v>110</v>
      </c>
      <c r="H131" s="53">
        <f>H133-47</f>
        <v>46070</v>
      </c>
      <c r="I131" s="54">
        <f t="shared" si="5"/>
        <v>46070</v>
      </c>
      <c r="J131" t="s">
        <v>111</v>
      </c>
      <c r="K131">
        <f t="shared" si="10"/>
        <v>2026</v>
      </c>
      <c r="L131" t="s">
        <v>110</v>
      </c>
    </row>
    <row r="132" spans="1:12" x14ac:dyDescent="0.3">
      <c r="A132" s="53">
        <f>DATE(D132,11,2)</f>
        <v>45963</v>
      </c>
      <c r="B132" s="54">
        <f t="shared" si="12"/>
        <v>45963</v>
      </c>
      <c r="C132" t="s">
        <v>126</v>
      </c>
      <c r="D132">
        <f t="shared" si="11"/>
        <v>2025</v>
      </c>
      <c r="E132" t="s">
        <v>110</v>
      </c>
      <c r="H132" s="53">
        <f>H133-2</f>
        <v>46115</v>
      </c>
      <c r="I132" s="54">
        <f t="shared" si="5"/>
        <v>46115</v>
      </c>
      <c r="J132" t="s">
        <v>112</v>
      </c>
      <c r="K132">
        <f t="shared" si="10"/>
        <v>2026</v>
      </c>
      <c r="L132" t="s">
        <v>110</v>
      </c>
    </row>
    <row r="133" spans="1:12" x14ac:dyDescent="0.3">
      <c r="A133" s="53">
        <f>DATE(D133,11,15)</f>
        <v>45976</v>
      </c>
      <c r="B133" s="54">
        <f t="shared" si="12"/>
        <v>45976</v>
      </c>
      <c r="C133" t="s">
        <v>127</v>
      </c>
      <c r="D133">
        <f t="shared" si="11"/>
        <v>2025</v>
      </c>
      <c r="E133" t="s">
        <v>110</v>
      </c>
      <c r="H133" s="53">
        <f>FLOOR(DAY(MINUTE(K133/38)/2+56)&amp;"/5"&amp;"/"&amp;K133,7)-34</f>
        <v>46117</v>
      </c>
      <c r="I133" s="54">
        <f t="shared" si="5"/>
        <v>46117</v>
      </c>
      <c r="J133" t="s">
        <v>113</v>
      </c>
      <c r="K133">
        <f t="shared" si="10"/>
        <v>2026</v>
      </c>
      <c r="L133" t="s">
        <v>110</v>
      </c>
    </row>
    <row r="134" spans="1:12" x14ac:dyDescent="0.3">
      <c r="A134" s="53">
        <f>DATE(D134,11,20)</f>
        <v>45981</v>
      </c>
      <c r="B134" s="54">
        <f t="shared" si="12"/>
        <v>45981</v>
      </c>
      <c r="C134" t="s">
        <v>128</v>
      </c>
      <c r="D134">
        <f t="shared" si="11"/>
        <v>2025</v>
      </c>
      <c r="E134" t="s">
        <v>110</v>
      </c>
      <c r="H134" s="53">
        <f>DATE(K134,4,21)</f>
        <v>46133</v>
      </c>
      <c r="I134" s="54">
        <f t="shared" si="5"/>
        <v>46133</v>
      </c>
      <c r="J134" t="s">
        <v>116</v>
      </c>
      <c r="K134">
        <f t="shared" si="10"/>
        <v>2026</v>
      </c>
      <c r="L134" t="s">
        <v>110</v>
      </c>
    </row>
    <row r="135" spans="1:12" x14ac:dyDescent="0.3">
      <c r="A135" s="53">
        <f>DATE(D135,12,25)</f>
        <v>46016</v>
      </c>
      <c r="B135" s="54">
        <f t="shared" si="12"/>
        <v>46016</v>
      </c>
      <c r="C135" t="s">
        <v>129</v>
      </c>
      <c r="D135">
        <f t="shared" si="11"/>
        <v>2025</v>
      </c>
      <c r="E135" t="s">
        <v>110</v>
      </c>
      <c r="H135" s="53">
        <f>DATE(K135,5,1)</f>
        <v>46143</v>
      </c>
      <c r="I135" s="54">
        <f t="shared" si="5"/>
        <v>46143</v>
      </c>
      <c r="J135" t="s">
        <v>117</v>
      </c>
      <c r="K135">
        <f t="shared" si="10"/>
        <v>2026</v>
      </c>
      <c r="L135" t="s">
        <v>110</v>
      </c>
    </row>
    <row r="136" spans="1:12" x14ac:dyDescent="0.3">
      <c r="A136" s="53">
        <f>DATE(D136,1,1)</f>
        <v>46023</v>
      </c>
      <c r="B136" s="54">
        <f t="shared" si="12"/>
        <v>46023</v>
      </c>
      <c r="C136" t="s">
        <v>109</v>
      </c>
      <c r="D136">
        <f>D117+1</f>
        <v>2026</v>
      </c>
      <c r="E136" t="s">
        <v>110</v>
      </c>
      <c r="H136" s="53">
        <f>DATE(K136,5,1)+(14-WEEKDAY(DATE(K136,5,1),2))</f>
        <v>46152</v>
      </c>
      <c r="I136" s="54">
        <f t="shared" ref="I136:I199" si="13">H136</f>
        <v>46152</v>
      </c>
      <c r="J136" t="s">
        <v>118</v>
      </c>
      <c r="K136">
        <f t="shared" si="10"/>
        <v>2026</v>
      </c>
      <c r="L136" t="s">
        <v>110</v>
      </c>
    </row>
    <row r="137" spans="1:12" x14ac:dyDescent="0.3">
      <c r="A137" s="53">
        <f>A140-48</f>
        <v>46069</v>
      </c>
      <c r="B137" s="54">
        <f t="shared" si="12"/>
        <v>46069</v>
      </c>
      <c r="C137" t="s">
        <v>111</v>
      </c>
      <c r="D137">
        <f t="shared" ref="D137:D200" si="14">D118+1</f>
        <v>2026</v>
      </c>
      <c r="E137" t="s">
        <v>110</v>
      </c>
      <c r="H137" s="53">
        <f>H133+60</f>
        <v>46177</v>
      </c>
      <c r="I137" s="54">
        <f t="shared" si="13"/>
        <v>46177</v>
      </c>
      <c r="J137" t="s">
        <v>119</v>
      </c>
      <c r="K137">
        <f t="shared" si="10"/>
        <v>2026</v>
      </c>
      <c r="L137" t="s">
        <v>110</v>
      </c>
    </row>
    <row r="138" spans="1:12" x14ac:dyDescent="0.3">
      <c r="A138" s="53">
        <f>A140-47</f>
        <v>46070</v>
      </c>
      <c r="B138" s="54">
        <f t="shared" si="12"/>
        <v>46070</v>
      </c>
      <c r="C138" t="s">
        <v>111</v>
      </c>
      <c r="D138">
        <f t="shared" si="14"/>
        <v>2026</v>
      </c>
      <c r="E138" t="s">
        <v>110</v>
      </c>
      <c r="H138" s="53">
        <f>DATE(K138,6,19)</f>
        <v>46192</v>
      </c>
      <c r="I138" s="54">
        <f t="shared" si="13"/>
        <v>46192</v>
      </c>
      <c r="J138" t="s">
        <v>114</v>
      </c>
      <c r="K138">
        <f t="shared" si="10"/>
        <v>2026</v>
      </c>
      <c r="L138" t="s">
        <v>115</v>
      </c>
    </row>
    <row r="139" spans="1:12" x14ac:dyDescent="0.3">
      <c r="A139" s="53">
        <f>A140-2</f>
        <v>46115</v>
      </c>
      <c r="B139" s="54">
        <f t="shared" si="12"/>
        <v>46115</v>
      </c>
      <c r="C139" t="s">
        <v>112</v>
      </c>
      <c r="D139">
        <f t="shared" si="14"/>
        <v>2026</v>
      </c>
      <c r="E139" t="s">
        <v>110</v>
      </c>
      <c r="H139" s="53">
        <f>DATE(K139,7,9)</f>
        <v>46212</v>
      </c>
      <c r="I139" s="54">
        <f t="shared" si="13"/>
        <v>46212</v>
      </c>
      <c r="J139" t="s">
        <v>120</v>
      </c>
      <c r="K139">
        <f t="shared" si="10"/>
        <v>2026</v>
      </c>
      <c r="L139" t="s">
        <v>121</v>
      </c>
    </row>
    <row r="140" spans="1:12" x14ac:dyDescent="0.3">
      <c r="A140" s="53">
        <f>FLOOR(DAY(MINUTE(D140/38)/2+56)&amp;"/5"&amp;"/"&amp;D140,7)-34</f>
        <v>46117</v>
      </c>
      <c r="B140" s="54">
        <f t="shared" si="12"/>
        <v>46117</v>
      </c>
      <c r="C140" t="s">
        <v>113</v>
      </c>
      <c r="D140">
        <f t="shared" si="14"/>
        <v>2026</v>
      </c>
      <c r="E140" t="s">
        <v>110</v>
      </c>
      <c r="H140" s="53">
        <f>DATE(K140,8,1)+(14-WEEKDAY(DATE(K140,8,1),2))</f>
        <v>46243</v>
      </c>
      <c r="I140" s="54">
        <f t="shared" si="13"/>
        <v>46243</v>
      </c>
      <c r="J140" t="s">
        <v>123</v>
      </c>
      <c r="K140">
        <f t="shared" si="10"/>
        <v>2026</v>
      </c>
      <c r="L140" t="s">
        <v>110</v>
      </c>
    </row>
    <row r="141" spans="1:12" x14ac:dyDescent="0.3">
      <c r="A141" s="53">
        <f>DATE(D141,4,14)</f>
        <v>46126</v>
      </c>
      <c r="B141" s="54">
        <f t="shared" si="12"/>
        <v>46126</v>
      </c>
      <c r="C141" t="s">
        <v>114</v>
      </c>
      <c r="D141">
        <f t="shared" si="14"/>
        <v>2026</v>
      </c>
      <c r="E141" t="s">
        <v>115</v>
      </c>
      <c r="H141" s="53">
        <f>DATE(K141,9,7)</f>
        <v>46272</v>
      </c>
      <c r="I141" s="54">
        <f t="shared" si="13"/>
        <v>46272</v>
      </c>
      <c r="J141" t="s">
        <v>124</v>
      </c>
      <c r="K141">
        <f t="shared" si="10"/>
        <v>2026</v>
      </c>
      <c r="L141" t="s">
        <v>110</v>
      </c>
    </row>
    <row r="142" spans="1:12" x14ac:dyDescent="0.3">
      <c r="A142" s="53">
        <f>DATE(D142,4,21)</f>
        <v>46133</v>
      </c>
      <c r="B142" s="54">
        <f t="shared" si="12"/>
        <v>46133</v>
      </c>
      <c r="C142" t="s">
        <v>116</v>
      </c>
      <c r="D142">
        <f t="shared" si="14"/>
        <v>2026</v>
      </c>
      <c r="E142" t="s">
        <v>110</v>
      </c>
      <c r="H142" s="53">
        <f>DATE(K142,10,12)</f>
        <v>46307</v>
      </c>
      <c r="I142" s="54">
        <f t="shared" si="13"/>
        <v>46307</v>
      </c>
      <c r="J142" t="s">
        <v>125</v>
      </c>
      <c r="K142">
        <f t="shared" si="10"/>
        <v>2026</v>
      </c>
      <c r="L142" t="s">
        <v>110</v>
      </c>
    </row>
    <row r="143" spans="1:12" x14ac:dyDescent="0.3">
      <c r="A143" s="53">
        <f>DATE(D143,5,1)</f>
        <v>46143</v>
      </c>
      <c r="B143" s="54">
        <f t="shared" si="12"/>
        <v>46143</v>
      </c>
      <c r="C143" t="s">
        <v>117</v>
      </c>
      <c r="D143">
        <f t="shared" si="14"/>
        <v>2026</v>
      </c>
      <c r="E143" t="s">
        <v>110</v>
      </c>
      <c r="H143" s="53">
        <f>DATE(K143,11,2)</f>
        <v>46328</v>
      </c>
      <c r="I143" s="54">
        <f t="shared" si="13"/>
        <v>46328</v>
      </c>
      <c r="J143" t="s">
        <v>126</v>
      </c>
      <c r="K143">
        <f t="shared" si="10"/>
        <v>2026</v>
      </c>
      <c r="L143" t="s">
        <v>110</v>
      </c>
    </row>
    <row r="144" spans="1:12" x14ac:dyDescent="0.3">
      <c r="A144" s="53">
        <f>DATE(D144,5,1)+(14-WEEKDAY(DATE(D144,5,1),2))</f>
        <v>46152</v>
      </c>
      <c r="B144" s="54">
        <f t="shared" si="12"/>
        <v>46152</v>
      </c>
      <c r="C144" t="s">
        <v>118</v>
      </c>
      <c r="D144">
        <f t="shared" si="14"/>
        <v>2026</v>
      </c>
      <c r="E144" t="s">
        <v>110</v>
      </c>
      <c r="H144" s="53">
        <f>DATE(K144,11,15)</f>
        <v>46341</v>
      </c>
      <c r="I144" s="54">
        <f t="shared" si="13"/>
        <v>46341</v>
      </c>
      <c r="J144" t="s">
        <v>127</v>
      </c>
      <c r="K144">
        <f t="shared" si="10"/>
        <v>2026</v>
      </c>
      <c r="L144" t="s">
        <v>110</v>
      </c>
    </row>
    <row r="145" spans="1:12" x14ac:dyDescent="0.3">
      <c r="A145" s="53">
        <f>A140+60</f>
        <v>46177</v>
      </c>
      <c r="B145" s="54">
        <f t="shared" si="12"/>
        <v>46177</v>
      </c>
      <c r="C145" t="s">
        <v>119</v>
      </c>
      <c r="D145">
        <f t="shared" si="14"/>
        <v>2026</v>
      </c>
      <c r="E145" t="s">
        <v>110</v>
      </c>
      <c r="H145" s="53">
        <f>DATE(K145,11,20)</f>
        <v>46346</v>
      </c>
      <c r="I145" s="54">
        <f t="shared" si="13"/>
        <v>46346</v>
      </c>
      <c r="J145" t="s">
        <v>128</v>
      </c>
      <c r="K145">
        <f t="shared" si="10"/>
        <v>2026</v>
      </c>
      <c r="L145" t="s">
        <v>110</v>
      </c>
    </row>
    <row r="146" spans="1:12" x14ac:dyDescent="0.3">
      <c r="A146" s="53">
        <f>DATE(D146,7,9)</f>
        <v>46212</v>
      </c>
      <c r="B146" s="54">
        <f t="shared" si="12"/>
        <v>46212</v>
      </c>
      <c r="C146" t="s">
        <v>120</v>
      </c>
      <c r="D146">
        <f t="shared" si="14"/>
        <v>2026</v>
      </c>
      <c r="E146" t="s">
        <v>121</v>
      </c>
      <c r="H146" s="53">
        <f>DATE(K146,12,25)</f>
        <v>46381</v>
      </c>
      <c r="I146" s="54">
        <f t="shared" si="13"/>
        <v>46381</v>
      </c>
      <c r="J146" t="s">
        <v>129</v>
      </c>
      <c r="K146">
        <f t="shared" si="10"/>
        <v>2026</v>
      </c>
      <c r="L146" t="s">
        <v>110</v>
      </c>
    </row>
    <row r="147" spans="1:12" x14ac:dyDescent="0.3">
      <c r="A147" s="53">
        <f>DATE(D147,8,8)</f>
        <v>46242</v>
      </c>
      <c r="B147" s="54">
        <f t="shared" si="12"/>
        <v>46242</v>
      </c>
      <c r="C147" t="s">
        <v>122</v>
      </c>
      <c r="D147">
        <f t="shared" si="14"/>
        <v>2026</v>
      </c>
      <c r="E147" t="s">
        <v>115</v>
      </c>
      <c r="H147" s="53">
        <f>DATE(K147,1,1)</f>
        <v>46388</v>
      </c>
      <c r="I147" s="54">
        <f t="shared" si="13"/>
        <v>46388</v>
      </c>
      <c r="J147" t="s">
        <v>109</v>
      </c>
      <c r="K147">
        <f>K129+1</f>
        <v>2027</v>
      </c>
      <c r="L147" t="s">
        <v>110</v>
      </c>
    </row>
    <row r="148" spans="1:12" x14ac:dyDescent="0.3">
      <c r="A148" s="53">
        <f>DATE(D148,8,1)+(14-WEEKDAY(DATE(D148,8,1),2))</f>
        <v>46243</v>
      </c>
      <c r="B148" s="54">
        <f t="shared" si="12"/>
        <v>46243</v>
      </c>
      <c r="C148" t="s">
        <v>123</v>
      </c>
      <c r="D148">
        <f t="shared" si="14"/>
        <v>2026</v>
      </c>
      <c r="E148" t="s">
        <v>110</v>
      </c>
      <c r="H148" s="53">
        <f>H151-48</f>
        <v>46426</v>
      </c>
      <c r="I148" s="54">
        <f t="shared" si="13"/>
        <v>46426</v>
      </c>
      <c r="J148" t="s">
        <v>111</v>
      </c>
      <c r="K148">
        <f t="shared" si="10"/>
        <v>2027</v>
      </c>
      <c r="L148" t="s">
        <v>110</v>
      </c>
    </row>
    <row r="149" spans="1:12" x14ac:dyDescent="0.3">
      <c r="A149" s="53">
        <f>DATE(D149,9,7)</f>
        <v>46272</v>
      </c>
      <c r="B149" s="54">
        <f t="shared" si="12"/>
        <v>46272</v>
      </c>
      <c r="C149" t="s">
        <v>124</v>
      </c>
      <c r="D149">
        <f t="shared" si="14"/>
        <v>2026</v>
      </c>
      <c r="E149" t="s">
        <v>110</v>
      </c>
      <c r="H149" s="53">
        <f>H151-47</f>
        <v>46427</v>
      </c>
      <c r="I149" s="54">
        <f t="shared" si="13"/>
        <v>46427</v>
      </c>
      <c r="J149" t="s">
        <v>111</v>
      </c>
      <c r="K149">
        <f t="shared" si="10"/>
        <v>2027</v>
      </c>
      <c r="L149" t="s">
        <v>110</v>
      </c>
    </row>
    <row r="150" spans="1:12" x14ac:dyDescent="0.3">
      <c r="A150" s="53">
        <f>DATE(D150,10,12)</f>
        <v>46307</v>
      </c>
      <c r="B150" s="54">
        <f t="shared" si="12"/>
        <v>46307</v>
      </c>
      <c r="C150" t="s">
        <v>125</v>
      </c>
      <c r="D150">
        <f t="shared" si="14"/>
        <v>2026</v>
      </c>
      <c r="E150" t="s">
        <v>110</v>
      </c>
      <c r="H150" s="53">
        <f>H151-2</f>
        <v>46472</v>
      </c>
      <c r="I150" s="54">
        <f t="shared" si="13"/>
        <v>46472</v>
      </c>
      <c r="J150" t="s">
        <v>112</v>
      </c>
      <c r="K150">
        <f t="shared" si="10"/>
        <v>2027</v>
      </c>
      <c r="L150" t="s">
        <v>110</v>
      </c>
    </row>
    <row r="151" spans="1:12" x14ac:dyDescent="0.3">
      <c r="A151" s="53">
        <f>DATE(D151,11,2)</f>
        <v>46328</v>
      </c>
      <c r="B151" s="54">
        <f t="shared" si="12"/>
        <v>46328</v>
      </c>
      <c r="C151" t="s">
        <v>126</v>
      </c>
      <c r="D151">
        <f t="shared" si="14"/>
        <v>2026</v>
      </c>
      <c r="E151" t="s">
        <v>110</v>
      </c>
      <c r="H151" s="53">
        <f>FLOOR(DAY(MINUTE(K151/38)/2+56)&amp;"/5"&amp;"/"&amp;K151,7)-34</f>
        <v>46474</v>
      </c>
      <c r="I151" s="54">
        <f t="shared" si="13"/>
        <v>46474</v>
      </c>
      <c r="J151" t="s">
        <v>113</v>
      </c>
      <c r="K151">
        <f t="shared" si="10"/>
        <v>2027</v>
      </c>
      <c r="L151" t="s">
        <v>110</v>
      </c>
    </row>
    <row r="152" spans="1:12" x14ac:dyDescent="0.3">
      <c r="A152" s="53">
        <f>DATE(D152,11,15)</f>
        <v>46341</v>
      </c>
      <c r="B152" s="54">
        <f t="shared" si="12"/>
        <v>46341</v>
      </c>
      <c r="C152" t="s">
        <v>127</v>
      </c>
      <c r="D152">
        <f t="shared" si="14"/>
        <v>2026</v>
      </c>
      <c r="E152" t="s">
        <v>110</v>
      </c>
      <c r="H152" s="53">
        <f>DATE(K152,4,21)</f>
        <v>46498</v>
      </c>
      <c r="I152" s="54">
        <f t="shared" si="13"/>
        <v>46498</v>
      </c>
      <c r="J152" t="s">
        <v>116</v>
      </c>
      <c r="K152">
        <f t="shared" si="10"/>
        <v>2027</v>
      </c>
      <c r="L152" t="s">
        <v>110</v>
      </c>
    </row>
    <row r="153" spans="1:12" x14ac:dyDescent="0.3">
      <c r="A153" s="53">
        <f>DATE(D153,11,20)</f>
        <v>46346</v>
      </c>
      <c r="B153" s="54">
        <f t="shared" si="12"/>
        <v>46346</v>
      </c>
      <c r="C153" t="s">
        <v>128</v>
      </c>
      <c r="D153">
        <f t="shared" si="14"/>
        <v>2026</v>
      </c>
      <c r="E153" t="s">
        <v>110</v>
      </c>
      <c r="H153" s="53">
        <f>DATE(K153,5,1)</f>
        <v>46508</v>
      </c>
      <c r="I153" s="54">
        <f t="shared" si="13"/>
        <v>46508</v>
      </c>
      <c r="J153" t="s">
        <v>117</v>
      </c>
      <c r="K153">
        <f t="shared" si="10"/>
        <v>2027</v>
      </c>
      <c r="L153" t="s">
        <v>110</v>
      </c>
    </row>
    <row r="154" spans="1:12" x14ac:dyDescent="0.3">
      <c r="A154" s="53">
        <f>DATE(D154,12,25)</f>
        <v>46381</v>
      </c>
      <c r="B154" s="54">
        <f t="shared" si="12"/>
        <v>46381</v>
      </c>
      <c r="C154" t="s">
        <v>129</v>
      </c>
      <c r="D154">
        <f t="shared" si="14"/>
        <v>2026</v>
      </c>
      <c r="E154" t="s">
        <v>110</v>
      </c>
      <c r="H154" s="53">
        <f>DATE(K154,5,1)+(14-WEEKDAY(DATE(K154,5,1),2))</f>
        <v>46516</v>
      </c>
      <c r="I154" s="54">
        <f t="shared" si="13"/>
        <v>46516</v>
      </c>
      <c r="J154" t="s">
        <v>118</v>
      </c>
      <c r="K154">
        <f t="shared" si="10"/>
        <v>2027</v>
      </c>
      <c r="L154" t="s">
        <v>110</v>
      </c>
    </row>
    <row r="155" spans="1:12" x14ac:dyDescent="0.3">
      <c r="A155" s="53">
        <f>DATE(D155,1,1)</f>
        <v>46388</v>
      </c>
      <c r="B155" s="54">
        <f t="shared" si="12"/>
        <v>46388</v>
      </c>
      <c r="C155" t="s">
        <v>109</v>
      </c>
      <c r="D155">
        <f>D136+1</f>
        <v>2027</v>
      </c>
      <c r="E155" t="s">
        <v>110</v>
      </c>
      <c r="H155" s="53">
        <f>H151+60</f>
        <v>46534</v>
      </c>
      <c r="I155" s="54">
        <f t="shared" si="13"/>
        <v>46534</v>
      </c>
      <c r="J155" t="s">
        <v>119</v>
      </c>
      <c r="K155">
        <f t="shared" si="10"/>
        <v>2027</v>
      </c>
      <c r="L155" t="s">
        <v>110</v>
      </c>
    </row>
    <row r="156" spans="1:12" x14ac:dyDescent="0.3">
      <c r="A156" s="53">
        <f>A159-48</f>
        <v>46426</v>
      </c>
      <c r="B156" s="54">
        <f t="shared" si="12"/>
        <v>46426</v>
      </c>
      <c r="C156" t="s">
        <v>111</v>
      </c>
      <c r="D156">
        <f t="shared" si="14"/>
        <v>2027</v>
      </c>
      <c r="E156" t="s">
        <v>110</v>
      </c>
      <c r="H156" s="53">
        <f>DATE(K156,6,19)</f>
        <v>46557</v>
      </c>
      <c r="I156" s="54">
        <f t="shared" si="13"/>
        <v>46557</v>
      </c>
      <c r="J156" t="s">
        <v>114</v>
      </c>
      <c r="K156">
        <f t="shared" si="10"/>
        <v>2027</v>
      </c>
      <c r="L156" t="s">
        <v>115</v>
      </c>
    </row>
    <row r="157" spans="1:12" x14ac:dyDescent="0.3">
      <c r="A157" s="53">
        <f>A159-47</f>
        <v>46427</v>
      </c>
      <c r="B157" s="54">
        <f t="shared" si="12"/>
        <v>46427</v>
      </c>
      <c r="C157" t="s">
        <v>111</v>
      </c>
      <c r="D157">
        <f t="shared" si="14"/>
        <v>2027</v>
      </c>
      <c r="E157" t="s">
        <v>110</v>
      </c>
      <c r="H157" s="53">
        <f>DATE(K157,7,9)</f>
        <v>46577</v>
      </c>
      <c r="I157" s="54">
        <f t="shared" si="13"/>
        <v>46577</v>
      </c>
      <c r="J157" t="s">
        <v>120</v>
      </c>
      <c r="K157">
        <f t="shared" si="10"/>
        <v>2027</v>
      </c>
      <c r="L157" t="s">
        <v>121</v>
      </c>
    </row>
    <row r="158" spans="1:12" x14ac:dyDescent="0.3">
      <c r="A158" s="53">
        <f>A159-2</f>
        <v>46472</v>
      </c>
      <c r="B158" s="54">
        <f t="shared" si="12"/>
        <v>46472</v>
      </c>
      <c r="C158" t="s">
        <v>112</v>
      </c>
      <c r="D158">
        <f t="shared" si="14"/>
        <v>2027</v>
      </c>
      <c r="E158" t="s">
        <v>110</v>
      </c>
      <c r="H158" s="53">
        <f>DATE(K158,8,1)+(14-WEEKDAY(DATE(K158,8,1),2))</f>
        <v>46607</v>
      </c>
      <c r="I158" s="54">
        <f t="shared" si="13"/>
        <v>46607</v>
      </c>
      <c r="J158" t="s">
        <v>123</v>
      </c>
      <c r="K158">
        <f t="shared" si="10"/>
        <v>2027</v>
      </c>
      <c r="L158" t="s">
        <v>110</v>
      </c>
    </row>
    <row r="159" spans="1:12" x14ac:dyDescent="0.3">
      <c r="A159" s="53">
        <f>FLOOR(DAY(MINUTE(D159/38)/2+56)&amp;"/5"&amp;"/"&amp;D159,7)-34</f>
        <v>46474</v>
      </c>
      <c r="B159" s="54">
        <f t="shared" si="12"/>
        <v>46474</v>
      </c>
      <c r="C159" t="s">
        <v>113</v>
      </c>
      <c r="D159">
        <f t="shared" si="14"/>
        <v>2027</v>
      </c>
      <c r="E159" t="s">
        <v>110</v>
      </c>
      <c r="H159" s="53">
        <f>DATE(K159,9,7)</f>
        <v>46637</v>
      </c>
      <c r="I159" s="54">
        <f t="shared" si="13"/>
        <v>46637</v>
      </c>
      <c r="J159" t="s">
        <v>124</v>
      </c>
      <c r="K159">
        <f t="shared" si="10"/>
        <v>2027</v>
      </c>
      <c r="L159" t="s">
        <v>110</v>
      </c>
    </row>
    <row r="160" spans="1:12" x14ac:dyDescent="0.3">
      <c r="A160" s="53">
        <f>DATE(D160,4,14)</f>
        <v>46491</v>
      </c>
      <c r="B160" s="54">
        <f t="shared" si="12"/>
        <v>46491</v>
      </c>
      <c r="C160" t="s">
        <v>114</v>
      </c>
      <c r="D160">
        <f t="shared" si="14"/>
        <v>2027</v>
      </c>
      <c r="E160" t="s">
        <v>115</v>
      </c>
      <c r="H160" s="53">
        <f>DATE(K160,10,12)</f>
        <v>46672</v>
      </c>
      <c r="I160" s="54">
        <f t="shared" si="13"/>
        <v>46672</v>
      </c>
      <c r="J160" t="s">
        <v>125</v>
      </c>
      <c r="K160">
        <f t="shared" si="10"/>
        <v>2027</v>
      </c>
      <c r="L160" t="s">
        <v>110</v>
      </c>
    </row>
    <row r="161" spans="1:12" x14ac:dyDescent="0.3">
      <c r="A161" s="53">
        <f>DATE(D161,4,21)</f>
        <v>46498</v>
      </c>
      <c r="B161" s="54">
        <f t="shared" si="12"/>
        <v>46498</v>
      </c>
      <c r="C161" t="s">
        <v>116</v>
      </c>
      <c r="D161">
        <f t="shared" si="14"/>
        <v>2027</v>
      </c>
      <c r="E161" t="s">
        <v>110</v>
      </c>
      <c r="H161" s="53">
        <f>DATE(K161,11,2)</f>
        <v>46693</v>
      </c>
      <c r="I161" s="54">
        <f t="shared" si="13"/>
        <v>46693</v>
      </c>
      <c r="J161" t="s">
        <v>126</v>
      </c>
      <c r="K161">
        <f t="shared" si="10"/>
        <v>2027</v>
      </c>
      <c r="L161" t="s">
        <v>110</v>
      </c>
    </row>
    <row r="162" spans="1:12" x14ac:dyDescent="0.3">
      <c r="A162" s="53">
        <f>DATE(D162,5,1)</f>
        <v>46508</v>
      </c>
      <c r="B162" s="54">
        <f t="shared" si="12"/>
        <v>46508</v>
      </c>
      <c r="C162" t="s">
        <v>117</v>
      </c>
      <c r="D162">
        <f t="shared" si="14"/>
        <v>2027</v>
      </c>
      <c r="E162" t="s">
        <v>110</v>
      </c>
      <c r="H162" s="53">
        <f>DATE(K162,11,15)</f>
        <v>46706</v>
      </c>
      <c r="I162" s="54">
        <f t="shared" si="13"/>
        <v>46706</v>
      </c>
      <c r="J162" t="s">
        <v>127</v>
      </c>
      <c r="K162">
        <f t="shared" si="10"/>
        <v>2027</v>
      </c>
      <c r="L162" t="s">
        <v>110</v>
      </c>
    </row>
    <row r="163" spans="1:12" x14ac:dyDescent="0.3">
      <c r="A163" s="53">
        <f>DATE(D163,5,1)+(14-WEEKDAY(DATE(D163,5,1),2))</f>
        <v>46516</v>
      </c>
      <c r="B163" s="54">
        <f t="shared" si="12"/>
        <v>46516</v>
      </c>
      <c r="C163" t="s">
        <v>118</v>
      </c>
      <c r="D163">
        <f t="shared" si="14"/>
        <v>2027</v>
      </c>
      <c r="E163" t="s">
        <v>110</v>
      </c>
      <c r="H163" s="53">
        <f>DATE(K163,11,20)</f>
        <v>46711</v>
      </c>
      <c r="I163" s="54">
        <f t="shared" si="13"/>
        <v>46711</v>
      </c>
      <c r="J163" t="s">
        <v>128</v>
      </c>
      <c r="K163">
        <f t="shared" si="10"/>
        <v>2027</v>
      </c>
      <c r="L163" t="s">
        <v>110</v>
      </c>
    </row>
    <row r="164" spans="1:12" x14ac:dyDescent="0.3">
      <c r="A164" s="53">
        <f>A159+60</f>
        <v>46534</v>
      </c>
      <c r="B164" s="54">
        <f t="shared" si="12"/>
        <v>46534</v>
      </c>
      <c r="C164" t="s">
        <v>119</v>
      </c>
      <c r="D164">
        <f t="shared" si="14"/>
        <v>2027</v>
      </c>
      <c r="E164" t="s">
        <v>110</v>
      </c>
      <c r="H164" s="53">
        <f>DATE(K164,12,25)</f>
        <v>46746</v>
      </c>
      <c r="I164" s="54">
        <f t="shared" si="13"/>
        <v>46746</v>
      </c>
      <c r="J164" t="s">
        <v>129</v>
      </c>
      <c r="K164">
        <f t="shared" si="10"/>
        <v>2027</v>
      </c>
      <c r="L164" t="s">
        <v>110</v>
      </c>
    </row>
    <row r="165" spans="1:12" x14ac:dyDescent="0.3">
      <c r="A165" s="53">
        <f>DATE(D165,7,9)</f>
        <v>46577</v>
      </c>
      <c r="B165" s="54">
        <f t="shared" si="12"/>
        <v>46577</v>
      </c>
      <c r="C165" t="s">
        <v>120</v>
      </c>
      <c r="D165">
        <f t="shared" si="14"/>
        <v>2027</v>
      </c>
      <c r="E165" t="s">
        <v>121</v>
      </c>
      <c r="H165" s="53">
        <f>DATE(K165,1,1)</f>
        <v>46753</v>
      </c>
      <c r="I165" s="54">
        <f t="shared" si="13"/>
        <v>46753</v>
      </c>
      <c r="J165" t="s">
        <v>109</v>
      </c>
      <c r="K165">
        <f>K147+1</f>
        <v>2028</v>
      </c>
      <c r="L165" t="s">
        <v>110</v>
      </c>
    </row>
    <row r="166" spans="1:12" x14ac:dyDescent="0.3">
      <c r="A166" s="53">
        <f>DATE(D166,8,8)</f>
        <v>46607</v>
      </c>
      <c r="B166" s="54">
        <f t="shared" si="12"/>
        <v>46607</v>
      </c>
      <c r="C166" t="s">
        <v>122</v>
      </c>
      <c r="D166">
        <f t="shared" si="14"/>
        <v>2027</v>
      </c>
      <c r="E166" t="s">
        <v>115</v>
      </c>
      <c r="H166" s="53">
        <f>H169-48</f>
        <v>46811</v>
      </c>
      <c r="I166" s="54">
        <f t="shared" si="13"/>
        <v>46811</v>
      </c>
      <c r="J166" t="s">
        <v>111</v>
      </c>
      <c r="K166">
        <f t="shared" si="10"/>
        <v>2028</v>
      </c>
      <c r="L166" t="s">
        <v>110</v>
      </c>
    </row>
    <row r="167" spans="1:12" x14ac:dyDescent="0.3">
      <c r="A167" s="53">
        <f>DATE(D167,8,1)+(14-WEEKDAY(DATE(D167,8,1),2))</f>
        <v>46607</v>
      </c>
      <c r="B167" s="54">
        <f t="shared" si="12"/>
        <v>46607</v>
      </c>
      <c r="C167" t="s">
        <v>123</v>
      </c>
      <c r="D167">
        <f t="shared" si="14"/>
        <v>2027</v>
      </c>
      <c r="E167" t="s">
        <v>110</v>
      </c>
      <c r="H167" s="53">
        <f>H169-47</f>
        <v>46812</v>
      </c>
      <c r="I167" s="54">
        <f t="shared" si="13"/>
        <v>46812</v>
      </c>
      <c r="J167" t="s">
        <v>111</v>
      </c>
      <c r="K167">
        <f t="shared" si="10"/>
        <v>2028</v>
      </c>
      <c r="L167" t="s">
        <v>110</v>
      </c>
    </row>
    <row r="168" spans="1:12" x14ac:dyDescent="0.3">
      <c r="A168" s="53">
        <f>DATE(D168,9,7)</f>
        <v>46637</v>
      </c>
      <c r="B168" s="54">
        <f t="shared" si="12"/>
        <v>46637</v>
      </c>
      <c r="C168" t="s">
        <v>124</v>
      </c>
      <c r="D168">
        <f t="shared" si="14"/>
        <v>2027</v>
      </c>
      <c r="E168" t="s">
        <v>110</v>
      </c>
      <c r="H168" s="53">
        <f>H169-2</f>
        <v>46857</v>
      </c>
      <c r="I168" s="54">
        <f t="shared" si="13"/>
        <v>46857</v>
      </c>
      <c r="J168" t="s">
        <v>112</v>
      </c>
      <c r="K168">
        <f t="shared" si="10"/>
        <v>2028</v>
      </c>
      <c r="L168" t="s">
        <v>110</v>
      </c>
    </row>
    <row r="169" spans="1:12" x14ac:dyDescent="0.3">
      <c r="A169" s="53">
        <f>DATE(D169,10,12)</f>
        <v>46672</v>
      </c>
      <c r="B169" s="54">
        <f t="shared" si="12"/>
        <v>46672</v>
      </c>
      <c r="C169" t="s">
        <v>125</v>
      </c>
      <c r="D169">
        <f t="shared" si="14"/>
        <v>2027</v>
      </c>
      <c r="E169" t="s">
        <v>110</v>
      </c>
      <c r="H169" s="53">
        <f>FLOOR(DAY(MINUTE(K169/38)/2+56)&amp;"/5"&amp;"/"&amp;K169,7)-34</f>
        <v>46859</v>
      </c>
      <c r="I169" s="54">
        <f t="shared" si="13"/>
        <v>46859</v>
      </c>
      <c r="J169" t="s">
        <v>113</v>
      </c>
      <c r="K169">
        <f t="shared" si="10"/>
        <v>2028</v>
      </c>
      <c r="L169" t="s">
        <v>110</v>
      </c>
    </row>
    <row r="170" spans="1:12" x14ac:dyDescent="0.3">
      <c r="A170" s="53">
        <f>DATE(D170,11,2)</f>
        <v>46693</v>
      </c>
      <c r="B170" s="54">
        <f t="shared" si="12"/>
        <v>46693</v>
      </c>
      <c r="C170" t="s">
        <v>126</v>
      </c>
      <c r="D170">
        <f t="shared" si="14"/>
        <v>2027</v>
      </c>
      <c r="E170" t="s">
        <v>110</v>
      </c>
      <c r="H170" s="53">
        <f>DATE(K170,4,21)</f>
        <v>46864</v>
      </c>
      <c r="I170" s="54">
        <f t="shared" si="13"/>
        <v>46864</v>
      </c>
      <c r="J170" t="s">
        <v>116</v>
      </c>
      <c r="K170">
        <f t="shared" si="10"/>
        <v>2028</v>
      </c>
      <c r="L170" t="s">
        <v>110</v>
      </c>
    </row>
    <row r="171" spans="1:12" x14ac:dyDescent="0.3">
      <c r="A171" s="53">
        <f>DATE(D171,11,15)</f>
        <v>46706</v>
      </c>
      <c r="B171" s="54">
        <f t="shared" si="12"/>
        <v>46706</v>
      </c>
      <c r="C171" t="s">
        <v>127</v>
      </c>
      <c r="D171">
        <f t="shared" si="14"/>
        <v>2027</v>
      </c>
      <c r="E171" t="s">
        <v>110</v>
      </c>
      <c r="H171" s="53">
        <f>DATE(K171,5,1)</f>
        <v>46874</v>
      </c>
      <c r="I171" s="54">
        <f t="shared" si="13"/>
        <v>46874</v>
      </c>
      <c r="J171" t="s">
        <v>117</v>
      </c>
      <c r="K171">
        <f t="shared" si="10"/>
        <v>2028</v>
      </c>
      <c r="L171" t="s">
        <v>110</v>
      </c>
    </row>
    <row r="172" spans="1:12" x14ac:dyDescent="0.3">
      <c r="A172" s="53">
        <f>DATE(D172,11,20)</f>
        <v>46711</v>
      </c>
      <c r="B172" s="54">
        <f t="shared" si="12"/>
        <v>46711</v>
      </c>
      <c r="C172" t="s">
        <v>128</v>
      </c>
      <c r="D172">
        <f t="shared" si="14"/>
        <v>2027</v>
      </c>
      <c r="E172" t="s">
        <v>110</v>
      </c>
      <c r="H172" s="53">
        <f>DATE(K172,5,1)+(14-WEEKDAY(DATE(K172,5,1),2))</f>
        <v>46887</v>
      </c>
      <c r="I172" s="54">
        <f t="shared" si="13"/>
        <v>46887</v>
      </c>
      <c r="J172" t="s">
        <v>118</v>
      </c>
      <c r="K172">
        <f t="shared" si="10"/>
        <v>2028</v>
      </c>
      <c r="L172" t="s">
        <v>110</v>
      </c>
    </row>
    <row r="173" spans="1:12" x14ac:dyDescent="0.3">
      <c r="A173" s="53">
        <f>DATE(D173,12,25)</f>
        <v>46746</v>
      </c>
      <c r="B173" s="54">
        <f t="shared" si="12"/>
        <v>46746</v>
      </c>
      <c r="C173" t="s">
        <v>129</v>
      </c>
      <c r="D173">
        <f t="shared" si="14"/>
        <v>2027</v>
      </c>
      <c r="E173" t="s">
        <v>110</v>
      </c>
      <c r="H173" s="53">
        <f>H169+60</f>
        <v>46919</v>
      </c>
      <c r="I173" s="54">
        <f t="shared" si="13"/>
        <v>46919</v>
      </c>
      <c r="J173" t="s">
        <v>119</v>
      </c>
      <c r="K173">
        <f t="shared" si="10"/>
        <v>2028</v>
      </c>
      <c r="L173" t="s">
        <v>110</v>
      </c>
    </row>
    <row r="174" spans="1:12" x14ac:dyDescent="0.3">
      <c r="A174" s="53">
        <f>DATE(D174,1,1)</f>
        <v>46753</v>
      </c>
      <c r="B174" s="54">
        <f t="shared" si="12"/>
        <v>46753</v>
      </c>
      <c r="C174" t="s">
        <v>109</v>
      </c>
      <c r="D174">
        <f>D155+1</f>
        <v>2028</v>
      </c>
      <c r="E174" t="s">
        <v>110</v>
      </c>
      <c r="H174" s="53">
        <f>DATE(K174,6,19)</f>
        <v>46923</v>
      </c>
      <c r="I174" s="54">
        <f t="shared" si="13"/>
        <v>46923</v>
      </c>
      <c r="J174" t="s">
        <v>114</v>
      </c>
      <c r="K174">
        <f t="shared" si="10"/>
        <v>2028</v>
      </c>
      <c r="L174" t="s">
        <v>115</v>
      </c>
    </row>
    <row r="175" spans="1:12" x14ac:dyDescent="0.3">
      <c r="A175" s="53">
        <f>A178-48</f>
        <v>46811</v>
      </c>
      <c r="B175" s="54">
        <f t="shared" si="12"/>
        <v>46811</v>
      </c>
      <c r="C175" t="s">
        <v>111</v>
      </c>
      <c r="D175">
        <f t="shared" si="14"/>
        <v>2028</v>
      </c>
      <c r="E175" t="s">
        <v>110</v>
      </c>
      <c r="H175" s="53">
        <f>DATE(K175,7,9)</f>
        <v>46943</v>
      </c>
      <c r="I175" s="54">
        <f t="shared" si="13"/>
        <v>46943</v>
      </c>
      <c r="J175" t="s">
        <v>120</v>
      </c>
      <c r="K175">
        <f t="shared" si="10"/>
        <v>2028</v>
      </c>
      <c r="L175" t="s">
        <v>121</v>
      </c>
    </row>
    <row r="176" spans="1:12" x14ac:dyDescent="0.3">
      <c r="A176" s="53">
        <f>A178-47</f>
        <v>46812</v>
      </c>
      <c r="B176" s="54">
        <f t="shared" si="12"/>
        <v>46812</v>
      </c>
      <c r="C176" t="s">
        <v>111</v>
      </c>
      <c r="D176">
        <f t="shared" si="14"/>
        <v>2028</v>
      </c>
      <c r="E176" t="s">
        <v>110</v>
      </c>
      <c r="H176" s="53">
        <f>DATE(K176,8,1)+(14-WEEKDAY(DATE(K176,8,1),2))</f>
        <v>46978</v>
      </c>
      <c r="I176" s="54">
        <f t="shared" si="13"/>
        <v>46978</v>
      </c>
      <c r="J176" t="s">
        <v>123</v>
      </c>
      <c r="K176">
        <f t="shared" ref="K176:K182" si="15">K158+1</f>
        <v>2028</v>
      </c>
      <c r="L176" t="s">
        <v>110</v>
      </c>
    </row>
    <row r="177" spans="1:12" x14ac:dyDescent="0.3">
      <c r="A177" s="53">
        <f>A178-2</f>
        <v>46857</v>
      </c>
      <c r="B177" s="54">
        <f t="shared" si="12"/>
        <v>46857</v>
      </c>
      <c r="C177" t="s">
        <v>112</v>
      </c>
      <c r="D177">
        <f t="shared" si="14"/>
        <v>2028</v>
      </c>
      <c r="E177" t="s">
        <v>110</v>
      </c>
      <c r="H177" s="53">
        <f>DATE(K177,9,7)</f>
        <v>47003</v>
      </c>
      <c r="I177" s="54">
        <f t="shared" si="13"/>
        <v>47003</v>
      </c>
      <c r="J177" t="s">
        <v>124</v>
      </c>
      <c r="K177">
        <f t="shared" si="15"/>
        <v>2028</v>
      </c>
      <c r="L177" t="s">
        <v>110</v>
      </c>
    </row>
    <row r="178" spans="1:12" x14ac:dyDescent="0.3">
      <c r="A178" s="53">
        <f>FLOOR(DAY(MINUTE(D178/38)/2+56)&amp;"/5"&amp;"/"&amp;D178,7)-34</f>
        <v>46859</v>
      </c>
      <c r="B178" s="54">
        <f t="shared" si="12"/>
        <v>46859</v>
      </c>
      <c r="C178" t="s">
        <v>113</v>
      </c>
      <c r="D178">
        <f t="shared" si="14"/>
        <v>2028</v>
      </c>
      <c r="E178" t="s">
        <v>110</v>
      </c>
      <c r="H178" s="53">
        <f>DATE(K178,10,12)</f>
        <v>47038</v>
      </c>
      <c r="I178" s="54">
        <f t="shared" si="13"/>
        <v>47038</v>
      </c>
      <c r="J178" t="s">
        <v>125</v>
      </c>
      <c r="K178">
        <f t="shared" si="15"/>
        <v>2028</v>
      </c>
      <c r="L178" t="s">
        <v>110</v>
      </c>
    </row>
    <row r="179" spans="1:12" x14ac:dyDescent="0.3">
      <c r="A179" s="53">
        <f>DATE(D179,4,14)</f>
        <v>46857</v>
      </c>
      <c r="B179" s="54">
        <f t="shared" si="12"/>
        <v>46857</v>
      </c>
      <c r="C179" t="s">
        <v>114</v>
      </c>
      <c r="D179">
        <f t="shared" si="14"/>
        <v>2028</v>
      </c>
      <c r="E179" t="s">
        <v>115</v>
      </c>
      <c r="H179" s="53">
        <f>DATE(K179,11,2)</f>
        <v>47059</v>
      </c>
      <c r="I179" s="54">
        <f t="shared" si="13"/>
        <v>47059</v>
      </c>
      <c r="J179" t="s">
        <v>126</v>
      </c>
      <c r="K179">
        <f t="shared" si="15"/>
        <v>2028</v>
      </c>
      <c r="L179" t="s">
        <v>110</v>
      </c>
    </row>
    <row r="180" spans="1:12" x14ac:dyDescent="0.3">
      <c r="A180" s="53">
        <f>DATE(D180,4,21)</f>
        <v>46864</v>
      </c>
      <c r="B180" s="54">
        <f t="shared" si="12"/>
        <v>46864</v>
      </c>
      <c r="C180" t="s">
        <v>116</v>
      </c>
      <c r="D180">
        <f t="shared" si="14"/>
        <v>2028</v>
      </c>
      <c r="E180" t="s">
        <v>110</v>
      </c>
      <c r="H180" s="53">
        <f>DATE(K180,11,15)</f>
        <v>47072</v>
      </c>
      <c r="I180" s="54">
        <f t="shared" si="13"/>
        <v>47072</v>
      </c>
      <c r="J180" t="s">
        <v>127</v>
      </c>
      <c r="K180">
        <f t="shared" si="15"/>
        <v>2028</v>
      </c>
      <c r="L180" t="s">
        <v>110</v>
      </c>
    </row>
    <row r="181" spans="1:12" x14ac:dyDescent="0.3">
      <c r="A181" s="53">
        <f>DATE(D181,5,1)</f>
        <v>46874</v>
      </c>
      <c r="B181" s="54">
        <f t="shared" si="12"/>
        <v>46874</v>
      </c>
      <c r="C181" t="s">
        <v>117</v>
      </c>
      <c r="D181">
        <f t="shared" si="14"/>
        <v>2028</v>
      </c>
      <c r="E181" t="s">
        <v>110</v>
      </c>
      <c r="H181" s="53">
        <f>DATE(K181,11,20)</f>
        <v>47077</v>
      </c>
      <c r="I181" s="54">
        <f t="shared" si="13"/>
        <v>47077</v>
      </c>
      <c r="J181" t="s">
        <v>128</v>
      </c>
      <c r="K181">
        <f t="shared" si="15"/>
        <v>2028</v>
      </c>
      <c r="L181" t="s">
        <v>110</v>
      </c>
    </row>
    <row r="182" spans="1:12" x14ac:dyDescent="0.3">
      <c r="A182" s="53">
        <f>DATE(D182,5,1)+(14-WEEKDAY(DATE(D182,5,1),2))</f>
        <v>46887</v>
      </c>
      <c r="B182" s="54">
        <f t="shared" si="12"/>
        <v>46887</v>
      </c>
      <c r="C182" t="s">
        <v>118</v>
      </c>
      <c r="D182">
        <f t="shared" si="14"/>
        <v>2028</v>
      </c>
      <c r="E182" t="s">
        <v>110</v>
      </c>
      <c r="H182" s="53">
        <f>DATE(K182,12,25)</f>
        <v>47112</v>
      </c>
      <c r="I182" s="54">
        <f t="shared" si="13"/>
        <v>47112</v>
      </c>
      <c r="J182" t="s">
        <v>129</v>
      </c>
      <c r="K182">
        <f t="shared" si="15"/>
        <v>2028</v>
      </c>
      <c r="L182" t="s">
        <v>110</v>
      </c>
    </row>
    <row r="183" spans="1:12" x14ac:dyDescent="0.3">
      <c r="A183" s="53">
        <f>A178+60</f>
        <v>46919</v>
      </c>
      <c r="B183" s="54">
        <f t="shared" si="12"/>
        <v>46919</v>
      </c>
      <c r="C183" t="s">
        <v>119</v>
      </c>
      <c r="D183">
        <f t="shared" si="14"/>
        <v>2028</v>
      </c>
      <c r="E183" t="s">
        <v>110</v>
      </c>
      <c r="H183" s="53">
        <f>DATE(K183,1,1)</f>
        <v>47119</v>
      </c>
      <c r="I183" s="54">
        <f t="shared" si="13"/>
        <v>47119</v>
      </c>
      <c r="J183" t="s">
        <v>109</v>
      </c>
      <c r="K183">
        <f>K165+1</f>
        <v>2029</v>
      </c>
      <c r="L183" t="s">
        <v>110</v>
      </c>
    </row>
    <row r="184" spans="1:12" x14ac:dyDescent="0.3">
      <c r="A184" s="53">
        <f>DATE(D184,7,9)</f>
        <v>46943</v>
      </c>
      <c r="B184" s="54">
        <f t="shared" si="12"/>
        <v>46943</v>
      </c>
      <c r="C184" t="s">
        <v>120</v>
      </c>
      <c r="D184">
        <f t="shared" si="14"/>
        <v>2028</v>
      </c>
      <c r="E184" t="s">
        <v>121</v>
      </c>
      <c r="H184" s="53">
        <f>H187-48</f>
        <v>47161</v>
      </c>
      <c r="I184" s="54">
        <f t="shared" si="13"/>
        <v>47161</v>
      </c>
      <c r="J184" t="s">
        <v>111</v>
      </c>
      <c r="K184">
        <f t="shared" ref="K184:K200" si="16">K166+1</f>
        <v>2029</v>
      </c>
      <c r="L184" t="s">
        <v>110</v>
      </c>
    </row>
    <row r="185" spans="1:12" x14ac:dyDescent="0.3">
      <c r="A185" s="53">
        <f>DATE(D185,8,8)</f>
        <v>46973</v>
      </c>
      <c r="B185" s="54">
        <f t="shared" si="12"/>
        <v>46973</v>
      </c>
      <c r="C185" t="s">
        <v>122</v>
      </c>
      <c r="D185">
        <f t="shared" si="14"/>
        <v>2028</v>
      </c>
      <c r="E185" t="s">
        <v>115</v>
      </c>
      <c r="H185" s="53">
        <f>H187-47</f>
        <v>47162</v>
      </c>
      <c r="I185" s="54">
        <f t="shared" si="13"/>
        <v>47162</v>
      </c>
      <c r="J185" t="s">
        <v>111</v>
      </c>
      <c r="K185">
        <f t="shared" si="16"/>
        <v>2029</v>
      </c>
      <c r="L185" t="s">
        <v>110</v>
      </c>
    </row>
    <row r="186" spans="1:12" x14ac:dyDescent="0.3">
      <c r="A186" s="53">
        <f>DATE(D186,8,1)+(14-WEEKDAY(DATE(D186,8,1),2))</f>
        <v>46978</v>
      </c>
      <c r="B186" s="54">
        <f t="shared" si="12"/>
        <v>46978</v>
      </c>
      <c r="C186" t="s">
        <v>123</v>
      </c>
      <c r="D186">
        <f t="shared" si="14"/>
        <v>2028</v>
      </c>
      <c r="E186" t="s">
        <v>110</v>
      </c>
      <c r="H186" s="53">
        <f>H187-2</f>
        <v>47207</v>
      </c>
      <c r="I186" s="54">
        <f t="shared" si="13"/>
        <v>47207</v>
      </c>
      <c r="J186" t="s">
        <v>112</v>
      </c>
      <c r="K186">
        <f t="shared" si="16"/>
        <v>2029</v>
      </c>
      <c r="L186" t="s">
        <v>110</v>
      </c>
    </row>
    <row r="187" spans="1:12" x14ac:dyDescent="0.3">
      <c r="A187" s="53">
        <f>DATE(D187,9,7)</f>
        <v>47003</v>
      </c>
      <c r="B187" s="54">
        <f t="shared" si="12"/>
        <v>47003</v>
      </c>
      <c r="C187" t="s">
        <v>124</v>
      </c>
      <c r="D187">
        <f t="shared" si="14"/>
        <v>2028</v>
      </c>
      <c r="E187" t="s">
        <v>110</v>
      </c>
      <c r="H187" s="53">
        <f>FLOOR(DAY(MINUTE(K187/38)/2+56)&amp;"/5"&amp;"/"&amp;K187,7)-34</f>
        <v>47209</v>
      </c>
      <c r="I187" s="54">
        <f t="shared" si="13"/>
        <v>47209</v>
      </c>
      <c r="J187" t="s">
        <v>113</v>
      </c>
      <c r="K187">
        <f t="shared" si="16"/>
        <v>2029</v>
      </c>
      <c r="L187" t="s">
        <v>110</v>
      </c>
    </row>
    <row r="188" spans="1:12" x14ac:dyDescent="0.3">
      <c r="A188" s="53">
        <f>DATE(D188,10,12)</f>
        <v>47038</v>
      </c>
      <c r="B188" s="54">
        <f t="shared" si="12"/>
        <v>47038</v>
      </c>
      <c r="C188" t="s">
        <v>125</v>
      </c>
      <c r="D188">
        <f t="shared" si="14"/>
        <v>2028</v>
      </c>
      <c r="E188" t="s">
        <v>110</v>
      </c>
      <c r="H188" s="53">
        <f>DATE(K188,4,21)</f>
        <v>47229</v>
      </c>
      <c r="I188" s="54">
        <f t="shared" si="13"/>
        <v>47229</v>
      </c>
      <c r="J188" t="s">
        <v>116</v>
      </c>
      <c r="K188">
        <f t="shared" si="16"/>
        <v>2029</v>
      </c>
      <c r="L188" t="s">
        <v>110</v>
      </c>
    </row>
    <row r="189" spans="1:12" x14ac:dyDescent="0.3">
      <c r="A189" s="53">
        <f>DATE(D189,11,2)</f>
        <v>47059</v>
      </c>
      <c r="B189" s="54">
        <f t="shared" si="12"/>
        <v>47059</v>
      </c>
      <c r="C189" t="s">
        <v>126</v>
      </c>
      <c r="D189">
        <f t="shared" si="14"/>
        <v>2028</v>
      </c>
      <c r="E189" t="s">
        <v>110</v>
      </c>
      <c r="H189" s="53">
        <f>DATE(K189,5,1)</f>
        <v>47239</v>
      </c>
      <c r="I189" s="54">
        <f t="shared" si="13"/>
        <v>47239</v>
      </c>
      <c r="J189" t="s">
        <v>117</v>
      </c>
      <c r="K189">
        <f t="shared" si="16"/>
        <v>2029</v>
      </c>
      <c r="L189" t="s">
        <v>110</v>
      </c>
    </row>
    <row r="190" spans="1:12" x14ac:dyDescent="0.3">
      <c r="A190" s="53">
        <f>DATE(D190,11,15)</f>
        <v>47072</v>
      </c>
      <c r="B190" s="54">
        <f t="shared" si="12"/>
        <v>47072</v>
      </c>
      <c r="C190" t="s">
        <v>127</v>
      </c>
      <c r="D190">
        <f t="shared" si="14"/>
        <v>2028</v>
      </c>
      <c r="E190" t="s">
        <v>110</v>
      </c>
      <c r="H190" s="53">
        <f>DATE(K190,5,1)+(14-WEEKDAY(DATE(K190,5,1),2))</f>
        <v>47251</v>
      </c>
      <c r="I190" s="54">
        <f t="shared" si="13"/>
        <v>47251</v>
      </c>
      <c r="J190" t="s">
        <v>118</v>
      </c>
      <c r="K190">
        <f t="shared" si="16"/>
        <v>2029</v>
      </c>
      <c r="L190" t="s">
        <v>110</v>
      </c>
    </row>
    <row r="191" spans="1:12" x14ac:dyDescent="0.3">
      <c r="A191" s="53">
        <f>DATE(D191,11,20)</f>
        <v>47077</v>
      </c>
      <c r="B191" s="54">
        <f t="shared" si="12"/>
        <v>47077</v>
      </c>
      <c r="C191" t="s">
        <v>128</v>
      </c>
      <c r="D191">
        <f t="shared" si="14"/>
        <v>2028</v>
      </c>
      <c r="E191" t="s">
        <v>110</v>
      </c>
      <c r="H191" s="53">
        <f>H187+60</f>
        <v>47269</v>
      </c>
      <c r="I191" s="54">
        <f t="shared" si="13"/>
        <v>47269</v>
      </c>
      <c r="J191" t="s">
        <v>119</v>
      </c>
      <c r="K191">
        <f t="shared" si="16"/>
        <v>2029</v>
      </c>
      <c r="L191" t="s">
        <v>110</v>
      </c>
    </row>
    <row r="192" spans="1:12" x14ac:dyDescent="0.3">
      <c r="A192" s="53">
        <f>DATE(D192,12,25)</f>
        <v>47112</v>
      </c>
      <c r="B192" s="54">
        <f t="shared" si="12"/>
        <v>47112</v>
      </c>
      <c r="C192" t="s">
        <v>129</v>
      </c>
      <c r="D192">
        <f t="shared" si="14"/>
        <v>2028</v>
      </c>
      <c r="E192" t="s">
        <v>110</v>
      </c>
      <c r="H192" s="53">
        <f>DATE(K192,6,19)</f>
        <v>47288</v>
      </c>
      <c r="I192" s="54">
        <f t="shared" si="13"/>
        <v>47288</v>
      </c>
      <c r="J192" t="s">
        <v>114</v>
      </c>
      <c r="K192">
        <f t="shared" si="16"/>
        <v>2029</v>
      </c>
      <c r="L192" t="s">
        <v>115</v>
      </c>
    </row>
    <row r="193" spans="1:12" x14ac:dyDescent="0.3">
      <c r="A193" s="53">
        <f>DATE(D193,1,1)</f>
        <v>47119</v>
      </c>
      <c r="B193" s="54">
        <f t="shared" si="12"/>
        <v>47119</v>
      </c>
      <c r="C193" t="s">
        <v>109</v>
      </c>
      <c r="D193">
        <f>D174+1</f>
        <v>2029</v>
      </c>
      <c r="E193" t="s">
        <v>110</v>
      </c>
      <c r="H193" s="53">
        <f>DATE(K193,7,9)</f>
        <v>47308</v>
      </c>
      <c r="I193" s="54">
        <f t="shared" si="13"/>
        <v>47308</v>
      </c>
      <c r="J193" t="s">
        <v>120</v>
      </c>
      <c r="K193">
        <f t="shared" si="16"/>
        <v>2029</v>
      </c>
      <c r="L193" t="s">
        <v>121</v>
      </c>
    </row>
    <row r="194" spans="1:12" x14ac:dyDescent="0.3">
      <c r="A194" s="53">
        <f>A197-48</f>
        <v>47161</v>
      </c>
      <c r="B194" s="54">
        <f t="shared" si="12"/>
        <v>47161</v>
      </c>
      <c r="C194" t="s">
        <v>111</v>
      </c>
      <c r="D194">
        <f t="shared" si="14"/>
        <v>2029</v>
      </c>
      <c r="E194" t="s">
        <v>110</v>
      </c>
      <c r="H194" s="53">
        <f>DATE(K194,8,1)+(14-WEEKDAY(DATE(K194,8,1),2))</f>
        <v>47342</v>
      </c>
      <c r="I194" s="54">
        <f t="shared" si="13"/>
        <v>47342</v>
      </c>
      <c r="J194" t="s">
        <v>123</v>
      </c>
      <c r="K194">
        <f t="shared" si="16"/>
        <v>2029</v>
      </c>
      <c r="L194" t="s">
        <v>110</v>
      </c>
    </row>
    <row r="195" spans="1:12" x14ac:dyDescent="0.3">
      <c r="A195" s="53">
        <f>A197-47</f>
        <v>47162</v>
      </c>
      <c r="B195" s="54">
        <f t="shared" ref="B195:B258" si="17">A195</f>
        <v>47162</v>
      </c>
      <c r="C195" t="s">
        <v>111</v>
      </c>
      <c r="D195">
        <f t="shared" si="14"/>
        <v>2029</v>
      </c>
      <c r="E195" t="s">
        <v>110</v>
      </c>
      <c r="H195" s="53">
        <f>DATE(K195,9,7)</f>
        <v>47368</v>
      </c>
      <c r="I195" s="54">
        <f t="shared" si="13"/>
        <v>47368</v>
      </c>
      <c r="J195" t="s">
        <v>124</v>
      </c>
      <c r="K195">
        <f t="shared" si="16"/>
        <v>2029</v>
      </c>
      <c r="L195" t="s">
        <v>110</v>
      </c>
    </row>
    <row r="196" spans="1:12" x14ac:dyDescent="0.3">
      <c r="A196" s="53">
        <f>A197-2</f>
        <v>47207</v>
      </c>
      <c r="B196" s="54">
        <f t="shared" si="17"/>
        <v>47207</v>
      </c>
      <c r="C196" t="s">
        <v>112</v>
      </c>
      <c r="D196">
        <f t="shared" si="14"/>
        <v>2029</v>
      </c>
      <c r="E196" t="s">
        <v>110</v>
      </c>
      <c r="H196" s="53">
        <f>DATE(K196,10,12)</f>
        <v>47403</v>
      </c>
      <c r="I196" s="54">
        <f t="shared" si="13"/>
        <v>47403</v>
      </c>
      <c r="J196" t="s">
        <v>125</v>
      </c>
      <c r="K196">
        <f t="shared" si="16"/>
        <v>2029</v>
      </c>
      <c r="L196" t="s">
        <v>110</v>
      </c>
    </row>
    <row r="197" spans="1:12" x14ac:dyDescent="0.3">
      <c r="A197" s="53">
        <f>FLOOR(DAY(MINUTE(D197/38)/2+56)&amp;"/5"&amp;"/"&amp;D197,7)-34</f>
        <v>47209</v>
      </c>
      <c r="B197" s="54">
        <f t="shared" si="17"/>
        <v>47209</v>
      </c>
      <c r="C197" t="s">
        <v>113</v>
      </c>
      <c r="D197">
        <f t="shared" si="14"/>
        <v>2029</v>
      </c>
      <c r="E197" t="s">
        <v>110</v>
      </c>
      <c r="H197" s="53">
        <f>DATE(K197,11,2)</f>
        <v>47424</v>
      </c>
      <c r="I197" s="54">
        <f t="shared" si="13"/>
        <v>47424</v>
      </c>
      <c r="J197" t="s">
        <v>126</v>
      </c>
      <c r="K197">
        <f t="shared" si="16"/>
        <v>2029</v>
      </c>
      <c r="L197" t="s">
        <v>110</v>
      </c>
    </row>
    <row r="198" spans="1:12" x14ac:dyDescent="0.3">
      <c r="A198" s="53">
        <f>DATE(D198,4,14)</f>
        <v>47222</v>
      </c>
      <c r="B198" s="54">
        <f t="shared" si="17"/>
        <v>47222</v>
      </c>
      <c r="C198" t="s">
        <v>114</v>
      </c>
      <c r="D198">
        <f t="shared" si="14"/>
        <v>2029</v>
      </c>
      <c r="E198" t="s">
        <v>115</v>
      </c>
      <c r="H198" s="53">
        <f>DATE(K198,11,15)</f>
        <v>47437</v>
      </c>
      <c r="I198" s="54">
        <f t="shared" si="13"/>
        <v>47437</v>
      </c>
      <c r="J198" t="s">
        <v>127</v>
      </c>
      <c r="K198">
        <f t="shared" si="16"/>
        <v>2029</v>
      </c>
      <c r="L198" t="s">
        <v>110</v>
      </c>
    </row>
    <row r="199" spans="1:12" x14ac:dyDescent="0.3">
      <c r="A199" s="53">
        <f>DATE(D199,4,21)</f>
        <v>47229</v>
      </c>
      <c r="B199" s="54">
        <f t="shared" si="17"/>
        <v>47229</v>
      </c>
      <c r="C199" t="s">
        <v>116</v>
      </c>
      <c r="D199">
        <f t="shared" si="14"/>
        <v>2029</v>
      </c>
      <c r="E199" t="s">
        <v>110</v>
      </c>
      <c r="H199" s="53">
        <f>DATE(K199,11,20)</f>
        <v>47442</v>
      </c>
      <c r="I199" s="54">
        <f t="shared" si="13"/>
        <v>47442</v>
      </c>
      <c r="J199" t="s">
        <v>128</v>
      </c>
      <c r="K199">
        <f t="shared" si="16"/>
        <v>2029</v>
      </c>
      <c r="L199" t="s">
        <v>110</v>
      </c>
    </row>
    <row r="200" spans="1:12" x14ac:dyDescent="0.3">
      <c r="A200" s="53">
        <f>DATE(D200,5,1)</f>
        <v>47239</v>
      </c>
      <c r="B200" s="54">
        <f t="shared" si="17"/>
        <v>47239</v>
      </c>
      <c r="C200" t="s">
        <v>117</v>
      </c>
      <c r="D200">
        <f t="shared" si="14"/>
        <v>2029</v>
      </c>
      <c r="E200" t="s">
        <v>110</v>
      </c>
      <c r="H200" s="53">
        <f>DATE(K200,12,25)</f>
        <v>47477</v>
      </c>
      <c r="I200" s="54">
        <f t="shared" ref="I200:I263" si="18">H200</f>
        <v>47477</v>
      </c>
      <c r="J200" t="s">
        <v>129</v>
      </c>
      <c r="K200">
        <f t="shared" si="16"/>
        <v>2029</v>
      </c>
      <c r="L200" t="s">
        <v>110</v>
      </c>
    </row>
    <row r="201" spans="1:12" x14ac:dyDescent="0.3">
      <c r="A201" s="53">
        <f>DATE(D201,5,1)+(14-WEEKDAY(DATE(D201,5,1),2))</f>
        <v>47251</v>
      </c>
      <c r="B201" s="54">
        <f t="shared" si="17"/>
        <v>47251</v>
      </c>
      <c r="C201" t="s">
        <v>118</v>
      </c>
      <c r="D201">
        <f t="shared" ref="D201:D211" si="19">D182+1</f>
        <v>2029</v>
      </c>
      <c r="E201" t="s">
        <v>110</v>
      </c>
      <c r="H201" s="53">
        <f>DATE(K201,1,1)</f>
        <v>47484</v>
      </c>
      <c r="I201" s="54">
        <f t="shared" si="18"/>
        <v>47484</v>
      </c>
      <c r="J201" t="s">
        <v>109</v>
      </c>
      <c r="K201">
        <f>K183+1</f>
        <v>2030</v>
      </c>
      <c r="L201" t="s">
        <v>110</v>
      </c>
    </row>
    <row r="202" spans="1:12" x14ac:dyDescent="0.3">
      <c r="A202" s="53">
        <f>A197+60</f>
        <v>47269</v>
      </c>
      <c r="B202" s="54">
        <f t="shared" si="17"/>
        <v>47269</v>
      </c>
      <c r="C202" t="s">
        <v>119</v>
      </c>
      <c r="D202">
        <f t="shared" si="19"/>
        <v>2029</v>
      </c>
      <c r="E202" t="s">
        <v>110</v>
      </c>
      <c r="H202" s="53">
        <f>H205-48</f>
        <v>47546</v>
      </c>
      <c r="I202" s="54">
        <f t="shared" si="18"/>
        <v>47546</v>
      </c>
      <c r="J202" t="s">
        <v>111</v>
      </c>
      <c r="K202">
        <f t="shared" ref="K202:K265" si="20">K184+1</f>
        <v>2030</v>
      </c>
      <c r="L202" t="s">
        <v>110</v>
      </c>
    </row>
    <row r="203" spans="1:12" x14ac:dyDescent="0.3">
      <c r="A203" s="53">
        <f>DATE(D203,7,9)</f>
        <v>47308</v>
      </c>
      <c r="B203" s="54">
        <f t="shared" si="17"/>
        <v>47308</v>
      </c>
      <c r="C203" t="s">
        <v>120</v>
      </c>
      <c r="D203">
        <f t="shared" si="19"/>
        <v>2029</v>
      </c>
      <c r="E203" t="s">
        <v>121</v>
      </c>
      <c r="H203" s="53">
        <f>H205-47</f>
        <v>47547</v>
      </c>
      <c r="I203" s="54">
        <f t="shared" si="18"/>
        <v>47547</v>
      </c>
      <c r="J203" t="s">
        <v>111</v>
      </c>
      <c r="K203">
        <f t="shared" si="20"/>
        <v>2030</v>
      </c>
      <c r="L203" t="s">
        <v>110</v>
      </c>
    </row>
    <row r="204" spans="1:12" x14ac:dyDescent="0.3">
      <c r="A204" s="53">
        <f>DATE(D204,8,8)</f>
        <v>47338</v>
      </c>
      <c r="B204" s="54">
        <f t="shared" si="17"/>
        <v>47338</v>
      </c>
      <c r="C204" t="s">
        <v>122</v>
      </c>
      <c r="D204">
        <f t="shared" si="19"/>
        <v>2029</v>
      </c>
      <c r="E204" t="s">
        <v>115</v>
      </c>
      <c r="H204" s="53">
        <f>H205-2</f>
        <v>47592</v>
      </c>
      <c r="I204" s="54">
        <f t="shared" si="18"/>
        <v>47592</v>
      </c>
      <c r="J204" t="s">
        <v>112</v>
      </c>
      <c r="K204">
        <f t="shared" si="20"/>
        <v>2030</v>
      </c>
      <c r="L204" t="s">
        <v>110</v>
      </c>
    </row>
    <row r="205" spans="1:12" x14ac:dyDescent="0.3">
      <c r="A205" s="53">
        <f>DATE(D205,8,1)+(14-WEEKDAY(DATE(D205,8,1),2))</f>
        <v>47342</v>
      </c>
      <c r="B205" s="54">
        <f t="shared" si="17"/>
        <v>47342</v>
      </c>
      <c r="C205" t="s">
        <v>123</v>
      </c>
      <c r="D205">
        <f t="shared" si="19"/>
        <v>2029</v>
      </c>
      <c r="E205" t="s">
        <v>110</v>
      </c>
      <c r="H205" s="53">
        <f>FLOOR(DAY(MINUTE(K205/38)/2+56)&amp;"/5"&amp;"/"&amp;K205,7)-34</f>
        <v>47594</v>
      </c>
      <c r="I205" s="54">
        <f t="shared" si="18"/>
        <v>47594</v>
      </c>
      <c r="J205" t="s">
        <v>113</v>
      </c>
      <c r="K205">
        <f t="shared" si="20"/>
        <v>2030</v>
      </c>
      <c r="L205" t="s">
        <v>110</v>
      </c>
    </row>
    <row r="206" spans="1:12" x14ac:dyDescent="0.3">
      <c r="A206" s="53">
        <f>DATE(D206,9,7)</f>
        <v>47368</v>
      </c>
      <c r="B206" s="54">
        <f t="shared" si="17"/>
        <v>47368</v>
      </c>
      <c r="C206" t="s">
        <v>124</v>
      </c>
      <c r="D206">
        <f t="shared" si="19"/>
        <v>2029</v>
      </c>
      <c r="E206" t="s">
        <v>110</v>
      </c>
      <c r="H206" s="53">
        <f>DATE(K206,4,21)</f>
        <v>47594</v>
      </c>
      <c r="I206" s="54">
        <f t="shared" si="18"/>
        <v>47594</v>
      </c>
      <c r="J206" t="s">
        <v>116</v>
      </c>
      <c r="K206">
        <f t="shared" si="20"/>
        <v>2030</v>
      </c>
      <c r="L206" t="s">
        <v>110</v>
      </c>
    </row>
    <row r="207" spans="1:12" x14ac:dyDescent="0.3">
      <c r="A207" s="53">
        <f>DATE(D207,10,12)</f>
        <v>47403</v>
      </c>
      <c r="B207" s="54">
        <f t="shared" si="17"/>
        <v>47403</v>
      </c>
      <c r="C207" t="s">
        <v>125</v>
      </c>
      <c r="D207">
        <f t="shared" si="19"/>
        <v>2029</v>
      </c>
      <c r="E207" t="s">
        <v>110</v>
      </c>
      <c r="H207" s="53">
        <f>DATE(K207,5,1)</f>
        <v>47604</v>
      </c>
      <c r="I207" s="54">
        <f t="shared" si="18"/>
        <v>47604</v>
      </c>
      <c r="J207" t="s">
        <v>117</v>
      </c>
      <c r="K207">
        <f t="shared" si="20"/>
        <v>2030</v>
      </c>
      <c r="L207" t="s">
        <v>110</v>
      </c>
    </row>
    <row r="208" spans="1:12" x14ac:dyDescent="0.3">
      <c r="A208" s="53">
        <f>DATE(D208,11,2)</f>
        <v>47424</v>
      </c>
      <c r="B208" s="54">
        <f t="shared" si="17"/>
        <v>47424</v>
      </c>
      <c r="C208" t="s">
        <v>126</v>
      </c>
      <c r="D208">
        <f t="shared" si="19"/>
        <v>2029</v>
      </c>
      <c r="E208" t="s">
        <v>110</v>
      </c>
      <c r="H208" s="53">
        <f>DATE(K208,5,1)+(14-WEEKDAY(DATE(K208,5,1),2))</f>
        <v>47615</v>
      </c>
      <c r="I208" s="54">
        <f t="shared" si="18"/>
        <v>47615</v>
      </c>
      <c r="J208" t="s">
        <v>118</v>
      </c>
      <c r="K208">
        <f t="shared" si="20"/>
        <v>2030</v>
      </c>
      <c r="L208" t="s">
        <v>110</v>
      </c>
    </row>
    <row r="209" spans="1:12" x14ac:dyDescent="0.3">
      <c r="A209" s="53">
        <f>DATE(D209,11,15)</f>
        <v>47437</v>
      </c>
      <c r="B209" s="54">
        <f t="shared" si="17"/>
        <v>47437</v>
      </c>
      <c r="C209" t="s">
        <v>127</v>
      </c>
      <c r="D209">
        <f t="shared" si="19"/>
        <v>2029</v>
      </c>
      <c r="E209" t="s">
        <v>110</v>
      </c>
      <c r="H209" s="53">
        <f>H205+60</f>
        <v>47654</v>
      </c>
      <c r="I209" s="54">
        <f t="shared" si="18"/>
        <v>47654</v>
      </c>
      <c r="J209" t="s">
        <v>119</v>
      </c>
      <c r="K209">
        <f t="shared" si="20"/>
        <v>2030</v>
      </c>
      <c r="L209" t="s">
        <v>110</v>
      </c>
    </row>
    <row r="210" spans="1:12" x14ac:dyDescent="0.3">
      <c r="A210" s="53">
        <f>DATE(D210,11,20)</f>
        <v>47442</v>
      </c>
      <c r="B210" s="54">
        <f t="shared" si="17"/>
        <v>47442</v>
      </c>
      <c r="C210" t="s">
        <v>128</v>
      </c>
      <c r="D210">
        <f t="shared" si="19"/>
        <v>2029</v>
      </c>
      <c r="E210" t="s">
        <v>110</v>
      </c>
      <c r="H210" s="53">
        <f>DATE(K210,6,19)</f>
        <v>47653</v>
      </c>
      <c r="I210" s="54">
        <f t="shared" si="18"/>
        <v>47653</v>
      </c>
      <c r="J210" t="s">
        <v>114</v>
      </c>
      <c r="K210">
        <f t="shared" si="20"/>
        <v>2030</v>
      </c>
      <c r="L210" t="s">
        <v>115</v>
      </c>
    </row>
    <row r="211" spans="1:12" x14ac:dyDescent="0.3">
      <c r="A211" s="53">
        <f>DATE(D211,12,25)</f>
        <v>47477</v>
      </c>
      <c r="B211" s="54">
        <f t="shared" si="17"/>
        <v>47477</v>
      </c>
      <c r="C211" t="s">
        <v>129</v>
      </c>
      <c r="D211">
        <f t="shared" si="19"/>
        <v>2029</v>
      </c>
      <c r="E211" t="s">
        <v>110</v>
      </c>
      <c r="H211" s="53">
        <f>DATE(K211,7,9)</f>
        <v>47673</v>
      </c>
      <c r="I211" s="54">
        <f t="shared" si="18"/>
        <v>47673</v>
      </c>
      <c r="J211" t="s">
        <v>120</v>
      </c>
      <c r="K211">
        <f t="shared" si="20"/>
        <v>2030</v>
      </c>
      <c r="L211" t="s">
        <v>121</v>
      </c>
    </row>
    <row r="212" spans="1:12" x14ac:dyDescent="0.3">
      <c r="A212" s="53">
        <f>DATE(D212,1,1)</f>
        <v>47484</v>
      </c>
      <c r="B212" s="54">
        <f t="shared" si="17"/>
        <v>47484</v>
      </c>
      <c r="C212" t="s">
        <v>109</v>
      </c>
      <c r="D212">
        <f>D193+1</f>
        <v>2030</v>
      </c>
      <c r="E212" t="s">
        <v>110</v>
      </c>
      <c r="H212" s="53">
        <f>DATE(K212,8,1)+(14-WEEKDAY(DATE(K212,8,1),2))</f>
        <v>47706</v>
      </c>
      <c r="I212" s="54">
        <f t="shared" si="18"/>
        <v>47706</v>
      </c>
      <c r="J212" t="s">
        <v>123</v>
      </c>
      <c r="K212">
        <f t="shared" si="20"/>
        <v>2030</v>
      </c>
      <c r="L212" t="s">
        <v>110</v>
      </c>
    </row>
    <row r="213" spans="1:12" x14ac:dyDescent="0.3">
      <c r="A213" s="53">
        <f>A216-48</f>
        <v>47546</v>
      </c>
      <c r="B213" s="54">
        <f t="shared" si="17"/>
        <v>47546</v>
      </c>
      <c r="C213" t="s">
        <v>111</v>
      </c>
      <c r="D213">
        <f t="shared" ref="D213:D230" si="21">D194+1</f>
        <v>2030</v>
      </c>
      <c r="E213" t="s">
        <v>110</v>
      </c>
      <c r="H213" s="53">
        <f>DATE(K213,9,7)</f>
        <v>47733</v>
      </c>
      <c r="I213" s="54">
        <f t="shared" si="18"/>
        <v>47733</v>
      </c>
      <c r="J213" t="s">
        <v>124</v>
      </c>
      <c r="K213">
        <f t="shared" si="20"/>
        <v>2030</v>
      </c>
      <c r="L213" t="s">
        <v>110</v>
      </c>
    </row>
    <row r="214" spans="1:12" x14ac:dyDescent="0.3">
      <c r="A214" s="53">
        <f>A216-47</f>
        <v>47547</v>
      </c>
      <c r="B214" s="54">
        <f t="shared" si="17"/>
        <v>47547</v>
      </c>
      <c r="C214" t="s">
        <v>111</v>
      </c>
      <c r="D214">
        <f t="shared" si="21"/>
        <v>2030</v>
      </c>
      <c r="E214" t="s">
        <v>110</v>
      </c>
      <c r="H214" s="53">
        <f>DATE(K214,10,12)</f>
        <v>47768</v>
      </c>
      <c r="I214" s="54">
        <f t="shared" si="18"/>
        <v>47768</v>
      </c>
      <c r="J214" t="s">
        <v>125</v>
      </c>
      <c r="K214">
        <f t="shared" si="20"/>
        <v>2030</v>
      </c>
      <c r="L214" t="s">
        <v>110</v>
      </c>
    </row>
    <row r="215" spans="1:12" x14ac:dyDescent="0.3">
      <c r="A215" s="53">
        <f>A216-2</f>
        <v>47592</v>
      </c>
      <c r="B215" s="54">
        <f t="shared" si="17"/>
        <v>47592</v>
      </c>
      <c r="C215" t="s">
        <v>112</v>
      </c>
      <c r="D215">
        <f t="shared" si="21"/>
        <v>2030</v>
      </c>
      <c r="E215" t="s">
        <v>110</v>
      </c>
      <c r="H215" s="53">
        <f>DATE(K215,11,2)</f>
        <v>47789</v>
      </c>
      <c r="I215" s="54">
        <f t="shared" si="18"/>
        <v>47789</v>
      </c>
      <c r="J215" t="s">
        <v>126</v>
      </c>
      <c r="K215">
        <f t="shared" si="20"/>
        <v>2030</v>
      </c>
      <c r="L215" t="s">
        <v>110</v>
      </c>
    </row>
    <row r="216" spans="1:12" x14ac:dyDescent="0.3">
      <c r="A216" s="53">
        <f>FLOOR(DAY(MINUTE(D216/38)/2+56)&amp;"/5"&amp;"/"&amp;D216,7)-34</f>
        <v>47594</v>
      </c>
      <c r="B216" s="54">
        <f t="shared" si="17"/>
        <v>47594</v>
      </c>
      <c r="C216" t="s">
        <v>113</v>
      </c>
      <c r="D216">
        <f t="shared" si="21"/>
        <v>2030</v>
      </c>
      <c r="E216" t="s">
        <v>110</v>
      </c>
      <c r="H216" s="53">
        <f>DATE(K216,11,15)</f>
        <v>47802</v>
      </c>
      <c r="I216" s="54">
        <f t="shared" si="18"/>
        <v>47802</v>
      </c>
      <c r="J216" t="s">
        <v>127</v>
      </c>
      <c r="K216">
        <f t="shared" si="20"/>
        <v>2030</v>
      </c>
      <c r="L216" t="s">
        <v>110</v>
      </c>
    </row>
    <row r="217" spans="1:12" x14ac:dyDescent="0.3">
      <c r="A217" s="53">
        <f>DATE(D217,4,14)</f>
        <v>47587</v>
      </c>
      <c r="B217" s="54">
        <f t="shared" si="17"/>
        <v>47587</v>
      </c>
      <c r="C217" t="s">
        <v>114</v>
      </c>
      <c r="D217">
        <f t="shared" si="21"/>
        <v>2030</v>
      </c>
      <c r="E217" t="s">
        <v>115</v>
      </c>
      <c r="H217" s="53">
        <f>DATE(K217,11,20)</f>
        <v>47807</v>
      </c>
      <c r="I217" s="54">
        <f t="shared" si="18"/>
        <v>47807</v>
      </c>
      <c r="J217" t="s">
        <v>128</v>
      </c>
      <c r="K217">
        <f t="shared" si="20"/>
        <v>2030</v>
      </c>
      <c r="L217" t="s">
        <v>110</v>
      </c>
    </row>
    <row r="218" spans="1:12" x14ac:dyDescent="0.3">
      <c r="A218" s="53">
        <f>DATE(D218,4,21)</f>
        <v>47594</v>
      </c>
      <c r="B218" s="54">
        <f t="shared" si="17"/>
        <v>47594</v>
      </c>
      <c r="C218" t="s">
        <v>116</v>
      </c>
      <c r="D218">
        <f t="shared" si="21"/>
        <v>2030</v>
      </c>
      <c r="E218" t="s">
        <v>110</v>
      </c>
      <c r="H218" s="53">
        <f>DATE(K218,12,25)</f>
        <v>47842</v>
      </c>
      <c r="I218" s="54">
        <f t="shared" si="18"/>
        <v>47842</v>
      </c>
      <c r="J218" t="s">
        <v>129</v>
      </c>
      <c r="K218">
        <f t="shared" si="20"/>
        <v>2030</v>
      </c>
      <c r="L218" t="s">
        <v>110</v>
      </c>
    </row>
    <row r="219" spans="1:12" x14ac:dyDescent="0.3">
      <c r="A219" s="53">
        <f>DATE(D219,5,1)</f>
        <v>47604</v>
      </c>
      <c r="B219" s="54">
        <f t="shared" si="17"/>
        <v>47604</v>
      </c>
      <c r="C219" t="s">
        <v>117</v>
      </c>
      <c r="D219">
        <f t="shared" si="21"/>
        <v>2030</v>
      </c>
      <c r="E219" t="s">
        <v>110</v>
      </c>
      <c r="H219" s="53">
        <f>DATE(K219,1,1)</f>
        <v>47849</v>
      </c>
      <c r="I219" s="54">
        <f t="shared" si="18"/>
        <v>47849</v>
      </c>
      <c r="J219" t="s">
        <v>109</v>
      </c>
      <c r="K219">
        <f>K201+1</f>
        <v>2031</v>
      </c>
      <c r="L219" t="s">
        <v>110</v>
      </c>
    </row>
    <row r="220" spans="1:12" x14ac:dyDescent="0.3">
      <c r="A220" s="53">
        <f>DATE(D220,5,1)+(14-WEEKDAY(DATE(D220,5,1),2))</f>
        <v>47615</v>
      </c>
      <c r="B220" s="54">
        <f t="shared" si="17"/>
        <v>47615</v>
      </c>
      <c r="C220" t="s">
        <v>118</v>
      </c>
      <c r="D220">
        <f t="shared" si="21"/>
        <v>2030</v>
      </c>
      <c r="E220" t="s">
        <v>110</v>
      </c>
      <c r="H220" s="53">
        <f>H223-48</f>
        <v>47903</v>
      </c>
      <c r="I220" s="54">
        <f t="shared" si="18"/>
        <v>47903</v>
      </c>
      <c r="J220" t="s">
        <v>111</v>
      </c>
      <c r="K220">
        <f t="shared" si="20"/>
        <v>2031</v>
      </c>
      <c r="L220" t="s">
        <v>110</v>
      </c>
    </row>
    <row r="221" spans="1:12" x14ac:dyDescent="0.3">
      <c r="A221" s="53">
        <f>A216+60</f>
        <v>47654</v>
      </c>
      <c r="B221" s="54">
        <f t="shared" si="17"/>
        <v>47654</v>
      </c>
      <c r="C221" t="s">
        <v>119</v>
      </c>
      <c r="D221">
        <f t="shared" si="21"/>
        <v>2030</v>
      </c>
      <c r="E221" t="s">
        <v>110</v>
      </c>
      <c r="H221" s="53">
        <f>H223-47</f>
        <v>47904</v>
      </c>
      <c r="I221" s="54">
        <f t="shared" si="18"/>
        <v>47904</v>
      </c>
      <c r="J221" t="s">
        <v>111</v>
      </c>
      <c r="K221">
        <f t="shared" si="20"/>
        <v>2031</v>
      </c>
      <c r="L221" t="s">
        <v>110</v>
      </c>
    </row>
    <row r="222" spans="1:12" x14ac:dyDescent="0.3">
      <c r="A222" s="53">
        <f>DATE(D222,7,9)</f>
        <v>47673</v>
      </c>
      <c r="B222" s="54">
        <f t="shared" si="17"/>
        <v>47673</v>
      </c>
      <c r="C222" t="s">
        <v>120</v>
      </c>
      <c r="D222">
        <f t="shared" si="21"/>
        <v>2030</v>
      </c>
      <c r="E222" t="s">
        <v>121</v>
      </c>
      <c r="H222" s="53">
        <f>H223-2</f>
        <v>47949</v>
      </c>
      <c r="I222" s="54">
        <f t="shared" si="18"/>
        <v>47949</v>
      </c>
      <c r="J222" t="s">
        <v>112</v>
      </c>
      <c r="K222">
        <f t="shared" si="20"/>
        <v>2031</v>
      </c>
      <c r="L222" t="s">
        <v>110</v>
      </c>
    </row>
    <row r="223" spans="1:12" x14ac:dyDescent="0.3">
      <c r="A223" s="53">
        <f>DATE(D223,8,8)</f>
        <v>47703</v>
      </c>
      <c r="B223" s="54">
        <f t="shared" si="17"/>
        <v>47703</v>
      </c>
      <c r="C223" t="s">
        <v>122</v>
      </c>
      <c r="D223">
        <f t="shared" si="21"/>
        <v>2030</v>
      </c>
      <c r="E223" t="s">
        <v>115</v>
      </c>
      <c r="H223" s="53">
        <f>FLOOR(DAY(MINUTE(K223/38)/2+56)&amp;"/5"&amp;"/"&amp;K223,7)-34</f>
        <v>47951</v>
      </c>
      <c r="I223" s="54">
        <f t="shared" si="18"/>
        <v>47951</v>
      </c>
      <c r="J223" t="s">
        <v>113</v>
      </c>
      <c r="K223">
        <f t="shared" si="20"/>
        <v>2031</v>
      </c>
      <c r="L223" t="s">
        <v>110</v>
      </c>
    </row>
    <row r="224" spans="1:12" x14ac:dyDescent="0.3">
      <c r="A224" s="53">
        <f>DATE(D224,8,1)+(14-WEEKDAY(DATE(D224,8,1),2))</f>
        <v>47706</v>
      </c>
      <c r="B224" s="54">
        <f t="shared" si="17"/>
        <v>47706</v>
      </c>
      <c r="C224" t="s">
        <v>123</v>
      </c>
      <c r="D224">
        <f t="shared" si="21"/>
        <v>2030</v>
      </c>
      <c r="E224" t="s">
        <v>110</v>
      </c>
      <c r="H224" s="53">
        <f>DATE(K224,4,21)</f>
        <v>47959</v>
      </c>
      <c r="I224" s="54">
        <f t="shared" si="18"/>
        <v>47959</v>
      </c>
      <c r="J224" t="s">
        <v>116</v>
      </c>
      <c r="K224">
        <f t="shared" si="20"/>
        <v>2031</v>
      </c>
      <c r="L224" t="s">
        <v>110</v>
      </c>
    </row>
    <row r="225" spans="1:12" x14ac:dyDescent="0.3">
      <c r="A225" s="53">
        <f>DATE(D225,9,7)</f>
        <v>47733</v>
      </c>
      <c r="B225" s="54">
        <f t="shared" si="17"/>
        <v>47733</v>
      </c>
      <c r="C225" t="s">
        <v>124</v>
      </c>
      <c r="D225">
        <f t="shared" si="21"/>
        <v>2030</v>
      </c>
      <c r="E225" t="s">
        <v>110</v>
      </c>
      <c r="H225" s="53">
        <f>DATE(K225,5,1)</f>
        <v>47969</v>
      </c>
      <c r="I225" s="54">
        <f t="shared" si="18"/>
        <v>47969</v>
      </c>
      <c r="J225" t="s">
        <v>117</v>
      </c>
      <c r="K225">
        <f t="shared" si="20"/>
        <v>2031</v>
      </c>
      <c r="L225" t="s">
        <v>110</v>
      </c>
    </row>
    <row r="226" spans="1:12" x14ac:dyDescent="0.3">
      <c r="A226" s="53">
        <f>DATE(D226,10,12)</f>
        <v>47768</v>
      </c>
      <c r="B226" s="54">
        <f t="shared" si="17"/>
        <v>47768</v>
      </c>
      <c r="C226" t="s">
        <v>125</v>
      </c>
      <c r="D226">
        <f t="shared" si="21"/>
        <v>2030</v>
      </c>
      <c r="E226" t="s">
        <v>110</v>
      </c>
      <c r="H226" s="53">
        <f>DATE(K226,5,1)+(14-WEEKDAY(DATE(K226,5,1),2))</f>
        <v>47979</v>
      </c>
      <c r="I226" s="54">
        <f t="shared" si="18"/>
        <v>47979</v>
      </c>
      <c r="J226" t="s">
        <v>118</v>
      </c>
      <c r="K226">
        <f t="shared" si="20"/>
        <v>2031</v>
      </c>
      <c r="L226" t="s">
        <v>110</v>
      </c>
    </row>
    <row r="227" spans="1:12" x14ac:dyDescent="0.3">
      <c r="A227" s="53">
        <f>DATE(D227,11,2)</f>
        <v>47789</v>
      </c>
      <c r="B227" s="54">
        <f t="shared" si="17"/>
        <v>47789</v>
      </c>
      <c r="C227" t="s">
        <v>126</v>
      </c>
      <c r="D227">
        <f t="shared" si="21"/>
        <v>2030</v>
      </c>
      <c r="E227" t="s">
        <v>110</v>
      </c>
      <c r="H227" s="53">
        <f>H223+60</f>
        <v>48011</v>
      </c>
      <c r="I227" s="54">
        <f t="shared" si="18"/>
        <v>48011</v>
      </c>
      <c r="J227" t="s">
        <v>119</v>
      </c>
      <c r="K227">
        <f t="shared" si="20"/>
        <v>2031</v>
      </c>
      <c r="L227" t="s">
        <v>110</v>
      </c>
    </row>
    <row r="228" spans="1:12" x14ac:dyDescent="0.3">
      <c r="A228" s="53">
        <f>DATE(D228,11,15)</f>
        <v>47802</v>
      </c>
      <c r="B228" s="54">
        <f t="shared" si="17"/>
        <v>47802</v>
      </c>
      <c r="C228" t="s">
        <v>127</v>
      </c>
      <c r="D228">
        <f t="shared" si="21"/>
        <v>2030</v>
      </c>
      <c r="E228" t="s">
        <v>110</v>
      </c>
      <c r="H228" s="53">
        <f>DATE(K228,6,19)</f>
        <v>48018</v>
      </c>
      <c r="I228" s="54">
        <f t="shared" si="18"/>
        <v>48018</v>
      </c>
      <c r="J228" t="s">
        <v>114</v>
      </c>
      <c r="K228">
        <f t="shared" si="20"/>
        <v>2031</v>
      </c>
      <c r="L228" t="s">
        <v>115</v>
      </c>
    </row>
    <row r="229" spans="1:12" x14ac:dyDescent="0.3">
      <c r="A229" s="53">
        <f>DATE(D229,11,20)</f>
        <v>47807</v>
      </c>
      <c r="B229" s="54">
        <f t="shared" si="17"/>
        <v>47807</v>
      </c>
      <c r="C229" t="s">
        <v>128</v>
      </c>
      <c r="D229">
        <f t="shared" si="21"/>
        <v>2030</v>
      </c>
      <c r="E229" t="s">
        <v>110</v>
      </c>
      <c r="H229" s="53">
        <f>DATE(K229,7,9)</f>
        <v>48038</v>
      </c>
      <c r="I229" s="54">
        <f t="shared" si="18"/>
        <v>48038</v>
      </c>
      <c r="J229" t="s">
        <v>120</v>
      </c>
      <c r="K229">
        <f t="shared" si="20"/>
        <v>2031</v>
      </c>
      <c r="L229" t="s">
        <v>121</v>
      </c>
    </row>
    <row r="230" spans="1:12" x14ac:dyDescent="0.3">
      <c r="A230" s="53">
        <f>DATE(D230,12,25)</f>
        <v>47842</v>
      </c>
      <c r="B230" s="54">
        <f t="shared" si="17"/>
        <v>47842</v>
      </c>
      <c r="C230" t="s">
        <v>129</v>
      </c>
      <c r="D230">
        <f t="shared" si="21"/>
        <v>2030</v>
      </c>
      <c r="E230" t="s">
        <v>110</v>
      </c>
      <c r="H230" s="53">
        <f>DATE(K230,8,1)+(14-WEEKDAY(DATE(K230,8,1),2))</f>
        <v>48070</v>
      </c>
      <c r="I230" s="54">
        <f t="shared" si="18"/>
        <v>48070</v>
      </c>
      <c r="J230" t="s">
        <v>123</v>
      </c>
      <c r="K230">
        <f t="shared" si="20"/>
        <v>2031</v>
      </c>
      <c r="L230" t="s">
        <v>110</v>
      </c>
    </row>
    <row r="231" spans="1:12" x14ac:dyDescent="0.3">
      <c r="A231" s="53">
        <f>DATE(D231,1,1)</f>
        <v>47849</v>
      </c>
      <c r="B231" s="54">
        <f t="shared" si="17"/>
        <v>47849</v>
      </c>
      <c r="C231" t="s">
        <v>109</v>
      </c>
      <c r="D231">
        <f>D212+1</f>
        <v>2031</v>
      </c>
      <c r="E231" t="s">
        <v>110</v>
      </c>
      <c r="H231" s="53">
        <f>DATE(K231,9,7)</f>
        <v>48098</v>
      </c>
      <c r="I231" s="54">
        <f t="shared" si="18"/>
        <v>48098</v>
      </c>
      <c r="J231" t="s">
        <v>124</v>
      </c>
      <c r="K231">
        <f t="shared" si="20"/>
        <v>2031</v>
      </c>
      <c r="L231" t="s">
        <v>110</v>
      </c>
    </row>
    <row r="232" spans="1:12" x14ac:dyDescent="0.3">
      <c r="A232" s="53">
        <f>A235-48</f>
        <v>47903</v>
      </c>
      <c r="B232" s="54">
        <f t="shared" si="17"/>
        <v>47903</v>
      </c>
      <c r="C232" t="s">
        <v>111</v>
      </c>
      <c r="D232">
        <f t="shared" ref="D232:D249" si="22">D213+1</f>
        <v>2031</v>
      </c>
      <c r="E232" t="s">
        <v>110</v>
      </c>
      <c r="H232" s="53">
        <f>DATE(K232,10,12)</f>
        <v>48133</v>
      </c>
      <c r="I232" s="54">
        <f t="shared" si="18"/>
        <v>48133</v>
      </c>
      <c r="J232" t="s">
        <v>125</v>
      </c>
      <c r="K232">
        <f t="shared" si="20"/>
        <v>2031</v>
      </c>
      <c r="L232" t="s">
        <v>110</v>
      </c>
    </row>
    <row r="233" spans="1:12" x14ac:dyDescent="0.3">
      <c r="A233" s="53">
        <f>A235-47</f>
        <v>47904</v>
      </c>
      <c r="B233" s="54">
        <f t="shared" si="17"/>
        <v>47904</v>
      </c>
      <c r="C233" t="s">
        <v>111</v>
      </c>
      <c r="D233">
        <f t="shared" si="22"/>
        <v>2031</v>
      </c>
      <c r="E233" t="s">
        <v>110</v>
      </c>
      <c r="H233" s="53">
        <f>DATE(K233,11,2)</f>
        <v>48154</v>
      </c>
      <c r="I233" s="54">
        <f t="shared" si="18"/>
        <v>48154</v>
      </c>
      <c r="J233" t="s">
        <v>126</v>
      </c>
      <c r="K233">
        <f t="shared" si="20"/>
        <v>2031</v>
      </c>
      <c r="L233" t="s">
        <v>110</v>
      </c>
    </row>
    <row r="234" spans="1:12" x14ac:dyDescent="0.3">
      <c r="A234" s="53">
        <f>A235-2</f>
        <v>47949</v>
      </c>
      <c r="B234" s="54">
        <f t="shared" si="17"/>
        <v>47949</v>
      </c>
      <c r="C234" t="s">
        <v>112</v>
      </c>
      <c r="D234">
        <f t="shared" si="22"/>
        <v>2031</v>
      </c>
      <c r="E234" t="s">
        <v>110</v>
      </c>
      <c r="H234" s="53">
        <f>DATE(K234,11,15)</f>
        <v>48167</v>
      </c>
      <c r="I234" s="54">
        <f t="shared" si="18"/>
        <v>48167</v>
      </c>
      <c r="J234" t="s">
        <v>127</v>
      </c>
      <c r="K234">
        <f t="shared" si="20"/>
        <v>2031</v>
      </c>
      <c r="L234" t="s">
        <v>110</v>
      </c>
    </row>
    <row r="235" spans="1:12" x14ac:dyDescent="0.3">
      <c r="A235" s="53">
        <f>FLOOR(DAY(MINUTE(D235/38)/2+56)&amp;"/5"&amp;"/"&amp;D235,7)-34</f>
        <v>47951</v>
      </c>
      <c r="B235" s="54">
        <f t="shared" si="17"/>
        <v>47951</v>
      </c>
      <c r="C235" t="s">
        <v>113</v>
      </c>
      <c r="D235">
        <f t="shared" si="22"/>
        <v>2031</v>
      </c>
      <c r="E235" t="s">
        <v>110</v>
      </c>
      <c r="H235" s="53">
        <f>DATE(K235,11,20)</f>
        <v>48172</v>
      </c>
      <c r="I235" s="54">
        <f t="shared" si="18"/>
        <v>48172</v>
      </c>
      <c r="J235" t="s">
        <v>128</v>
      </c>
      <c r="K235">
        <f t="shared" si="20"/>
        <v>2031</v>
      </c>
      <c r="L235" t="s">
        <v>110</v>
      </c>
    </row>
    <row r="236" spans="1:12" x14ac:dyDescent="0.3">
      <c r="A236" s="53">
        <f>DATE(D236,4,14)</f>
        <v>47952</v>
      </c>
      <c r="B236" s="54">
        <f t="shared" si="17"/>
        <v>47952</v>
      </c>
      <c r="C236" t="s">
        <v>114</v>
      </c>
      <c r="D236">
        <f t="shared" si="22"/>
        <v>2031</v>
      </c>
      <c r="E236" t="s">
        <v>115</v>
      </c>
      <c r="H236" s="53">
        <f>DATE(K236,12,25)</f>
        <v>48207</v>
      </c>
      <c r="I236" s="54">
        <f t="shared" si="18"/>
        <v>48207</v>
      </c>
      <c r="J236" t="s">
        <v>129</v>
      </c>
      <c r="K236">
        <f t="shared" si="20"/>
        <v>2031</v>
      </c>
      <c r="L236" t="s">
        <v>110</v>
      </c>
    </row>
    <row r="237" spans="1:12" x14ac:dyDescent="0.3">
      <c r="A237" s="53">
        <f>DATE(D237,4,21)</f>
        <v>47959</v>
      </c>
      <c r="B237" s="54">
        <f t="shared" si="17"/>
        <v>47959</v>
      </c>
      <c r="C237" t="s">
        <v>116</v>
      </c>
      <c r="D237">
        <f t="shared" si="22"/>
        <v>2031</v>
      </c>
      <c r="E237" t="s">
        <v>110</v>
      </c>
      <c r="H237" s="53">
        <f>DATE(K237,1,1)</f>
        <v>48214</v>
      </c>
      <c r="I237" s="54">
        <f t="shared" si="18"/>
        <v>48214</v>
      </c>
      <c r="J237" t="s">
        <v>109</v>
      </c>
      <c r="K237">
        <f>K219+1</f>
        <v>2032</v>
      </c>
      <c r="L237" t="s">
        <v>110</v>
      </c>
    </row>
    <row r="238" spans="1:12" x14ac:dyDescent="0.3">
      <c r="A238" s="53">
        <f>DATE(D238,5,1)</f>
        <v>47969</v>
      </c>
      <c r="B238" s="54">
        <f t="shared" si="17"/>
        <v>47969</v>
      </c>
      <c r="C238" t="s">
        <v>117</v>
      </c>
      <c r="D238">
        <f t="shared" si="22"/>
        <v>2031</v>
      </c>
      <c r="E238" t="s">
        <v>110</v>
      </c>
      <c r="H238" s="53">
        <f>H241-48</f>
        <v>48253</v>
      </c>
      <c r="I238" s="54">
        <f t="shared" si="18"/>
        <v>48253</v>
      </c>
      <c r="J238" t="s">
        <v>111</v>
      </c>
      <c r="K238">
        <f t="shared" si="20"/>
        <v>2032</v>
      </c>
      <c r="L238" t="s">
        <v>110</v>
      </c>
    </row>
    <row r="239" spans="1:12" x14ac:dyDescent="0.3">
      <c r="A239" s="53">
        <f>DATE(D239,5,1)+(14-WEEKDAY(DATE(D239,5,1),2))</f>
        <v>47979</v>
      </c>
      <c r="B239" s="54">
        <f t="shared" si="17"/>
        <v>47979</v>
      </c>
      <c r="C239" t="s">
        <v>118</v>
      </c>
      <c r="D239">
        <f t="shared" si="22"/>
        <v>2031</v>
      </c>
      <c r="E239" t="s">
        <v>110</v>
      </c>
      <c r="H239" s="53">
        <f>H241-47</f>
        <v>48254</v>
      </c>
      <c r="I239" s="54">
        <f t="shared" si="18"/>
        <v>48254</v>
      </c>
      <c r="J239" t="s">
        <v>111</v>
      </c>
      <c r="K239">
        <f t="shared" si="20"/>
        <v>2032</v>
      </c>
      <c r="L239" t="s">
        <v>110</v>
      </c>
    </row>
    <row r="240" spans="1:12" x14ac:dyDescent="0.3">
      <c r="A240" s="53">
        <f>A235+60</f>
        <v>48011</v>
      </c>
      <c r="B240" s="54">
        <f t="shared" si="17"/>
        <v>48011</v>
      </c>
      <c r="C240" t="s">
        <v>119</v>
      </c>
      <c r="D240">
        <f t="shared" si="22"/>
        <v>2031</v>
      </c>
      <c r="E240" t="s">
        <v>110</v>
      </c>
      <c r="H240" s="53">
        <f>H241-2</f>
        <v>48299</v>
      </c>
      <c r="I240" s="54">
        <f t="shared" si="18"/>
        <v>48299</v>
      </c>
      <c r="J240" t="s">
        <v>112</v>
      </c>
      <c r="K240">
        <f t="shared" si="20"/>
        <v>2032</v>
      </c>
      <c r="L240" t="s">
        <v>110</v>
      </c>
    </row>
    <row r="241" spans="1:12" x14ac:dyDescent="0.3">
      <c r="A241" s="53">
        <f>DATE(D241,7,9)</f>
        <v>48038</v>
      </c>
      <c r="B241" s="54">
        <f t="shared" si="17"/>
        <v>48038</v>
      </c>
      <c r="C241" t="s">
        <v>120</v>
      </c>
      <c r="D241">
        <f t="shared" si="22"/>
        <v>2031</v>
      </c>
      <c r="E241" t="s">
        <v>121</v>
      </c>
      <c r="H241" s="53">
        <f>FLOOR(DAY(MINUTE(K241/38)/2+56)&amp;"/5"&amp;"/"&amp;K241,7)-34</f>
        <v>48301</v>
      </c>
      <c r="I241" s="54">
        <f t="shared" si="18"/>
        <v>48301</v>
      </c>
      <c r="J241" t="s">
        <v>113</v>
      </c>
      <c r="K241">
        <f t="shared" si="20"/>
        <v>2032</v>
      </c>
      <c r="L241" t="s">
        <v>110</v>
      </c>
    </row>
    <row r="242" spans="1:12" x14ac:dyDescent="0.3">
      <c r="A242" s="53">
        <f>DATE(D242,8,8)</f>
        <v>48068</v>
      </c>
      <c r="B242" s="54">
        <f t="shared" si="17"/>
        <v>48068</v>
      </c>
      <c r="C242" t="s">
        <v>122</v>
      </c>
      <c r="D242">
        <f t="shared" si="22"/>
        <v>2031</v>
      </c>
      <c r="E242" t="s">
        <v>115</v>
      </c>
      <c r="H242" s="53">
        <f>DATE(K242,4,21)</f>
        <v>48325</v>
      </c>
      <c r="I242" s="54">
        <f t="shared" si="18"/>
        <v>48325</v>
      </c>
      <c r="J242" t="s">
        <v>116</v>
      </c>
      <c r="K242">
        <f t="shared" si="20"/>
        <v>2032</v>
      </c>
      <c r="L242" t="s">
        <v>110</v>
      </c>
    </row>
    <row r="243" spans="1:12" x14ac:dyDescent="0.3">
      <c r="A243" s="53">
        <f>DATE(D243,8,1)+(14-WEEKDAY(DATE(D243,8,1),2))</f>
        <v>48070</v>
      </c>
      <c r="B243" s="54">
        <f t="shared" si="17"/>
        <v>48070</v>
      </c>
      <c r="C243" t="s">
        <v>123</v>
      </c>
      <c r="D243">
        <f t="shared" si="22"/>
        <v>2031</v>
      </c>
      <c r="E243" t="s">
        <v>110</v>
      </c>
      <c r="H243" s="53">
        <f>DATE(K243,5,1)</f>
        <v>48335</v>
      </c>
      <c r="I243" s="54">
        <f t="shared" si="18"/>
        <v>48335</v>
      </c>
      <c r="J243" t="s">
        <v>117</v>
      </c>
      <c r="K243">
        <f t="shared" si="20"/>
        <v>2032</v>
      </c>
      <c r="L243" t="s">
        <v>110</v>
      </c>
    </row>
    <row r="244" spans="1:12" x14ac:dyDescent="0.3">
      <c r="A244" s="53">
        <f>DATE(D244,9,7)</f>
        <v>48098</v>
      </c>
      <c r="B244" s="54">
        <f t="shared" si="17"/>
        <v>48098</v>
      </c>
      <c r="C244" t="s">
        <v>124</v>
      </c>
      <c r="D244">
        <f t="shared" si="22"/>
        <v>2031</v>
      </c>
      <c r="E244" t="s">
        <v>110</v>
      </c>
      <c r="H244" s="53">
        <f>DATE(K244,5,1)+(14-WEEKDAY(DATE(K244,5,1),2))</f>
        <v>48343</v>
      </c>
      <c r="I244" s="54">
        <f t="shared" si="18"/>
        <v>48343</v>
      </c>
      <c r="J244" t="s">
        <v>118</v>
      </c>
      <c r="K244">
        <f t="shared" si="20"/>
        <v>2032</v>
      </c>
      <c r="L244" t="s">
        <v>110</v>
      </c>
    </row>
    <row r="245" spans="1:12" x14ac:dyDescent="0.3">
      <c r="A245" s="53">
        <f>DATE(D245,10,12)</f>
        <v>48133</v>
      </c>
      <c r="B245" s="54">
        <f t="shared" si="17"/>
        <v>48133</v>
      </c>
      <c r="C245" t="s">
        <v>125</v>
      </c>
      <c r="D245">
        <f t="shared" si="22"/>
        <v>2031</v>
      </c>
      <c r="E245" t="s">
        <v>110</v>
      </c>
      <c r="H245" s="53">
        <f>H241+60</f>
        <v>48361</v>
      </c>
      <c r="I245" s="54">
        <f t="shared" si="18"/>
        <v>48361</v>
      </c>
      <c r="J245" t="s">
        <v>119</v>
      </c>
      <c r="K245">
        <f t="shared" si="20"/>
        <v>2032</v>
      </c>
      <c r="L245" t="s">
        <v>110</v>
      </c>
    </row>
    <row r="246" spans="1:12" x14ac:dyDescent="0.3">
      <c r="A246" s="53">
        <f>DATE(D246,11,2)</f>
        <v>48154</v>
      </c>
      <c r="B246" s="54">
        <f t="shared" si="17"/>
        <v>48154</v>
      </c>
      <c r="C246" t="s">
        <v>126</v>
      </c>
      <c r="D246">
        <f t="shared" si="22"/>
        <v>2031</v>
      </c>
      <c r="E246" t="s">
        <v>110</v>
      </c>
      <c r="H246" s="53">
        <f>DATE(K246,6,19)</f>
        <v>48384</v>
      </c>
      <c r="I246" s="54">
        <f t="shared" si="18"/>
        <v>48384</v>
      </c>
      <c r="J246" t="s">
        <v>114</v>
      </c>
      <c r="K246">
        <f t="shared" si="20"/>
        <v>2032</v>
      </c>
      <c r="L246" t="s">
        <v>115</v>
      </c>
    </row>
    <row r="247" spans="1:12" x14ac:dyDescent="0.3">
      <c r="A247" s="53">
        <f>DATE(D247,11,15)</f>
        <v>48167</v>
      </c>
      <c r="B247" s="54">
        <f t="shared" si="17"/>
        <v>48167</v>
      </c>
      <c r="C247" t="s">
        <v>127</v>
      </c>
      <c r="D247">
        <f t="shared" si="22"/>
        <v>2031</v>
      </c>
      <c r="E247" t="s">
        <v>110</v>
      </c>
      <c r="H247" s="53">
        <f>DATE(K247,7,9)</f>
        <v>48404</v>
      </c>
      <c r="I247" s="54">
        <f t="shared" si="18"/>
        <v>48404</v>
      </c>
      <c r="J247" t="s">
        <v>120</v>
      </c>
      <c r="K247">
        <f t="shared" si="20"/>
        <v>2032</v>
      </c>
      <c r="L247" t="s">
        <v>121</v>
      </c>
    </row>
    <row r="248" spans="1:12" x14ac:dyDescent="0.3">
      <c r="A248" s="53">
        <f>DATE(D248,11,20)</f>
        <v>48172</v>
      </c>
      <c r="B248" s="54">
        <f t="shared" si="17"/>
        <v>48172</v>
      </c>
      <c r="C248" t="s">
        <v>128</v>
      </c>
      <c r="D248">
        <f t="shared" si="22"/>
        <v>2031</v>
      </c>
      <c r="E248" t="s">
        <v>110</v>
      </c>
      <c r="H248" s="53">
        <f>DATE(K248,8,1)+(14-WEEKDAY(DATE(K248,8,1),2))</f>
        <v>48434</v>
      </c>
      <c r="I248" s="54">
        <f t="shared" si="18"/>
        <v>48434</v>
      </c>
      <c r="J248" t="s">
        <v>123</v>
      </c>
      <c r="K248">
        <f t="shared" si="20"/>
        <v>2032</v>
      </c>
      <c r="L248" t="s">
        <v>110</v>
      </c>
    </row>
    <row r="249" spans="1:12" x14ac:dyDescent="0.3">
      <c r="A249" s="53">
        <f>DATE(D249,12,25)</f>
        <v>48207</v>
      </c>
      <c r="B249" s="54">
        <f t="shared" si="17"/>
        <v>48207</v>
      </c>
      <c r="C249" t="s">
        <v>129</v>
      </c>
      <c r="D249">
        <f t="shared" si="22"/>
        <v>2031</v>
      </c>
      <c r="E249" t="s">
        <v>110</v>
      </c>
      <c r="H249" s="53">
        <f>DATE(K249,9,7)</f>
        <v>48464</v>
      </c>
      <c r="I249" s="54">
        <f t="shared" si="18"/>
        <v>48464</v>
      </c>
      <c r="J249" t="s">
        <v>124</v>
      </c>
      <c r="K249">
        <f t="shared" si="20"/>
        <v>2032</v>
      </c>
      <c r="L249" t="s">
        <v>110</v>
      </c>
    </row>
    <row r="250" spans="1:12" x14ac:dyDescent="0.3">
      <c r="A250" s="53">
        <f>DATE(D250,1,1)</f>
        <v>48214</v>
      </c>
      <c r="B250" s="54">
        <f t="shared" si="17"/>
        <v>48214</v>
      </c>
      <c r="C250" t="s">
        <v>109</v>
      </c>
      <c r="D250">
        <f>D231+1</f>
        <v>2032</v>
      </c>
      <c r="E250" t="s">
        <v>110</v>
      </c>
      <c r="H250" s="53">
        <f>DATE(K250,10,12)</f>
        <v>48499</v>
      </c>
      <c r="I250" s="54">
        <f t="shared" si="18"/>
        <v>48499</v>
      </c>
      <c r="J250" t="s">
        <v>125</v>
      </c>
      <c r="K250">
        <f t="shared" si="20"/>
        <v>2032</v>
      </c>
      <c r="L250" t="s">
        <v>110</v>
      </c>
    </row>
    <row r="251" spans="1:12" x14ac:dyDescent="0.3">
      <c r="A251" s="53">
        <f>A254-48</f>
        <v>48253</v>
      </c>
      <c r="B251" s="54">
        <f t="shared" si="17"/>
        <v>48253</v>
      </c>
      <c r="C251" t="s">
        <v>111</v>
      </c>
      <c r="D251">
        <f t="shared" ref="D251:D314" si="23">D232+1</f>
        <v>2032</v>
      </c>
      <c r="E251" t="s">
        <v>110</v>
      </c>
      <c r="H251" s="53">
        <f>DATE(K251,11,2)</f>
        <v>48520</v>
      </c>
      <c r="I251" s="54">
        <f t="shared" si="18"/>
        <v>48520</v>
      </c>
      <c r="J251" t="s">
        <v>126</v>
      </c>
      <c r="K251">
        <f t="shared" si="20"/>
        <v>2032</v>
      </c>
      <c r="L251" t="s">
        <v>110</v>
      </c>
    </row>
    <row r="252" spans="1:12" x14ac:dyDescent="0.3">
      <c r="A252" s="53">
        <f>A254-47</f>
        <v>48254</v>
      </c>
      <c r="B252" s="54">
        <f t="shared" si="17"/>
        <v>48254</v>
      </c>
      <c r="C252" t="s">
        <v>111</v>
      </c>
      <c r="D252">
        <f t="shared" si="23"/>
        <v>2032</v>
      </c>
      <c r="E252" t="s">
        <v>110</v>
      </c>
      <c r="H252" s="53">
        <f>DATE(K252,11,15)</f>
        <v>48533</v>
      </c>
      <c r="I252" s="54">
        <f t="shared" si="18"/>
        <v>48533</v>
      </c>
      <c r="J252" t="s">
        <v>127</v>
      </c>
      <c r="K252">
        <f t="shared" si="20"/>
        <v>2032</v>
      </c>
      <c r="L252" t="s">
        <v>110</v>
      </c>
    </row>
    <row r="253" spans="1:12" x14ac:dyDescent="0.3">
      <c r="A253" s="53">
        <f>A254-2</f>
        <v>48299</v>
      </c>
      <c r="B253" s="54">
        <f t="shared" si="17"/>
        <v>48299</v>
      </c>
      <c r="C253" t="s">
        <v>112</v>
      </c>
      <c r="D253">
        <f t="shared" si="23"/>
        <v>2032</v>
      </c>
      <c r="E253" t="s">
        <v>110</v>
      </c>
      <c r="H253" s="53">
        <f>DATE(K253,11,20)</f>
        <v>48538</v>
      </c>
      <c r="I253" s="54">
        <f t="shared" si="18"/>
        <v>48538</v>
      </c>
      <c r="J253" t="s">
        <v>128</v>
      </c>
      <c r="K253">
        <f t="shared" si="20"/>
        <v>2032</v>
      </c>
      <c r="L253" t="s">
        <v>110</v>
      </c>
    </row>
    <row r="254" spans="1:12" x14ac:dyDescent="0.3">
      <c r="A254" s="53">
        <f>FLOOR(DAY(MINUTE(D254/38)/2+56)&amp;"/5"&amp;"/"&amp;D254,7)-34</f>
        <v>48301</v>
      </c>
      <c r="B254" s="54">
        <f t="shared" si="17"/>
        <v>48301</v>
      </c>
      <c r="C254" t="s">
        <v>113</v>
      </c>
      <c r="D254">
        <f t="shared" si="23"/>
        <v>2032</v>
      </c>
      <c r="E254" t="s">
        <v>110</v>
      </c>
      <c r="H254" s="53">
        <f>DATE(K254,12,25)</f>
        <v>48573</v>
      </c>
      <c r="I254" s="54">
        <f t="shared" si="18"/>
        <v>48573</v>
      </c>
      <c r="J254" t="s">
        <v>129</v>
      </c>
      <c r="K254">
        <f t="shared" si="20"/>
        <v>2032</v>
      </c>
      <c r="L254" t="s">
        <v>110</v>
      </c>
    </row>
    <row r="255" spans="1:12" x14ac:dyDescent="0.3">
      <c r="A255" s="53">
        <f>DATE(D255,4,14)</f>
        <v>48318</v>
      </c>
      <c r="B255" s="54">
        <f t="shared" si="17"/>
        <v>48318</v>
      </c>
      <c r="C255" t="s">
        <v>114</v>
      </c>
      <c r="D255">
        <f t="shared" si="23"/>
        <v>2032</v>
      </c>
      <c r="E255" t="s">
        <v>115</v>
      </c>
      <c r="H255" s="53">
        <f>DATE(K255,1,1)</f>
        <v>48580</v>
      </c>
      <c r="I255" s="54">
        <f t="shared" si="18"/>
        <v>48580</v>
      </c>
      <c r="J255" t="s">
        <v>109</v>
      </c>
      <c r="K255">
        <f>K237+1</f>
        <v>2033</v>
      </c>
      <c r="L255" t="s">
        <v>110</v>
      </c>
    </row>
    <row r="256" spans="1:12" x14ac:dyDescent="0.3">
      <c r="A256" s="53">
        <f>DATE(D256,4,21)</f>
        <v>48325</v>
      </c>
      <c r="B256" s="54">
        <f t="shared" si="17"/>
        <v>48325</v>
      </c>
      <c r="C256" t="s">
        <v>116</v>
      </c>
      <c r="D256">
        <f t="shared" si="23"/>
        <v>2032</v>
      </c>
      <c r="E256" t="s">
        <v>110</v>
      </c>
      <c r="H256" s="53">
        <f>H259-48</f>
        <v>48638</v>
      </c>
      <c r="I256" s="54">
        <f t="shared" si="18"/>
        <v>48638</v>
      </c>
      <c r="J256" t="s">
        <v>111</v>
      </c>
      <c r="K256">
        <f t="shared" si="20"/>
        <v>2033</v>
      </c>
      <c r="L256" t="s">
        <v>110</v>
      </c>
    </row>
    <row r="257" spans="1:12" x14ac:dyDescent="0.3">
      <c r="A257" s="53">
        <f>DATE(D257,5,1)</f>
        <v>48335</v>
      </c>
      <c r="B257" s="54">
        <f t="shared" si="17"/>
        <v>48335</v>
      </c>
      <c r="C257" t="s">
        <v>117</v>
      </c>
      <c r="D257">
        <f t="shared" si="23"/>
        <v>2032</v>
      </c>
      <c r="E257" t="s">
        <v>110</v>
      </c>
      <c r="H257" s="53">
        <f>H259-47</f>
        <v>48639</v>
      </c>
      <c r="I257" s="54">
        <f t="shared" si="18"/>
        <v>48639</v>
      </c>
      <c r="J257" t="s">
        <v>111</v>
      </c>
      <c r="K257">
        <f t="shared" si="20"/>
        <v>2033</v>
      </c>
      <c r="L257" t="s">
        <v>110</v>
      </c>
    </row>
    <row r="258" spans="1:12" x14ac:dyDescent="0.3">
      <c r="A258" s="53">
        <f>DATE(D258,5,1)+(14-WEEKDAY(DATE(D258,5,1),2))</f>
        <v>48343</v>
      </c>
      <c r="B258" s="54">
        <f t="shared" si="17"/>
        <v>48343</v>
      </c>
      <c r="C258" t="s">
        <v>118</v>
      </c>
      <c r="D258">
        <f t="shared" si="23"/>
        <v>2032</v>
      </c>
      <c r="E258" t="s">
        <v>110</v>
      </c>
      <c r="H258" s="53">
        <f>H259-2</f>
        <v>48684</v>
      </c>
      <c r="I258" s="54">
        <f t="shared" si="18"/>
        <v>48684</v>
      </c>
      <c r="J258" t="s">
        <v>112</v>
      </c>
      <c r="K258">
        <f t="shared" si="20"/>
        <v>2033</v>
      </c>
      <c r="L258" t="s">
        <v>110</v>
      </c>
    </row>
    <row r="259" spans="1:12" x14ac:dyDescent="0.3">
      <c r="A259" s="53">
        <f>A254+60</f>
        <v>48361</v>
      </c>
      <c r="B259" s="54">
        <f t="shared" ref="B259:B322" si="24">A259</f>
        <v>48361</v>
      </c>
      <c r="C259" t="s">
        <v>119</v>
      </c>
      <c r="D259">
        <f t="shared" si="23"/>
        <v>2032</v>
      </c>
      <c r="E259" t="s">
        <v>110</v>
      </c>
      <c r="H259" s="53">
        <f>FLOOR(DAY(MINUTE(K259/38)/2+56)&amp;"/5"&amp;"/"&amp;K259,7)-34</f>
        <v>48686</v>
      </c>
      <c r="I259" s="54">
        <f t="shared" si="18"/>
        <v>48686</v>
      </c>
      <c r="J259" t="s">
        <v>113</v>
      </c>
      <c r="K259">
        <f t="shared" si="20"/>
        <v>2033</v>
      </c>
      <c r="L259" t="s">
        <v>110</v>
      </c>
    </row>
    <row r="260" spans="1:12" x14ac:dyDescent="0.3">
      <c r="A260" s="53">
        <f>DATE(D260,7,9)</f>
        <v>48404</v>
      </c>
      <c r="B260" s="54">
        <f t="shared" si="24"/>
        <v>48404</v>
      </c>
      <c r="C260" t="s">
        <v>120</v>
      </c>
      <c r="D260">
        <f t="shared" si="23"/>
        <v>2032</v>
      </c>
      <c r="E260" t="s">
        <v>121</v>
      </c>
      <c r="H260" s="53">
        <f>DATE(K260,4,21)</f>
        <v>48690</v>
      </c>
      <c r="I260" s="54">
        <f t="shared" si="18"/>
        <v>48690</v>
      </c>
      <c r="J260" t="s">
        <v>116</v>
      </c>
      <c r="K260">
        <f t="shared" si="20"/>
        <v>2033</v>
      </c>
      <c r="L260" t="s">
        <v>110</v>
      </c>
    </row>
    <row r="261" spans="1:12" x14ac:dyDescent="0.3">
      <c r="A261" s="53">
        <f>DATE(D261,8,8)</f>
        <v>48434</v>
      </c>
      <c r="B261" s="54">
        <f t="shared" si="24"/>
        <v>48434</v>
      </c>
      <c r="C261" t="s">
        <v>122</v>
      </c>
      <c r="D261">
        <f t="shared" si="23"/>
        <v>2032</v>
      </c>
      <c r="E261" t="s">
        <v>115</v>
      </c>
      <c r="H261" s="53">
        <f>DATE(K261,5,1)</f>
        <v>48700</v>
      </c>
      <c r="I261" s="54">
        <f t="shared" si="18"/>
        <v>48700</v>
      </c>
      <c r="J261" t="s">
        <v>117</v>
      </c>
      <c r="K261">
        <f t="shared" si="20"/>
        <v>2033</v>
      </c>
      <c r="L261" t="s">
        <v>110</v>
      </c>
    </row>
    <row r="262" spans="1:12" x14ac:dyDescent="0.3">
      <c r="A262" s="53">
        <f>DATE(D262,8,1)+(14-WEEKDAY(DATE(D262,8,1),2))</f>
        <v>48434</v>
      </c>
      <c r="B262" s="54">
        <f t="shared" si="24"/>
        <v>48434</v>
      </c>
      <c r="C262" t="s">
        <v>123</v>
      </c>
      <c r="D262">
        <f t="shared" si="23"/>
        <v>2032</v>
      </c>
      <c r="E262" t="s">
        <v>110</v>
      </c>
      <c r="H262" s="53">
        <f>DATE(K262,5,1)+(14-WEEKDAY(DATE(K262,5,1),2))</f>
        <v>48707</v>
      </c>
      <c r="I262" s="54">
        <f t="shared" si="18"/>
        <v>48707</v>
      </c>
      <c r="J262" t="s">
        <v>118</v>
      </c>
      <c r="K262">
        <f t="shared" si="20"/>
        <v>2033</v>
      </c>
      <c r="L262" t="s">
        <v>110</v>
      </c>
    </row>
    <row r="263" spans="1:12" x14ac:dyDescent="0.3">
      <c r="A263" s="53">
        <f>DATE(D263,9,7)</f>
        <v>48464</v>
      </c>
      <c r="B263" s="54">
        <f t="shared" si="24"/>
        <v>48464</v>
      </c>
      <c r="C263" t="s">
        <v>124</v>
      </c>
      <c r="D263">
        <f t="shared" si="23"/>
        <v>2032</v>
      </c>
      <c r="E263" t="s">
        <v>110</v>
      </c>
      <c r="H263" s="53">
        <f>H259+60</f>
        <v>48746</v>
      </c>
      <c r="I263" s="54">
        <f t="shared" si="18"/>
        <v>48746</v>
      </c>
      <c r="J263" t="s">
        <v>119</v>
      </c>
      <c r="K263">
        <f t="shared" si="20"/>
        <v>2033</v>
      </c>
      <c r="L263" t="s">
        <v>110</v>
      </c>
    </row>
    <row r="264" spans="1:12" x14ac:dyDescent="0.3">
      <c r="A264" s="53">
        <f>DATE(D264,10,12)</f>
        <v>48499</v>
      </c>
      <c r="B264" s="54">
        <f t="shared" si="24"/>
        <v>48499</v>
      </c>
      <c r="C264" t="s">
        <v>125</v>
      </c>
      <c r="D264">
        <f t="shared" si="23"/>
        <v>2032</v>
      </c>
      <c r="E264" t="s">
        <v>110</v>
      </c>
      <c r="H264" s="53">
        <f>DATE(K264,6,19)</f>
        <v>48749</v>
      </c>
      <c r="I264" s="54">
        <f t="shared" ref="I264:I327" si="25">H264</f>
        <v>48749</v>
      </c>
      <c r="J264" t="s">
        <v>114</v>
      </c>
      <c r="K264">
        <f t="shared" si="20"/>
        <v>2033</v>
      </c>
      <c r="L264" t="s">
        <v>115</v>
      </c>
    </row>
    <row r="265" spans="1:12" x14ac:dyDescent="0.3">
      <c r="A265" s="53">
        <f>DATE(D265,11,2)</f>
        <v>48520</v>
      </c>
      <c r="B265" s="54">
        <f t="shared" si="24"/>
        <v>48520</v>
      </c>
      <c r="C265" t="s">
        <v>126</v>
      </c>
      <c r="D265">
        <f t="shared" si="23"/>
        <v>2032</v>
      </c>
      <c r="E265" t="s">
        <v>110</v>
      </c>
      <c r="H265" s="53">
        <f>DATE(K265,7,9)</f>
        <v>48769</v>
      </c>
      <c r="I265" s="54">
        <f t="shared" si="25"/>
        <v>48769</v>
      </c>
      <c r="J265" t="s">
        <v>120</v>
      </c>
      <c r="K265">
        <f t="shared" si="20"/>
        <v>2033</v>
      </c>
      <c r="L265" t="s">
        <v>121</v>
      </c>
    </row>
    <row r="266" spans="1:12" x14ac:dyDescent="0.3">
      <c r="A266" s="53">
        <f>DATE(D266,11,15)</f>
        <v>48533</v>
      </c>
      <c r="B266" s="54">
        <f t="shared" si="24"/>
        <v>48533</v>
      </c>
      <c r="C266" t="s">
        <v>127</v>
      </c>
      <c r="D266">
        <f t="shared" si="23"/>
        <v>2032</v>
      </c>
      <c r="E266" t="s">
        <v>110</v>
      </c>
      <c r="H266" s="53">
        <f>DATE(K266,8,1)+(14-WEEKDAY(DATE(K266,8,1),2))</f>
        <v>48805</v>
      </c>
      <c r="I266" s="54">
        <f t="shared" si="25"/>
        <v>48805</v>
      </c>
      <c r="J266" t="s">
        <v>123</v>
      </c>
      <c r="K266">
        <f t="shared" ref="K266:K272" si="26">K248+1</f>
        <v>2033</v>
      </c>
      <c r="L266" t="s">
        <v>110</v>
      </c>
    </row>
    <row r="267" spans="1:12" x14ac:dyDescent="0.3">
      <c r="A267" s="53">
        <f>DATE(D267,11,20)</f>
        <v>48538</v>
      </c>
      <c r="B267" s="54">
        <f t="shared" si="24"/>
        <v>48538</v>
      </c>
      <c r="C267" t="s">
        <v>128</v>
      </c>
      <c r="D267">
        <f t="shared" si="23"/>
        <v>2032</v>
      </c>
      <c r="E267" t="s">
        <v>110</v>
      </c>
      <c r="H267" s="53">
        <f>DATE(K267,9,7)</f>
        <v>48829</v>
      </c>
      <c r="I267" s="54">
        <f t="shared" si="25"/>
        <v>48829</v>
      </c>
      <c r="J267" t="s">
        <v>124</v>
      </c>
      <c r="K267">
        <f t="shared" si="26"/>
        <v>2033</v>
      </c>
      <c r="L267" t="s">
        <v>110</v>
      </c>
    </row>
    <row r="268" spans="1:12" x14ac:dyDescent="0.3">
      <c r="A268" s="53">
        <f>DATE(D268,12,25)</f>
        <v>48573</v>
      </c>
      <c r="B268" s="54">
        <f t="shared" si="24"/>
        <v>48573</v>
      </c>
      <c r="C268" t="s">
        <v>129</v>
      </c>
      <c r="D268">
        <f t="shared" si="23"/>
        <v>2032</v>
      </c>
      <c r="E268" t="s">
        <v>110</v>
      </c>
      <c r="H268" s="53">
        <f>DATE(K268,10,12)</f>
        <v>48864</v>
      </c>
      <c r="I268" s="54">
        <f t="shared" si="25"/>
        <v>48864</v>
      </c>
      <c r="J268" t="s">
        <v>125</v>
      </c>
      <c r="K268">
        <f t="shared" si="26"/>
        <v>2033</v>
      </c>
      <c r="L268" t="s">
        <v>110</v>
      </c>
    </row>
    <row r="269" spans="1:12" x14ac:dyDescent="0.3">
      <c r="A269" s="53">
        <f>DATE(D269,1,1)</f>
        <v>48580</v>
      </c>
      <c r="B269" s="54">
        <f t="shared" si="24"/>
        <v>48580</v>
      </c>
      <c r="C269" t="s">
        <v>109</v>
      </c>
      <c r="D269">
        <f>D250+1</f>
        <v>2033</v>
      </c>
      <c r="E269" t="s">
        <v>110</v>
      </c>
      <c r="H269" s="53">
        <f>DATE(K269,11,2)</f>
        <v>48885</v>
      </c>
      <c r="I269" s="54">
        <f t="shared" si="25"/>
        <v>48885</v>
      </c>
      <c r="J269" t="s">
        <v>126</v>
      </c>
      <c r="K269">
        <f t="shared" si="26"/>
        <v>2033</v>
      </c>
      <c r="L269" t="s">
        <v>110</v>
      </c>
    </row>
    <row r="270" spans="1:12" x14ac:dyDescent="0.3">
      <c r="A270" s="53">
        <f>A273-48</f>
        <v>48638</v>
      </c>
      <c r="B270" s="54">
        <f t="shared" si="24"/>
        <v>48638</v>
      </c>
      <c r="C270" t="s">
        <v>111</v>
      </c>
      <c r="D270">
        <f t="shared" si="23"/>
        <v>2033</v>
      </c>
      <c r="E270" t="s">
        <v>110</v>
      </c>
      <c r="H270" s="53">
        <f>DATE(K270,11,15)</f>
        <v>48898</v>
      </c>
      <c r="I270" s="54">
        <f t="shared" si="25"/>
        <v>48898</v>
      </c>
      <c r="J270" t="s">
        <v>127</v>
      </c>
      <c r="K270">
        <f t="shared" si="26"/>
        <v>2033</v>
      </c>
      <c r="L270" t="s">
        <v>110</v>
      </c>
    </row>
    <row r="271" spans="1:12" x14ac:dyDescent="0.3">
      <c r="A271" s="53">
        <f>A273-47</f>
        <v>48639</v>
      </c>
      <c r="B271" s="54">
        <f t="shared" si="24"/>
        <v>48639</v>
      </c>
      <c r="C271" t="s">
        <v>111</v>
      </c>
      <c r="D271">
        <f t="shared" si="23"/>
        <v>2033</v>
      </c>
      <c r="E271" t="s">
        <v>110</v>
      </c>
      <c r="H271" s="53">
        <f>DATE(K271,11,20)</f>
        <v>48903</v>
      </c>
      <c r="I271" s="54">
        <f t="shared" si="25"/>
        <v>48903</v>
      </c>
      <c r="J271" t="s">
        <v>128</v>
      </c>
      <c r="K271">
        <f t="shared" si="26"/>
        <v>2033</v>
      </c>
      <c r="L271" t="s">
        <v>110</v>
      </c>
    </row>
    <row r="272" spans="1:12" x14ac:dyDescent="0.3">
      <c r="A272" s="53">
        <f>A273-2</f>
        <v>48684</v>
      </c>
      <c r="B272" s="54">
        <f t="shared" si="24"/>
        <v>48684</v>
      </c>
      <c r="C272" t="s">
        <v>112</v>
      </c>
      <c r="D272">
        <f t="shared" si="23"/>
        <v>2033</v>
      </c>
      <c r="E272" t="s">
        <v>110</v>
      </c>
      <c r="H272" s="53">
        <f>DATE(K272,12,25)</f>
        <v>48938</v>
      </c>
      <c r="I272" s="54">
        <f t="shared" si="25"/>
        <v>48938</v>
      </c>
      <c r="J272" t="s">
        <v>129</v>
      </c>
      <c r="K272">
        <f t="shared" si="26"/>
        <v>2033</v>
      </c>
      <c r="L272" t="s">
        <v>110</v>
      </c>
    </row>
    <row r="273" spans="1:12" x14ac:dyDescent="0.3">
      <c r="A273" s="53">
        <f>FLOOR(DAY(MINUTE(D273/38)/2+56)&amp;"/5"&amp;"/"&amp;D273,7)-34</f>
        <v>48686</v>
      </c>
      <c r="B273" s="54">
        <f t="shared" si="24"/>
        <v>48686</v>
      </c>
      <c r="C273" t="s">
        <v>113</v>
      </c>
      <c r="D273">
        <f t="shared" si="23"/>
        <v>2033</v>
      </c>
      <c r="E273" t="s">
        <v>110</v>
      </c>
      <c r="H273" s="53">
        <f>DATE(K273,1,1)</f>
        <v>48945</v>
      </c>
      <c r="I273" s="54">
        <f t="shared" si="25"/>
        <v>48945</v>
      </c>
      <c r="J273" t="s">
        <v>109</v>
      </c>
      <c r="K273">
        <f>K255+1</f>
        <v>2034</v>
      </c>
      <c r="L273" t="s">
        <v>110</v>
      </c>
    </row>
    <row r="274" spans="1:12" x14ac:dyDescent="0.3">
      <c r="A274" s="53">
        <f>DATE(D274,4,14)</f>
        <v>48683</v>
      </c>
      <c r="B274" s="54">
        <f t="shared" si="24"/>
        <v>48683</v>
      </c>
      <c r="C274" t="s">
        <v>114</v>
      </c>
      <c r="D274">
        <f t="shared" si="23"/>
        <v>2033</v>
      </c>
      <c r="E274" t="s">
        <v>115</v>
      </c>
      <c r="H274" s="53">
        <f>H277-48</f>
        <v>48995</v>
      </c>
      <c r="I274" s="54">
        <f t="shared" si="25"/>
        <v>48995</v>
      </c>
      <c r="J274" t="s">
        <v>111</v>
      </c>
      <c r="K274">
        <f t="shared" ref="K274:K290" si="27">K256+1</f>
        <v>2034</v>
      </c>
      <c r="L274" t="s">
        <v>110</v>
      </c>
    </row>
    <row r="275" spans="1:12" x14ac:dyDescent="0.3">
      <c r="A275" s="53">
        <f>DATE(D275,4,21)</f>
        <v>48690</v>
      </c>
      <c r="B275" s="54">
        <f t="shared" si="24"/>
        <v>48690</v>
      </c>
      <c r="C275" t="s">
        <v>116</v>
      </c>
      <c r="D275">
        <f t="shared" si="23"/>
        <v>2033</v>
      </c>
      <c r="E275" t="s">
        <v>110</v>
      </c>
      <c r="H275" s="53">
        <f>H277-47</f>
        <v>48996</v>
      </c>
      <c r="I275" s="54">
        <f t="shared" si="25"/>
        <v>48996</v>
      </c>
      <c r="J275" t="s">
        <v>111</v>
      </c>
      <c r="K275">
        <f t="shared" si="27"/>
        <v>2034</v>
      </c>
      <c r="L275" t="s">
        <v>110</v>
      </c>
    </row>
    <row r="276" spans="1:12" x14ac:dyDescent="0.3">
      <c r="A276" s="53">
        <f>DATE(D276,5,1)</f>
        <v>48700</v>
      </c>
      <c r="B276" s="54">
        <f t="shared" si="24"/>
        <v>48700</v>
      </c>
      <c r="C276" t="s">
        <v>117</v>
      </c>
      <c r="D276">
        <f t="shared" si="23"/>
        <v>2033</v>
      </c>
      <c r="E276" t="s">
        <v>110</v>
      </c>
      <c r="H276" s="53">
        <f>H277-2</f>
        <v>49041</v>
      </c>
      <c r="I276" s="54">
        <f t="shared" si="25"/>
        <v>49041</v>
      </c>
      <c r="J276" t="s">
        <v>112</v>
      </c>
      <c r="K276">
        <f t="shared" si="27"/>
        <v>2034</v>
      </c>
      <c r="L276" t="s">
        <v>110</v>
      </c>
    </row>
    <row r="277" spans="1:12" x14ac:dyDescent="0.3">
      <c r="A277" s="53">
        <f>DATE(D277,5,1)+(14-WEEKDAY(DATE(D277,5,1),2))</f>
        <v>48707</v>
      </c>
      <c r="B277" s="54">
        <f t="shared" si="24"/>
        <v>48707</v>
      </c>
      <c r="C277" t="s">
        <v>118</v>
      </c>
      <c r="D277">
        <f t="shared" si="23"/>
        <v>2033</v>
      </c>
      <c r="E277" t="s">
        <v>110</v>
      </c>
      <c r="H277" s="53">
        <f>FLOOR(DAY(MINUTE(K277/38)/2+56)&amp;"/5"&amp;"/"&amp;K277,7)-34</f>
        <v>49043</v>
      </c>
      <c r="I277" s="54">
        <f t="shared" si="25"/>
        <v>49043</v>
      </c>
      <c r="J277" t="s">
        <v>113</v>
      </c>
      <c r="K277">
        <f t="shared" si="27"/>
        <v>2034</v>
      </c>
      <c r="L277" t="s">
        <v>110</v>
      </c>
    </row>
    <row r="278" spans="1:12" x14ac:dyDescent="0.3">
      <c r="A278" s="53">
        <f>A273+60</f>
        <v>48746</v>
      </c>
      <c r="B278" s="54">
        <f t="shared" si="24"/>
        <v>48746</v>
      </c>
      <c r="C278" t="s">
        <v>119</v>
      </c>
      <c r="D278">
        <f t="shared" si="23"/>
        <v>2033</v>
      </c>
      <c r="E278" t="s">
        <v>110</v>
      </c>
      <c r="H278" s="53">
        <f>DATE(K278,4,21)</f>
        <v>49055</v>
      </c>
      <c r="I278" s="54">
        <f t="shared" si="25"/>
        <v>49055</v>
      </c>
      <c r="J278" t="s">
        <v>116</v>
      </c>
      <c r="K278">
        <f t="shared" si="27"/>
        <v>2034</v>
      </c>
      <c r="L278" t="s">
        <v>110</v>
      </c>
    </row>
    <row r="279" spans="1:12" x14ac:dyDescent="0.3">
      <c r="A279" s="53">
        <f>DATE(D279,7,9)</f>
        <v>48769</v>
      </c>
      <c r="B279" s="54">
        <f t="shared" si="24"/>
        <v>48769</v>
      </c>
      <c r="C279" t="s">
        <v>120</v>
      </c>
      <c r="D279">
        <f t="shared" si="23"/>
        <v>2033</v>
      </c>
      <c r="E279" t="s">
        <v>121</v>
      </c>
      <c r="H279" s="53">
        <f>DATE(K279,5,1)</f>
        <v>49065</v>
      </c>
      <c r="I279" s="54">
        <f t="shared" si="25"/>
        <v>49065</v>
      </c>
      <c r="J279" t="s">
        <v>117</v>
      </c>
      <c r="K279">
        <f t="shared" si="27"/>
        <v>2034</v>
      </c>
      <c r="L279" t="s">
        <v>110</v>
      </c>
    </row>
    <row r="280" spans="1:12" x14ac:dyDescent="0.3">
      <c r="A280" s="53">
        <f>DATE(D280,8,8)</f>
        <v>48799</v>
      </c>
      <c r="B280" s="54">
        <f t="shared" si="24"/>
        <v>48799</v>
      </c>
      <c r="C280" t="s">
        <v>122</v>
      </c>
      <c r="D280">
        <f t="shared" si="23"/>
        <v>2033</v>
      </c>
      <c r="E280" t="s">
        <v>115</v>
      </c>
      <c r="H280" s="53">
        <f>DATE(K280,5,1)+(14-WEEKDAY(DATE(K280,5,1),2))</f>
        <v>49078</v>
      </c>
      <c r="I280" s="54">
        <f t="shared" si="25"/>
        <v>49078</v>
      </c>
      <c r="J280" t="s">
        <v>118</v>
      </c>
      <c r="K280">
        <f t="shared" si="27"/>
        <v>2034</v>
      </c>
      <c r="L280" t="s">
        <v>110</v>
      </c>
    </row>
    <row r="281" spans="1:12" x14ac:dyDescent="0.3">
      <c r="A281" s="53">
        <f>DATE(D281,8,1)+(14-WEEKDAY(DATE(D281,8,1),2))</f>
        <v>48805</v>
      </c>
      <c r="B281" s="54">
        <f t="shared" si="24"/>
        <v>48805</v>
      </c>
      <c r="C281" t="s">
        <v>123</v>
      </c>
      <c r="D281">
        <f t="shared" si="23"/>
        <v>2033</v>
      </c>
      <c r="E281" t="s">
        <v>110</v>
      </c>
      <c r="H281" s="53">
        <f>H277+60</f>
        <v>49103</v>
      </c>
      <c r="I281" s="54">
        <f t="shared" si="25"/>
        <v>49103</v>
      </c>
      <c r="J281" t="s">
        <v>119</v>
      </c>
      <c r="K281">
        <f t="shared" si="27"/>
        <v>2034</v>
      </c>
      <c r="L281" t="s">
        <v>110</v>
      </c>
    </row>
    <row r="282" spans="1:12" x14ac:dyDescent="0.3">
      <c r="A282" s="53">
        <f>DATE(D282,9,7)</f>
        <v>48829</v>
      </c>
      <c r="B282" s="54">
        <f t="shared" si="24"/>
        <v>48829</v>
      </c>
      <c r="C282" t="s">
        <v>124</v>
      </c>
      <c r="D282">
        <f t="shared" si="23"/>
        <v>2033</v>
      </c>
      <c r="E282" t="s">
        <v>110</v>
      </c>
      <c r="H282" s="53">
        <f>DATE(K282,6,19)</f>
        <v>49114</v>
      </c>
      <c r="I282" s="54">
        <f t="shared" si="25"/>
        <v>49114</v>
      </c>
      <c r="J282" t="s">
        <v>114</v>
      </c>
      <c r="K282">
        <f t="shared" si="27"/>
        <v>2034</v>
      </c>
      <c r="L282" t="s">
        <v>115</v>
      </c>
    </row>
    <row r="283" spans="1:12" x14ac:dyDescent="0.3">
      <c r="A283" s="53">
        <f>DATE(D283,10,12)</f>
        <v>48864</v>
      </c>
      <c r="B283" s="54">
        <f t="shared" si="24"/>
        <v>48864</v>
      </c>
      <c r="C283" t="s">
        <v>125</v>
      </c>
      <c r="D283">
        <f t="shared" si="23"/>
        <v>2033</v>
      </c>
      <c r="E283" t="s">
        <v>110</v>
      </c>
      <c r="H283" s="53">
        <f>DATE(K283,7,9)</f>
        <v>49134</v>
      </c>
      <c r="I283" s="54">
        <f t="shared" si="25"/>
        <v>49134</v>
      </c>
      <c r="J283" t="s">
        <v>120</v>
      </c>
      <c r="K283">
        <f t="shared" si="27"/>
        <v>2034</v>
      </c>
      <c r="L283" t="s">
        <v>121</v>
      </c>
    </row>
    <row r="284" spans="1:12" x14ac:dyDescent="0.3">
      <c r="A284" s="53">
        <f>DATE(D284,11,2)</f>
        <v>48885</v>
      </c>
      <c r="B284" s="54">
        <f t="shared" si="24"/>
        <v>48885</v>
      </c>
      <c r="C284" t="s">
        <v>126</v>
      </c>
      <c r="D284">
        <f t="shared" si="23"/>
        <v>2033</v>
      </c>
      <c r="E284" t="s">
        <v>110</v>
      </c>
      <c r="H284" s="53">
        <f>DATE(K284,8,1)+(14-WEEKDAY(DATE(K284,8,1),2))</f>
        <v>49169</v>
      </c>
      <c r="I284" s="54">
        <f t="shared" si="25"/>
        <v>49169</v>
      </c>
      <c r="J284" t="s">
        <v>123</v>
      </c>
      <c r="K284">
        <f t="shared" si="27"/>
        <v>2034</v>
      </c>
      <c r="L284" t="s">
        <v>110</v>
      </c>
    </row>
    <row r="285" spans="1:12" x14ac:dyDescent="0.3">
      <c r="A285" s="53">
        <f>DATE(D285,11,15)</f>
        <v>48898</v>
      </c>
      <c r="B285" s="54">
        <f t="shared" si="24"/>
        <v>48898</v>
      </c>
      <c r="C285" t="s">
        <v>127</v>
      </c>
      <c r="D285">
        <f t="shared" si="23"/>
        <v>2033</v>
      </c>
      <c r="E285" t="s">
        <v>110</v>
      </c>
      <c r="H285" s="53">
        <f>DATE(K285,9,7)</f>
        <v>49194</v>
      </c>
      <c r="I285" s="54">
        <f t="shared" si="25"/>
        <v>49194</v>
      </c>
      <c r="J285" t="s">
        <v>124</v>
      </c>
      <c r="K285">
        <f t="shared" si="27"/>
        <v>2034</v>
      </c>
      <c r="L285" t="s">
        <v>110</v>
      </c>
    </row>
    <row r="286" spans="1:12" x14ac:dyDescent="0.3">
      <c r="A286" s="53">
        <f>DATE(D286,11,20)</f>
        <v>48903</v>
      </c>
      <c r="B286" s="54">
        <f t="shared" si="24"/>
        <v>48903</v>
      </c>
      <c r="C286" t="s">
        <v>128</v>
      </c>
      <c r="D286">
        <f t="shared" si="23"/>
        <v>2033</v>
      </c>
      <c r="E286" t="s">
        <v>110</v>
      </c>
      <c r="H286" s="53">
        <f>DATE(K286,10,12)</f>
        <v>49229</v>
      </c>
      <c r="I286" s="54">
        <f t="shared" si="25"/>
        <v>49229</v>
      </c>
      <c r="J286" t="s">
        <v>125</v>
      </c>
      <c r="K286">
        <f t="shared" si="27"/>
        <v>2034</v>
      </c>
      <c r="L286" t="s">
        <v>110</v>
      </c>
    </row>
    <row r="287" spans="1:12" x14ac:dyDescent="0.3">
      <c r="A287" s="53">
        <f>DATE(D287,12,25)</f>
        <v>48938</v>
      </c>
      <c r="B287" s="54">
        <f t="shared" si="24"/>
        <v>48938</v>
      </c>
      <c r="C287" t="s">
        <v>129</v>
      </c>
      <c r="D287">
        <f t="shared" si="23"/>
        <v>2033</v>
      </c>
      <c r="E287" t="s">
        <v>110</v>
      </c>
      <c r="H287" s="53">
        <f>DATE(K287,11,2)</f>
        <v>49250</v>
      </c>
      <c r="I287" s="54">
        <f t="shared" si="25"/>
        <v>49250</v>
      </c>
      <c r="J287" t="s">
        <v>126</v>
      </c>
      <c r="K287">
        <f t="shared" si="27"/>
        <v>2034</v>
      </c>
      <c r="L287" t="s">
        <v>110</v>
      </c>
    </row>
    <row r="288" spans="1:12" x14ac:dyDescent="0.3">
      <c r="A288" s="53">
        <f>DATE(D288,1,1)</f>
        <v>48945</v>
      </c>
      <c r="B288" s="54">
        <f t="shared" si="24"/>
        <v>48945</v>
      </c>
      <c r="C288" t="s">
        <v>109</v>
      </c>
      <c r="D288">
        <f>D269+1</f>
        <v>2034</v>
      </c>
      <c r="E288" t="s">
        <v>110</v>
      </c>
      <c r="H288" s="53">
        <f>DATE(K288,11,15)</f>
        <v>49263</v>
      </c>
      <c r="I288" s="54">
        <f t="shared" si="25"/>
        <v>49263</v>
      </c>
      <c r="J288" t="s">
        <v>127</v>
      </c>
      <c r="K288">
        <f t="shared" si="27"/>
        <v>2034</v>
      </c>
      <c r="L288" t="s">
        <v>110</v>
      </c>
    </row>
    <row r="289" spans="1:12" x14ac:dyDescent="0.3">
      <c r="A289" s="53">
        <f>A292-48</f>
        <v>48995</v>
      </c>
      <c r="B289" s="54">
        <f t="shared" si="24"/>
        <v>48995</v>
      </c>
      <c r="C289" t="s">
        <v>111</v>
      </c>
      <c r="D289">
        <f t="shared" si="23"/>
        <v>2034</v>
      </c>
      <c r="E289" t="s">
        <v>110</v>
      </c>
      <c r="H289" s="53">
        <f>DATE(K289,11,20)</f>
        <v>49268</v>
      </c>
      <c r="I289" s="54">
        <f t="shared" si="25"/>
        <v>49268</v>
      </c>
      <c r="J289" t="s">
        <v>128</v>
      </c>
      <c r="K289">
        <f t="shared" si="27"/>
        <v>2034</v>
      </c>
      <c r="L289" t="s">
        <v>110</v>
      </c>
    </row>
    <row r="290" spans="1:12" x14ac:dyDescent="0.3">
      <c r="A290" s="53">
        <f>A292-47</f>
        <v>48996</v>
      </c>
      <c r="B290" s="54">
        <f t="shared" si="24"/>
        <v>48996</v>
      </c>
      <c r="C290" t="s">
        <v>111</v>
      </c>
      <c r="D290">
        <f t="shared" si="23"/>
        <v>2034</v>
      </c>
      <c r="E290" t="s">
        <v>110</v>
      </c>
      <c r="H290" s="53">
        <f>DATE(K290,12,25)</f>
        <v>49303</v>
      </c>
      <c r="I290" s="54">
        <f t="shared" si="25"/>
        <v>49303</v>
      </c>
      <c r="J290" t="s">
        <v>129</v>
      </c>
      <c r="K290">
        <f t="shared" si="27"/>
        <v>2034</v>
      </c>
      <c r="L290" t="s">
        <v>110</v>
      </c>
    </row>
    <row r="291" spans="1:12" x14ac:dyDescent="0.3">
      <c r="A291" s="53">
        <f>A292-2</f>
        <v>49041</v>
      </c>
      <c r="B291" s="54">
        <f t="shared" si="24"/>
        <v>49041</v>
      </c>
      <c r="C291" t="s">
        <v>112</v>
      </c>
      <c r="D291">
        <f t="shared" si="23"/>
        <v>2034</v>
      </c>
      <c r="E291" t="s">
        <v>110</v>
      </c>
      <c r="H291" s="53">
        <f>DATE(K291,1,1)</f>
        <v>49310</v>
      </c>
      <c r="I291" s="54">
        <f t="shared" si="25"/>
        <v>49310</v>
      </c>
      <c r="J291" t="s">
        <v>109</v>
      </c>
      <c r="K291">
        <f>K273+1</f>
        <v>2035</v>
      </c>
      <c r="L291" t="s">
        <v>110</v>
      </c>
    </row>
    <row r="292" spans="1:12" x14ac:dyDescent="0.3">
      <c r="A292" s="53">
        <f>FLOOR(DAY(MINUTE(D292/38)/2+56)&amp;"/5"&amp;"/"&amp;D292,7)-34</f>
        <v>49043</v>
      </c>
      <c r="B292" s="54">
        <f t="shared" si="24"/>
        <v>49043</v>
      </c>
      <c r="C292" t="s">
        <v>113</v>
      </c>
      <c r="D292">
        <f t="shared" si="23"/>
        <v>2034</v>
      </c>
      <c r="E292" t="s">
        <v>110</v>
      </c>
      <c r="H292" s="53">
        <f>H295-48</f>
        <v>49345</v>
      </c>
      <c r="I292" s="54">
        <f t="shared" si="25"/>
        <v>49345</v>
      </c>
      <c r="J292" t="s">
        <v>111</v>
      </c>
      <c r="K292">
        <f t="shared" ref="K292:K355" si="28">K274+1</f>
        <v>2035</v>
      </c>
      <c r="L292" t="s">
        <v>110</v>
      </c>
    </row>
    <row r="293" spans="1:12" x14ac:dyDescent="0.3">
      <c r="A293" s="53">
        <f>DATE(D293,4,14)</f>
        <v>49048</v>
      </c>
      <c r="B293" s="54">
        <f t="shared" si="24"/>
        <v>49048</v>
      </c>
      <c r="C293" t="s">
        <v>114</v>
      </c>
      <c r="D293">
        <f t="shared" si="23"/>
        <v>2034</v>
      </c>
      <c r="E293" t="s">
        <v>115</v>
      </c>
      <c r="H293" s="53">
        <f>H295-47</f>
        <v>49346</v>
      </c>
      <c r="I293" s="54">
        <f t="shared" si="25"/>
        <v>49346</v>
      </c>
      <c r="J293" t="s">
        <v>111</v>
      </c>
      <c r="K293">
        <f t="shared" si="28"/>
        <v>2035</v>
      </c>
      <c r="L293" t="s">
        <v>110</v>
      </c>
    </row>
    <row r="294" spans="1:12" x14ac:dyDescent="0.3">
      <c r="A294" s="53">
        <f>DATE(D294,4,21)</f>
        <v>49055</v>
      </c>
      <c r="B294" s="54">
        <f t="shared" si="24"/>
        <v>49055</v>
      </c>
      <c r="C294" t="s">
        <v>116</v>
      </c>
      <c r="D294">
        <f t="shared" si="23"/>
        <v>2034</v>
      </c>
      <c r="E294" t="s">
        <v>110</v>
      </c>
      <c r="H294" s="53">
        <f>H295-2</f>
        <v>49391</v>
      </c>
      <c r="I294" s="54">
        <f t="shared" si="25"/>
        <v>49391</v>
      </c>
      <c r="J294" t="s">
        <v>112</v>
      </c>
      <c r="K294">
        <f t="shared" si="28"/>
        <v>2035</v>
      </c>
      <c r="L294" t="s">
        <v>110</v>
      </c>
    </row>
    <row r="295" spans="1:12" x14ac:dyDescent="0.3">
      <c r="A295" s="53">
        <f>DATE(D295,5,1)</f>
        <v>49065</v>
      </c>
      <c r="B295" s="54">
        <f t="shared" si="24"/>
        <v>49065</v>
      </c>
      <c r="C295" t="s">
        <v>117</v>
      </c>
      <c r="D295">
        <f t="shared" si="23"/>
        <v>2034</v>
      </c>
      <c r="E295" t="s">
        <v>110</v>
      </c>
      <c r="H295" s="53">
        <f>FLOOR(DAY(MINUTE(K295/38)/2+56)&amp;"/5"&amp;"/"&amp;K295,7)-34</f>
        <v>49393</v>
      </c>
      <c r="I295" s="54">
        <f t="shared" si="25"/>
        <v>49393</v>
      </c>
      <c r="J295" t="s">
        <v>113</v>
      </c>
      <c r="K295">
        <f t="shared" si="28"/>
        <v>2035</v>
      </c>
      <c r="L295" t="s">
        <v>110</v>
      </c>
    </row>
    <row r="296" spans="1:12" x14ac:dyDescent="0.3">
      <c r="A296" s="53">
        <f>DATE(D296,5,1)+(14-WEEKDAY(DATE(D296,5,1),2))</f>
        <v>49078</v>
      </c>
      <c r="B296" s="54">
        <f t="shared" si="24"/>
        <v>49078</v>
      </c>
      <c r="C296" t="s">
        <v>118</v>
      </c>
      <c r="D296">
        <f t="shared" si="23"/>
        <v>2034</v>
      </c>
      <c r="E296" t="s">
        <v>110</v>
      </c>
      <c r="H296" s="53">
        <f>DATE(K296,4,21)</f>
        <v>49420</v>
      </c>
      <c r="I296" s="54">
        <f t="shared" si="25"/>
        <v>49420</v>
      </c>
      <c r="J296" t="s">
        <v>116</v>
      </c>
      <c r="K296">
        <f t="shared" si="28"/>
        <v>2035</v>
      </c>
      <c r="L296" t="s">
        <v>110</v>
      </c>
    </row>
    <row r="297" spans="1:12" x14ac:dyDescent="0.3">
      <c r="A297" s="53">
        <f>A292+60</f>
        <v>49103</v>
      </c>
      <c r="B297" s="54">
        <f t="shared" si="24"/>
        <v>49103</v>
      </c>
      <c r="C297" t="s">
        <v>119</v>
      </c>
      <c r="D297">
        <f t="shared" si="23"/>
        <v>2034</v>
      </c>
      <c r="E297" t="s">
        <v>110</v>
      </c>
      <c r="H297" s="53">
        <f>DATE(K297,5,1)</f>
        <v>49430</v>
      </c>
      <c r="I297" s="54">
        <f t="shared" si="25"/>
        <v>49430</v>
      </c>
      <c r="J297" t="s">
        <v>117</v>
      </c>
      <c r="K297">
        <f t="shared" si="28"/>
        <v>2035</v>
      </c>
      <c r="L297" t="s">
        <v>110</v>
      </c>
    </row>
    <row r="298" spans="1:12" x14ac:dyDescent="0.3">
      <c r="A298" s="53">
        <f>DATE(D298,7,9)</f>
        <v>49134</v>
      </c>
      <c r="B298" s="54">
        <f t="shared" si="24"/>
        <v>49134</v>
      </c>
      <c r="C298" t="s">
        <v>120</v>
      </c>
      <c r="D298">
        <f t="shared" si="23"/>
        <v>2034</v>
      </c>
      <c r="E298" t="s">
        <v>121</v>
      </c>
      <c r="H298" s="53">
        <f>DATE(K298,5,1)+(14-WEEKDAY(DATE(K298,5,1),2))</f>
        <v>49442</v>
      </c>
      <c r="I298" s="54">
        <f t="shared" si="25"/>
        <v>49442</v>
      </c>
      <c r="J298" t="s">
        <v>118</v>
      </c>
      <c r="K298">
        <f t="shared" si="28"/>
        <v>2035</v>
      </c>
      <c r="L298" t="s">
        <v>110</v>
      </c>
    </row>
    <row r="299" spans="1:12" x14ac:dyDescent="0.3">
      <c r="A299" s="53">
        <f>DATE(D299,8,8)</f>
        <v>49164</v>
      </c>
      <c r="B299" s="54">
        <f t="shared" si="24"/>
        <v>49164</v>
      </c>
      <c r="C299" t="s">
        <v>122</v>
      </c>
      <c r="D299">
        <f t="shared" si="23"/>
        <v>2034</v>
      </c>
      <c r="E299" t="s">
        <v>115</v>
      </c>
      <c r="H299" s="53">
        <f>H295+60</f>
        <v>49453</v>
      </c>
      <c r="I299" s="54">
        <f t="shared" si="25"/>
        <v>49453</v>
      </c>
      <c r="J299" t="s">
        <v>119</v>
      </c>
      <c r="K299">
        <f t="shared" si="28"/>
        <v>2035</v>
      </c>
      <c r="L299" t="s">
        <v>110</v>
      </c>
    </row>
    <row r="300" spans="1:12" x14ac:dyDescent="0.3">
      <c r="A300" s="53">
        <f>DATE(D300,8,1)+(14-WEEKDAY(DATE(D300,8,1),2))</f>
        <v>49169</v>
      </c>
      <c r="B300" s="54">
        <f t="shared" si="24"/>
        <v>49169</v>
      </c>
      <c r="C300" t="s">
        <v>123</v>
      </c>
      <c r="D300">
        <f t="shared" si="23"/>
        <v>2034</v>
      </c>
      <c r="E300" t="s">
        <v>110</v>
      </c>
      <c r="H300" s="53">
        <f>DATE(K300,6,19)</f>
        <v>49479</v>
      </c>
      <c r="I300" s="54">
        <f t="shared" si="25"/>
        <v>49479</v>
      </c>
      <c r="J300" t="s">
        <v>114</v>
      </c>
      <c r="K300">
        <f t="shared" si="28"/>
        <v>2035</v>
      </c>
      <c r="L300" t="s">
        <v>115</v>
      </c>
    </row>
    <row r="301" spans="1:12" x14ac:dyDescent="0.3">
      <c r="A301" s="53">
        <f>DATE(D301,9,7)</f>
        <v>49194</v>
      </c>
      <c r="B301" s="54">
        <f t="shared" si="24"/>
        <v>49194</v>
      </c>
      <c r="C301" t="s">
        <v>124</v>
      </c>
      <c r="D301">
        <f t="shared" si="23"/>
        <v>2034</v>
      </c>
      <c r="E301" t="s">
        <v>110</v>
      </c>
      <c r="H301" s="53">
        <f>DATE(K301,7,9)</f>
        <v>49499</v>
      </c>
      <c r="I301" s="54">
        <f t="shared" si="25"/>
        <v>49499</v>
      </c>
      <c r="J301" t="s">
        <v>120</v>
      </c>
      <c r="K301">
        <f t="shared" si="28"/>
        <v>2035</v>
      </c>
      <c r="L301" t="s">
        <v>121</v>
      </c>
    </row>
    <row r="302" spans="1:12" x14ac:dyDescent="0.3">
      <c r="A302" s="53">
        <f>DATE(D302,10,12)</f>
        <v>49229</v>
      </c>
      <c r="B302" s="54">
        <f t="shared" si="24"/>
        <v>49229</v>
      </c>
      <c r="C302" t="s">
        <v>125</v>
      </c>
      <c r="D302">
        <f t="shared" si="23"/>
        <v>2034</v>
      </c>
      <c r="E302" t="s">
        <v>110</v>
      </c>
      <c r="H302" s="53">
        <f>DATE(K302,8,1)+(14-WEEKDAY(DATE(K302,8,1),2))</f>
        <v>49533</v>
      </c>
      <c r="I302" s="54">
        <f t="shared" si="25"/>
        <v>49533</v>
      </c>
      <c r="J302" t="s">
        <v>123</v>
      </c>
      <c r="K302">
        <f t="shared" si="28"/>
        <v>2035</v>
      </c>
      <c r="L302" t="s">
        <v>110</v>
      </c>
    </row>
    <row r="303" spans="1:12" x14ac:dyDescent="0.3">
      <c r="A303" s="53">
        <f>DATE(D303,11,2)</f>
        <v>49250</v>
      </c>
      <c r="B303" s="54">
        <f t="shared" si="24"/>
        <v>49250</v>
      </c>
      <c r="C303" t="s">
        <v>126</v>
      </c>
      <c r="D303">
        <f t="shared" si="23"/>
        <v>2034</v>
      </c>
      <c r="E303" t="s">
        <v>110</v>
      </c>
      <c r="H303" s="53">
        <f>DATE(K303,9,7)</f>
        <v>49559</v>
      </c>
      <c r="I303" s="54">
        <f t="shared" si="25"/>
        <v>49559</v>
      </c>
      <c r="J303" t="s">
        <v>124</v>
      </c>
      <c r="K303">
        <f t="shared" si="28"/>
        <v>2035</v>
      </c>
      <c r="L303" t="s">
        <v>110</v>
      </c>
    </row>
    <row r="304" spans="1:12" x14ac:dyDescent="0.3">
      <c r="A304" s="53">
        <f>DATE(D304,11,15)</f>
        <v>49263</v>
      </c>
      <c r="B304" s="54">
        <f t="shared" si="24"/>
        <v>49263</v>
      </c>
      <c r="C304" t="s">
        <v>127</v>
      </c>
      <c r="D304">
        <f t="shared" si="23"/>
        <v>2034</v>
      </c>
      <c r="E304" t="s">
        <v>110</v>
      </c>
      <c r="H304" s="53">
        <f>DATE(K304,10,12)</f>
        <v>49594</v>
      </c>
      <c r="I304" s="54">
        <f t="shared" si="25"/>
        <v>49594</v>
      </c>
      <c r="J304" t="s">
        <v>125</v>
      </c>
      <c r="K304">
        <f t="shared" si="28"/>
        <v>2035</v>
      </c>
      <c r="L304" t="s">
        <v>110</v>
      </c>
    </row>
    <row r="305" spans="1:12" x14ac:dyDescent="0.3">
      <c r="A305" s="53">
        <f>DATE(D305,11,20)</f>
        <v>49268</v>
      </c>
      <c r="B305" s="54">
        <f t="shared" si="24"/>
        <v>49268</v>
      </c>
      <c r="C305" t="s">
        <v>128</v>
      </c>
      <c r="D305">
        <f t="shared" si="23"/>
        <v>2034</v>
      </c>
      <c r="E305" t="s">
        <v>110</v>
      </c>
      <c r="H305" s="53">
        <f>DATE(K305,11,2)</f>
        <v>49615</v>
      </c>
      <c r="I305" s="54">
        <f t="shared" si="25"/>
        <v>49615</v>
      </c>
      <c r="J305" t="s">
        <v>126</v>
      </c>
      <c r="K305">
        <f t="shared" si="28"/>
        <v>2035</v>
      </c>
      <c r="L305" t="s">
        <v>110</v>
      </c>
    </row>
    <row r="306" spans="1:12" x14ac:dyDescent="0.3">
      <c r="A306" s="53">
        <f>DATE(D306,12,25)</f>
        <v>49303</v>
      </c>
      <c r="B306" s="54">
        <f t="shared" si="24"/>
        <v>49303</v>
      </c>
      <c r="C306" t="s">
        <v>129</v>
      </c>
      <c r="D306">
        <f t="shared" si="23"/>
        <v>2034</v>
      </c>
      <c r="E306" t="s">
        <v>110</v>
      </c>
      <c r="H306" s="53">
        <f>DATE(K306,11,15)</f>
        <v>49628</v>
      </c>
      <c r="I306" s="54">
        <f t="shared" si="25"/>
        <v>49628</v>
      </c>
      <c r="J306" t="s">
        <v>127</v>
      </c>
      <c r="K306">
        <f t="shared" si="28"/>
        <v>2035</v>
      </c>
      <c r="L306" t="s">
        <v>110</v>
      </c>
    </row>
    <row r="307" spans="1:12" x14ac:dyDescent="0.3">
      <c r="A307" s="53">
        <f>DATE(D307,1,1)</f>
        <v>49310</v>
      </c>
      <c r="B307" s="54">
        <f t="shared" si="24"/>
        <v>49310</v>
      </c>
      <c r="C307" t="s">
        <v>109</v>
      </c>
      <c r="D307">
        <f>D288+1</f>
        <v>2035</v>
      </c>
      <c r="E307" t="s">
        <v>110</v>
      </c>
      <c r="H307" s="53">
        <f>DATE(K307,11,20)</f>
        <v>49633</v>
      </c>
      <c r="I307" s="54">
        <f t="shared" si="25"/>
        <v>49633</v>
      </c>
      <c r="J307" t="s">
        <v>128</v>
      </c>
      <c r="K307">
        <f t="shared" si="28"/>
        <v>2035</v>
      </c>
      <c r="L307" t="s">
        <v>110</v>
      </c>
    </row>
    <row r="308" spans="1:12" x14ac:dyDescent="0.3">
      <c r="A308" s="53">
        <f>A311-48</f>
        <v>49345</v>
      </c>
      <c r="B308" s="54">
        <f t="shared" si="24"/>
        <v>49345</v>
      </c>
      <c r="C308" t="s">
        <v>111</v>
      </c>
      <c r="D308">
        <f t="shared" si="23"/>
        <v>2035</v>
      </c>
      <c r="E308" t="s">
        <v>110</v>
      </c>
      <c r="H308" s="53">
        <f>DATE(K308,12,25)</f>
        <v>49668</v>
      </c>
      <c r="I308" s="54">
        <f t="shared" si="25"/>
        <v>49668</v>
      </c>
      <c r="J308" t="s">
        <v>129</v>
      </c>
      <c r="K308">
        <f t="shared" si="28"/>
        <v>2035</v>
      </c>
      <c r="L308" t="s">
        <v>110</v>
      </c>
    </row>
    <row r="309" spans="1:12" x14ac:dyDescent="0.3">
      <c r="A309" s="53">
        <f>A311-47</f>
        <v>49346</v>
      </c>
      <c r="B309" s="54">
        <f t="shared" si="24"/>
        <v>49346</v>
      </c>
      <c r="C309" t="s">
        <v>111</v>
      </c>
      <c r="D309">
        <f t="shared" si="23"/>
        <v>2035</v>
      </c>
      <c r="E309" t="s">
        <v>110</v>
      </c>
      <c r="H309" s="53">
        <f>DATE(K309,1,1)</f>
        <v>49675</v>
      </c>
      <c r="I309" s="54">
        <f t="shared" si="25"/>
        <v>49675</v>
      </c>
      <c r="J309" t="s">
        <v>109</v>
      </c>
      <c r="K309">
        <f>K291+1</f>
        <v>2036</v>
      </c>
      <c r="L309" t="s">
        <v>110</v>
      </c>
    </row>
    <row r="310" spans="1:12" x14ac:dyDescent="0.3">
      <c r="A310" s="53">
        <f>A311-2</f>
        <v>49391</v>
      </c>
      <c r="B310" s="54">
        <f t="shared" si="24"/>
        <v>49391</v>
      </c>
      <c r="C310" t="s">
        <v>112</v>
      </c>
      <c r="D310">
        <f t="shared" si="23"/>
        <v>2035</v>
      </c>
      <c r="E310" t="s">
        <v>110</v>
      </c>
      <c r="H310" s="53">
        <f>H313-48</f>
        <v>49730</v>
      </c>
      <c r="I310" s="54">
        <f t="shared" si="25"/>
        <v>49730</v>
      </c>
      <c r="J310" t="s">
        <v>111</v>
      </c>
      <c r="K310">
        <f t="shared" si="28"/>
        <v>2036</v>
      </c>
      <c r="L310" t="s">
        <v>110</v>
      </c>
    </row>
    <row r="311" spans="1:12" x14ac:dyDescent="0.3">
      <c r="A311" s="53">
        <f>FLOOR(DAY(MINUTE(D311/38)/2+56)&amp;"/5"&amp;"/"&amp;D311,7)-34</f>
        <v>49393</v>
      </c>
      <c r="B311" s="54">
        <f t="shared" si="24"/>
        <v>49393</v>
      </c>
      <c r="C311" t="s">
        <v>113</v>
      </c>
      <c r="D311">
        <f t="shared" si="23"/>
        <v>2035</v>
      </c>
      <c r="E311" t="s">
        <v>110</v>
      </c>
      <c r="H311" s="53">
        <f>H313-47</f>
        <v>49731</v>
      </c>
      <c r="I311" s="54">
        <f t="shared" si="25"/>
        <v>49731</v>
      </c>
      <c r="J311" t="s">
        <v>111</v>
      </c>
      <c r="K311">
        <f t="shared" si="28"/>
        <v>2036</v>
      </c>
      <c r="L311" t="s">
        <v>110</v>
      </c>
    </row>
    <row r="312" spans="1:12" x14ac:dyDescent="0.3">
      <c r="A312" s="53">
        <f>DATE(D312,4,14)</f>
        <v>49413</v>
      </c>
      <c r="B312" s="54">
        <f t="shared" si="24"/>
        <v>49413</v>
      </c>
      <c r="C312" t="s">
        <v>114</v>
      </c>
      <c r="D312">
        <f t="shared" si="23"/>
        <v>2035</v>
      </c>
      <c r="E312" t="s">
        <v>115</v>
      </c>
      <c r="H312" s="53">
        <f>H313-2</f>
        <v>49776</v>
      </c>
      <c r="I312" s="54">
        <f t="shared" si="25"/>
        <v>49776</v>
      </c>
      <c r="J312" t="s">
        <v>112</v>
      </c>
      <c r="K312">
        <f t="shared" si="28"/>
        <v>2036</v>
      </c>
      <c r="L312" t="s">
        <v>110</v>
      </c>
    </row>
    <row r="313" spans="1:12" x14ac:dyDescent="0.3">
      <c r="A313" s="53">
        <f>DATE(D313,4,21)</f>
        <v>49420</v>
      </c>
      <c r="B313" s="54">
        <f t="shared" si="24"/>
        <v>49420</v>
      </c>
      <c r="C313" t="s">
        <v>116</v>
      </c>
      <c r="D313">
        <f t="shared" si="23"/>
        <v>2035</v>
      </c>
      <c r="E313" t="s">
        <v>110</v>
      </c>
      <c r="H313" s="53">
        <f>FLOOR(DAY(MINUTE(K313/38)/2+56)&amp;"/5"&amp;"/"&amp;K313,7)-34</f>
        <v>49778</v>
      </c>
      <c r="I313" s="54">
        <f t="shared" si="25"/>
        <v>49778</v>
      </c>
      <c r="J313" t="s">
        <v>113</v>
      </c>
      <c r="K313">
        <f t="shared" si="28"/>
        <v>2036</v>
      </c>
      <c r="L313" t="s">
        <v>110</v>
      </c>
    </row>
    <row r="314" spans="1:12" x14ac:dyDescent="0.3">
      <c r="A314" s="53">
        <f>DATE(D314,5,1)</f>
        <v>49430</v>
      </c>
      <c r="B314" s="54">
        <f t="shared" si="24"/>
        <v>49430</v>
      </c>
      <c r="C314" t="s">
        <v>117</v>
      </c>
      <c r="D314">
        <f t="shared" si="23"/>
        <v>2035</v>
      </c>
      <c r="E314" t="s">
        <v>110</v>
      </c>
      <c r="H314" s="53">
        <f>DATE(K314,4,21)</f>
        <v>49786</v>
      </c>
      <c r="I314" s="54">
        <f t="shared" si="25"/>
        <v>49786</v>
      </c>
      <c r="J314" t="s">
        <v>116</v>
      </c>
      <c r="K314">
        <f t="shared" si="28"/>
        <v>2036</v>
      </c>
      <c r="L314" t="s">
        <v>110</v>
      </c>
    </row>
    <row r="315" spans="1:12" x14ac:dyDescent="0.3">
      <c r="A315" s="53">
        <f>DATE(D315,5,1)+(14-WEEKDAY(DATE(D315,5,1),2))</f>
        <v>49442</v>
      </c>
      <c r="B315" s="54">
        <f t="shared" si="24"/>
        <v>49442</v>
      </c>
      <c r="C315" t="s">
        <v>118</v>
      </c>
      <c r="D315">
        <f t="shared" ref="D315:D325" si="29">D296+1</f>
        <v>2035</v>
      </c>
      <c r="E315" t="s">
        <v>110</v>
      </c>
      <c r="H315" s="53">
        <f>DATE(K315,5,1)</f>
        <v>49796</v>
      </c>
      <c r="I315" s="54">
        <f t="shared" si="25"/>
        <v>49796</v>
      </c>
      <c r="J315" t="s">
        <v>117</v>
      </c>
      <c r="K315">
        <f t="shared" si="28"/>
        <v>2036</v>
      </c>
      <c r="L315" t="s">
        <v>110</v>
      </c>
    </row>
    <row r="316" spans="1:12" x14ac:dyDescent="0.3">
      <c r="A316" s="53">
        <f>A311+60</f>
        <v>49453</v>
      </c>
      <c r="B316" s="54">
        <f t="shared" si="24"/>
        <v>49453</v>
      </c>
      <c r="C316" t="s">
        <v>119</v>
      </c>
      <c r="D316">
        <f t="shared" si="29"/>
        <v>2035</v>
      </c>
      <c r="E316" t="s">
        <v>110</v>
      </c>
      <c r="H316" s="53">
        <f>DATE(K316,5,1)+(14-WEEKDAY(DATE(K316,5,1),2))</f>
        <v>49806</v>
      </c>
      <c r="I316" s="54">
        <f t="shared" si="25"/>
        <v>49806</v>
      </c>
      <c r="J316" t="s">
        <v>118</v>
      </c>
      <c r="K316">
        <f t="shared" si="28"/>
        <v>2036</v>
      </c>
      <c r="L316" t="s">
        <v>110</v>
      </c>
    </row>
    <row r="317" spans="1:12" x14ac:dyDescent="0.3">
      <c r="A317" s="53">
        <f>DATE(D317,7,9)</f>
        <v>49499</v>
      </c>
      <c r="B317" s="54">
        <f t="shared" si="24"/>
        <v>49499</v>
      </c>
      <c r="C317" t="s">
        <v>120</v>
      </c>
      <c r="D317">
        <f t="shared" si="29"/>
        <v>2035</v>
      </c>
      <c r="E317" t="s">
        <v>121</v>
      </c>
      <c r="H317" s="53">
        <f>H313+60</f>
        <v>49838</v>
      </c>
      <c r="I317" s="54">
        <f t="shared" si="25"/>
        <v>49838</v>
      </c>
      <c r="J317" t="s">
        <v>119</v>
      </c>
      <c r="K317">
        <f t="shared" si="28"/>
        <v>2036</v>
      </c>
      <c r="L317" t="s">
        <v>110</v>
      </c>
    </row>
    <row r="318" spans="1:12" x14ac:dyDescent="0.3">
      <c r="A318" s="53">
        <f>DATE(D318,8,8)</f>
        <v>49529</v>
      </c>
      <c r="B318" s="54">
        <f t="shared" si="24"/>
        <v>49529</v>
      </c>
      <c r="C318" t="s">
        <v>122</v>
      </c>
      <c r="D318">
        <f t="shared" si="29"/>
        <v>2035</v>
      </c>
      <c r="E318" t="s">
        <v>115</v>
      </c>
      <c r="H318" s="53">
        <f>DATE(K318,6,19)</f>
        <v>49845</v>
      </c>
      <c r="I318" s="54">
        <f t="shared" si="25"/>
        <v>49845</v>
      </c>
      <c r="J318" t="s">
        <v>114</v>
      </c>
      <c r="K318">
        <f t="shared" si="28"/>
        <v>2036</v>
      </c>
      <c r="L318" t="s">
        <v>115</v>
      </c>
    </row>
    <row r="319" spans="1:12" x14ac:dyDescent="0.3">
      <c r="A319" s="53">
        <f>DATE(D319,8,1)+(14-WEEKDAY(DATE(D319,8,1),2))</f>
        <v>49533</v>
      </c>
      <c r="B319" s="54">
        <f t="shared" si="24"/>
        <v>49533</v>
      </c>
      <c r="C319" t="s">
        <v>123</v>
      </c>
      <c r="D319">
        <f t="shared" si="29"/>
        <v>2035</v>
      </c>
      <c r="E319" t="s">
        <v>110</v>
      </c>
      <c r="H319" s="53">
        <f>DATE(K319,7,9)</f>
        <v>49865</v>
      </c>
      <c r="I319" s="54">
        <f t="shared" si="25"/>
        <v>49865</v>
      </c>
      <c r="J319" t="s">
        <v>120</v>
      </c>
      <c r="K319">
        <f t="shared" si="28"/>
        <v>2036</v>
      </c>
      <c r="L319" t="s">
        <v>121</v>
      </c>
    </row>
    <row r="320" spans="1:12" x14ac:dyDescent="0.3">
      <c r="A320" s="53">
        <f>DATE(D320,9,7)</f>
        <v>49559</v>
      </c>
      <c r="B320" s="54">
        <f t="shared" si="24"/>
        <v>49559</v>
      </c>
      <c r="C320" t="s">
        <v>124</v>
      </c>
      <c r="D320">
        <f t="shared" si="29"/>
        <v>2035</v>
      </c>
      <c r="E320" t="s">
        <v>110</v>
      </c>
      <c r="H320" s="53">
        <f>DATE(K320,8,1)+(14-WEEKDAY(DATE(K320,8,1),2))</f>
        <v>49897</v>
      </c>
      <c r="I320" s="54">
        <f t="shared" si="25"/>
        <v>49897</v>
      </c>
      <c r="J320" t="s">
        <v>123</v>
      </c>
      <c r="K320">
        <f t="shared" si="28"/>
        <v>2036</v>
      </c>
      <c r="L320" t="s">
        <v>110</v>
      </c>
    </row>
    <row r="321" spans="1:12" x14ac:dyDescent="0.3">
      <c r="A321" s="53">
        <f>DATE(D321,10,12)</f>
        <v>49594</v>
      </c>
      <c r="B321" s="54">
        <f t="shared" si="24"/>
        <v>49594</v>
      </c>
      <c r="C321" t="s">
        <v>125</v>
      </c>
      <c r="D321">
        <f t="shared" si="29"/>
        <v>2035</v>
      </c>
      <c r="E321" t="s">
        <v>110</v>
      </c>
      <c r="H321" s="53">
        <f>DATE(K321,9,7)</f>
        <v>49925</v>
      </c>
      <c r="I321" s="54">
        <f t="shared" si="25"/>
        <v>49925</v>
      </c>
      <c r="J321" t="s">
        <v>124</v>
      </c>
      <c r="K321">
        <f t="shared" si="28"/>
        <v>2036</v>
      </c>
      <c r="L321" t="s">
        <v>110</v>
      </c>
    </row>
    <row r="322" spans="1:12" x14ac:dyDescent="0.3">
      <c r="A322" s="53">
        <f>DATE(D322,11,2)</f>
        <v>49615</v>
      </c>
      <c r="B322" s="54">
        <f t="shared" si="24"/>
        <v>49615</v>
      </c>
      <c r="C322" t="s">
        <v>126</v>
      </c>
      <c r="D322">
        <f t="shared" si="29"/>
        <v>2035</v>
      </c>
      <c r="E322" t="s">
        <v>110</v>
      </c>
      <c r="H322" s="53">
        <f>DATE(K322,10,12)</f>
        <v>49960</v>
      </c>
      <c r="I322" s="54">
        <f t="shared" si="25"/>
        <v>49960</v>
      </c>
      <c r="J322" t="s">
        <v>125</v>
      </c>
      <c r="K322">
        <f t="shared" si="28"/>
        <v>2036</v>
      </c>
      <c r="L322" t="s">
        <v>110</v>
      </c>
    </row>
    <row r="323" spans="1:12" x14ac:dyDescent="0.3">
      <c r="A323" s="53">
        <f>DATE(D323,11,15)</f>
        <v>49628</v>
      </c>
      <c r="B323" s="54">
        <f t="shared" ref="B323:B386" si="30">A323</f>
        <v>49628</v>
      </c>
      <c r="C323" t="s">
        <v>127</v>
      </c>
      <c r="D323">
        <f t="shared" si="29"/>
        <v>2035</v>
      </c>
      <c r="E323" t="s">
        <v>110</v>
      </c>
      <c r="H323" s="53">
        <f>DATE(K323,11,2)</f>
        <v>49981</v>
      </c>
      <c r="I323" s="54">
        <f t="shared" si="25"/>
        <v>49981</v>
      </c>
      <c r="J323" t="s">
        <v>126</v>
      </c>
      <c r="K323">
        <f t="shared" si="28"/>
        <v>2036</v>
      </c>
      <c r="L323" t="s">
        <v>110</v>
      </c>
    </row>
    <row r="324" spans="1:12" x14ac:dyDescent="0.3">
      <c r="A324" s="53">
        <f>DATE(D324,11,20)</f>
        <v>49633</v>
      </c>
      <c r="B324" s="54">
        <f t="shared" si="30"/>
        <v>49633</v>
      </c>
      <c r="C324" t="s">
        <v>128</v>
      </c>
      <c r="D324">
        <f t="shared" si="29"/>
        <v>2035</v>
      </c>
      <c r="E324" t="s">
        <v>110</v>
      </c>
      <c r="H324" s="53">
        <f>DATE(K324,11,15)</f>
        <v>49994</v>
      </c>
      <c r="I324" s="54">
        <f t="shared" si="25"/>
        <v>49994</v>
      </c>
      <c r="J324" t="s">
        <v>127</v>
      </c>
      <c r="K324">
        <f t="shared" si="28"/>
        <v>2036</v>
      </c>
      <c r="L324" t="s">
        <v>110</v>
      </c>
    </row>
    <row r="325" spans="1:12" x14ac:dyDescent="0.3">
      <c r="A325" s="53">
        <f>DATE(D325,12,25)</f>
        <v>49668</v>
      </c>
      <c r="B325" s="54">
        <f t="shared" si="30"/>
        <v>49668</v>
      </c>
      <c r="C325" t="s">
        <v>129</v>
      </c>
      <c r="D325">
        <f t="shared" si="29"/>
        <v>2035</v>
      </c>
      <c r="E325" t="s">
        <v>110</v>
      </c>
      <c r="H325" s="53">
        <f>DATE(K325,11,20)</f>
        <v>49999</v>
      </c>
      <c r="I325" s="54">
        <f t="shared" si="25"/>
        <v>49999</v>
      </c>
      <c r="J325" t="s">
        <v>128</v>
      </c>
      <c r="K325">
        <f t="shared" si="28"/>
        <v>2036</v>
      </c>
      <c r="L325" t="s">
        <v>110</v>
      </c>
    </row>
    <row r="326" spans="1:12" x14ac:dyDescent="0.3">
      <c r="A326" s="53">
        <f>DATE(D326,1,1)</f>
        <v>49675</v>
      </c>
      <c r="B326" s="54">
        <f t="shared" si="30"/>
        <v>49675</v>
      </c>
      <c r="C326" t="s">
        <v>109</v>
      </c>
      <c r="D326">
        <f>D307+1</f>
        <v>2036</v>
      </c>
      <c r="E326" t="s">
        <v>110</v>
      </c>
      <c r="H326" s="53">
        <f>DATE(K326,12,25)</f>
        <v>50034</v>
      </c>
      <c r="I326" s="54">
        <f t="shared" si="25"/>
        <v>50034</v>
      </c>
      <c r="J326" t="s">
        <v>129</v>
      </c>
      <c r="K326">
        <f t="shared" si="28"/>
        <v>2036</v>
      </c>
      <c r="L326" t="s">
        <v>110</v>
      </c>
    </row>
    <row r="327" spans="1:12" x14ac:dyDescent="0.3">
      <c r="A327" s="53">
        <f>A330-48</f>
        <v>49730</v>
      </c>
      <c r="B327" s="54">
        <f t="shared" si="30"/>
        <v>49730</v>
      </c>
      <c r="C327" t="s">
        <v>111</v>
      </c>
      <c r="D327">
        <f t="shared" ref="D327:D344" si="31">D308+1</f>
        <v>2036</v>
      </c>
      <c r="E327" t="s">
        <v>110</v>
      </c>
      <c r="H327" s="53">
        <f>DATE(K327,1,1)</f>
        <v>50041</v>
      </c>
      <c r="I327" s="54">
        <f t="shared" si="25"/>
        <v>50041</v>
      </c>
      <c r="J327" t="s">
        <v>109</v>
      </c>
      <c r="K327">
        <f>K309+1</f>
        <v>2037</v>
      </c>
      <c r="L327" t="s">
        <v>110</v>
      </c>
    </row>
    <row r="328" spans="1:12" x14ac:dyDescent="0.3">
      <c r="A328" s="53">
        <f>A330-47</f>
        <v>49731</v>
      </c>
      <c r="B328" s="54">
        <f t="shared" si="30"/>
        <v>49731</v>
      </c>
      <c r="C328" t="s">
        <v>111</v>
      </c>
      <c r="D328">
        <f t="shared" si="31"/>
        <v>2036</v>
      </c>
      <c r="E328" t="s">
        <v>110</v>
      </c>
      <c r="H328" s="53">
        <f>H331-48</f>
        <v>50087</v>
      </c>
      <c r="I328" s="54">
        <f t="shared" ref="I328:I391" si="32">H328</f>
        <v>50087</v>
      </c>
      <c r="J328" t="s">
        <v>111</v>
      </c>
      <c r="K328">
        <f t="shared" si="28"/>
        <v>2037</v>
      </c>
      <c r="L328" t="s">
        <v>110</v>
      </c>
    </row>
    <row r="329" spans="1:12" x14ac:dyDescent="0.3">
      <c r="A329" s="53">
        <f>A330-2</f>
        <v>49776</v>
      </c>
      <c r="B329" s="54">
        <f t="shared" si="30"/>
        <v>49776</v>
      </c>
      <c r="C329" t="s">
        <v>112</v>
      </c>
      <c r="D329">
        <f t="shared" si="31"/>
        <v>2036</v>
      </c>
      <c r="E329" t="s">
        <v>110</v>
      </c>
      <c r="H329" s="53">
        <f>H331-47</f>
        <v>50088</v>
      </c>
      <c r="I329" s="54">
        <f t="shared" si="32"/>
        <v>50088</v>
      </c>
      <c r="J329" t="s">
        <v>111</v>
      </c>
      <c r="K329">
        <f t="shared" si="28"/>
        <v>2037</v>
      </c>
      <c r="L329" t="s">
        <v>110</v>
      </c>
    </row>
    <row r="330" spans="1:12" x14ac:dyDescent="0.3">
      <c r="A330" s="53">
        <f>FLOOR(DAY(MINUTE(D330/38)/2+56)&amp;"/5"&amp;"/"&amp;D330,7)-34</f>
        <v>49778</v>
      </c>
      <c r="B330" s="54">
        <f t="shared" si="30"/>
        <v>49778</v>
      </c>
      <c r="C330" t="s">
        <v>113</v>
      </c>
      <c r="D330">
        <f t="shared" si="31"/>
        <v>2036</v>
      </c>
      <c r="E330" t="s">
        <v>110</v>
      </c>
      <c r="H330" s="53">
        <f>H331-2</f>
        <v>50133</v>
      </c>
      <c r="I330" s="54">
        <f t="shared" si="32"/>
        <v>50133</v>
      </c>
      <c r="J330" t="s">
        <v>112</v>
      </c>
      <c r="K330">
        <f t="shared" si="28"/>
        <v>2037</v>
      </c>
      <c r="L330" t="s">
        <v>110</v>
      </c>
    </row>
    <row r="331" spans="1:12" x14ac:dyDescent="0.3">
      <c r="A331" s="53">
        <f>DATE(D331,4,14)</f>
        <v>49779</v>
      </c>
      <c r="B331" s="54">
        <f t="shared" si="30"/>
        <v>49779</v>
      </c>
      <c r="C331" t="s">
        <v>114</v>
      </c>
      <c r="D331">
        <f t="shared" si="31"/>
        <v>2036</v>
      </c>
      <c r="E331" t="s">
        <v>115</v>
      </c>
      <c r="H331" s="53">
        <f>FLOOR(DAY(MINUTE(K331/38)/2+56)&amp;"/5"&amp;"/"&amp;K331,7)-34</f>
        <v>50135</v>
      </c>
      <c r="I331" s="54">
        <f t="shared" si="32"/>
        <v>50135</v>
      </c>
      <c r="J331" t="s">
        <v>113</v>
      </c>
      <c r="K331">
        <f t="shared" si="28"/>
        <v>2037</v>
      </c>
      <c r="L331" t="s">
        <v>110</v>
      </c>
    </row>
    <row r="332" spans="1:12" x14ac:dyDescent="0.3">
      <c r="A332" s="53">
        <f>DATE(D332,4,21)</f>
        <v>49786</v>
      </c>
      <c r="B332" s="54">
        <f t="shared" si="30"/>
        <v>49786</v>
      </c>
      <c r="C332" t="s">
        <v>116</v>
      </c>
      <c r="D332">
        <f t="shared" si="31"/>
        <v>2036</v>
      </c>
      <c r="E332" t="s">
        <v>110</v>
      </c>
      <c r="H332" s="53">
        <f>DATE(K332,4,21)</f>
        <v>50151</v>
      </c>
      <c r="I332" s="54">
        <f t="shared" si="32"/>
        <v>50151</v>
      </c>
      <c r="J332" t="s">
        <v>116</v>
      </c>
      <c r="K332">
        <f t="shared" si="28"/>
        <v>2037</v>
      </c>
      <c r="L332" t="s">
        <v>110</v>
      </c>
    </row>
    <row r="333" spans="1:12" x14ac:dyDescent="0.3">
      <c r="A333" s="53">
        <f>DATE(D333,5,1)</f>
        <v>49796</v>
      </c>
      <c r="B333" s="54">
        <f t="shared" si="30"/>
        <v>49796</v>
      </c>
      <c r="C333" t="s">
        <v>117</v>
      </c>
      <c r="D333">
        <f t="shared" si="31"/>
        <v>2036</v>
      </c>
      <c r="E333" t="s">
        <v>110</v>
      </c>
      <c r="H333" s="53">
        <f>DATE(K333,5,1)</f>
        <v>50161</v>
      </c>
      <c r="I333" s="54">
        <f t="shared" si="32"/>
        <v>50161</v>
      </c>
      <c r="J333" t="s">
        <v>117</v>
      </c>
      <c r="K333">
        <f t="shared" si="28"/>
        <v>2037</v>
      </c>
      <c r="L333" t="s">
        <v>110</v>
      </c>
    </row>
    <row r="334" spans="1:12" x14ac:dyDescent="0.3">
      <c r="A334" s="53">
        <f>DATE(D334,5,1)+(14-WEEKDAY(DATE(D334,5,1),2))</f>
        <v>49806</v>
      </c>
      <c r="B334" s="54">
        <f t="shared" si="30"/>
        <v>49806</v>
      </c>
      <c r="C334" t="s">
        <v>118</v>
      </c>
      <c r="D334">
        <f t="shared" si="31"/>
        <v>2036</v>
      </c>
      <c r="E334" t="s">
        <v>110</v>
      </c>
      <c r="H334" s="53">
        <f>DATE(K334,5,1)+(14-WEEKDAY(DATE(K334,5,1),2))</f>
        <v>50170</v>
      </c>
      <c r="I334" s="54">
        <f t="shared" si="32"/>
        <v>50170</v>
      </c>
      <c r="J334" t="s">
        <v>118</v>
      </c>
      <c r="K334">
        <f t="shared" si="28"/>
        <v>2037</v>
      </c>
      <c r="L334" t="s">
        <v>110</v>
      </c>
    </row>
    <row r="335" spans="1:12" x14ac:dyDescent="0.3">
      <c r="A335" s="53">
        <f>A330+60</f>
        <v>49838</v>
      </c>
      <c r="B335" s="54">
        <f t="shared" si="30"/>
        <v>49838</v>
      </c>
      <c r="C335" t="s">
        <v>119</v>
      </c>
      <c r="D335">
        <f t="shared" si="31"/>
        <v>2036</v>
      </c>
      <c r="E335" t="s">
        <v>110</v>
      </c>
      <c r="H335" s="53">
        <f>H331+60</f>
        <v>50195</v>
      </c>
      <c r="I335" s="54">
        <f t="shared" si="32"/>
        <v>50195</v>
      </c>
      <c r="J335" t="s">
        <v>119</v>
      </c>
      <c r="K335">
        <f t="shared" si="28"/>
        <v>2037</v>
      </c>
      <c r="L335" t="s">
        <v>110</v>
      </c>
    </row>
    <row r="336" spans="1:12" x14ac:dyDescent="0.3">
      <c r="A336" s="53">
        <f>DATE(D336,7,9)</f>
        <v>49865</v>
      </c>
      <c r="B336" s="54">
        <f t="shared" si="30"/>
        <v>49865</v>
      </c>
      <c r="C336" t="s">
        <v>120</v>
      </c>
      <c r="D336">
        <f t="shared" si="31"/>
        <v>2036</v>
      </c>
      <c r="E336" t="s">
        <v>121</v>
      </c>
      <c r="H336" s="53">
        <f>DATE(K336,6,19)</f>
        <v>50210</v>
      </c>
      <c r="I336" s="54">
        <f t="shared" si="32"/>
        <v>50210</v>
      </c>
      <c r="J336" t="s">
        <v>114</v>
      </c>
      <c r="K336">
        <f t="shared" si="28"/>
        <v>2037</v>
      </c>
      <c r="L336" t="s">
        <v>115</v>
      </c>
    </row>
    <row r="337" spans="1:12" x14ac:dyDescent="0.3">
      <c r="A337" s="53">
        <f>DATE(D337,8,8)</f>
        <v>49895</v>
      </c>
      <c r="B337" s="54">
        <f t="shared" si="30"/>
        <v>49895</v>
      </c>
      <c r="C337" t="s">
        <v>122</v>
      </c>
      <c r="D337">
        <f t="shared" si="31"/>
        <v>2036</v>
      </c>
      <c r="E337" t="s">
        <v>115</v>
      </c>
      <c r="H337" s="53">
        <f>DATE(K337,7,9)</f>
        <v>50230</v>
      </c>
      <c r="I337" s="54">
        <f t="shared" si="32"/>
        <v>50230</v>
      </c>
      <c r="J337" t="s">
        <v>120</v>
      </c>
      <c r="K337">
        <f t="shared" si="28"/>
        <v>2037</v>
      </c>
      <c r="L337" t="s">
        <v>121</v>
      </c>
    </row>
    <row r="338" spans="1:12" x14ac:dyDescent="0.3">
      <c r="A338" s="53">
        <f>DATE(D338,8,1)+(14-WEEKDAY(DATE(D338,8,1),2))</f>
        <v>49897</v>
      </c>
      <c r="B338" s="54">
        <f t="shared" si="30"/>
        <v>49897</v>
      </c>
      <c r="C338" t="s">
        <v>123</v>
      </c>
      <c r="D338">
        <f t="shared" si="31"/>
        <v>2036</v>
      </c>
      <c r="E338" t="s">
        <v>110</v>
      </c>
      <c r="H338" s="53">
        <f>DATE(K338,8,1)+(14-WEEKDAY(DATE(K338,8,1),2))</f>
        <v>50261</v>
      </c>
      <c r="I338" s="54">
        <f t="shared" si="32"/>
        <v>50261</v>
      </c>
      <c r="J338" t="s">
        <v>123</v>
      </c>
      <c r="K338">
        <f t="shared" si="28"/>
        <v>2037</v>
      </c>
      <c r="L338" t="s">
        <v>110</v>
      </c>
    </row>
    <row r="339" spans="1:12" x14ac:dyDescent="0.3">
      <c r="A339" s="53">
        <f>DATE(D339,9,7)</f>
        <v>49925</v>
      </c>
      <c r="B339" s="54">
        <f t="shared" si="30"/>
        <v>49925</v>
      </c>
      <c r="C339" t="s">
        <v>124</v>
      </c>
      <c r="D339">
        <f t="shared" si="31"/>
        <v>2036</v>
      </c>
      <c r="E339" t="s">
        <v>110</v>
      </c>
      <c r="H339" s="53">
        <f>DATE(K339,9,7)</f>
        <v>50290</v>
      </c>
      <c r="I339" s="54">
        <f t="shared" si="32"/>
        <v>50290</v>
      </c>
      <c r="J339" t="s">
        <v>124</v>
      </c>
      <c r="K339">
        <f t="shared" si="28"/>
        <v>2037</v>
      </c>
      <c r="L339" t="s">
        <v>110</v>
      </c>
    </row>
    <row r="340" spans="1:12" x14ac:dyDescent="0.3">
      <c r="A340" s="53">
        <f>DATE(D340,10,12)</f>
        <v>49960</v>
      </c>
      <c r="B340" s="54">
        <f t="shared" si="30"/>
        <v>49960</v>
      </c>
      <c r="C340" t="s">
        <v>125</v>
      </c>
      <c r="D340">
        <f t="shared" si="31"/>
        <v>2036</v>
      </c>
      <c r="E340" t="s">
        <v>110</v>
      </c>
      <c r="H340" s="53">
        <f>DATE(K340,10,12)</f>
        <v>50325</v>
      </c>
      <c r="I340" s="54">
        <f t="shared" si="32"/>
        <v>50325</v>
      </c>
      <c r="J340" t="s">
        <v>125</v>
      </c>
      <c r="K340">
        <f t="shared" si="28"/>
        <v>2037</v>
      </c>
      <c r="L340" t="s">
        <v>110</v>
      </c>
    </row>
    <row r="341" spans="1:12" x14ac:dyDescent="0.3">
      <c r="A341" s="53">
        <f>DATE(D341,11,2)</f>
        <v>49981</v>
      </c>
      <c r="B341" s="54">
        <f t="shared" si="30"/>
        <v>49981</v>
      </c>
      <c r="C341" t="s">
        <v>126</v>
      </c>
      <c r="D341">
        <f t="shared" si="31"/>
        <v>2036</v>
      </c>
      <c r="E341" t="s">
        <v>110</v>
      </c>
      <c r="H341" s="53">
        <f>DATE(K341,11,2)</f>
        <v>50346</v>
      </c>
      <c r="I341" s="54">
        <f t="shared" si="32"/>
        <v>50346</v>
      </c>
      <c r="J341" t="s">
        <v>126</v>
      </c>
      <c r="K341">
        <f t="shared" si="28"/>
        <v>2037</v>
      </c>
      <c r="L341" t="s">
        <v>110</v>
      </c>
    </row>
    <row r="342" spans="1:12" x14ac:dyDescent="0.3">
      <c r="A342" s="53">
        <f>DATE(D342,11,15)</f>
        <v>49994</v>
      </c>
      <c r="B342" s="54">
        <f t="shared" si="30"/>
        <v>49994</v>
      </c>
      <c r="C342" t="s">
        <v>127</v>
      </c>
      <c r="D342">
        <f t="shared" si="31"/>
        <v>2036</v>
      </c>
      <c r="E342" t="s">
        <v>110</v>
      </c>
      <c r="H342" s="53">
        <f>DATE(K342,11,15)</f>
        <v>50359</v>
      </c>
      <c r="I342" s="54">
        <f t="shared" si="32"/>
        <v>50359</v>
      </c>
      <c r="J342" t="s">
        <v>127</v>
      </c>
      <c r="K342">
        <f t="shared" si="28"/>
        <v>2037</v>
      </c>
      <c r="L342" t="s">
        <v>110</v>
      </c>
    </row>
    <row r="343" spans="1:12" x14ac:dyDescent="0.3">
      <c r="A343" s="53">
        <f>DATE(D343,11,20)</f>
        <v>49999</v>
      </c>
      <c r="B343" s="54">
        <f t="shared" si="30"/>
        <v>49999</v>
      </c>
      <c r="C343" t="s">
        <v>128</v>
      </c>
      <c r="D343">
        <f t="shared" si="31"/>
        <v>2036</v>
      </c>
      <c r="E343" t="s">
        <v>110</v>
      </c>
      <c r="H343" s="53">
        <f>DATE(K343,11,20)</f>
        <v>50364</v>
      </c>
      <c r="I343" s="54">
        <f t="shared" si="32"/>
        <v>50364</v>
      </c>
      <c r="J343" t="s">
        <v>128</v>
      </c>
      <c r="K343">
        <f t="shared" si="28"/>
        <v>2037</v>
      </c>
      <c r="L343" t="s">
        <v>110</v>
      </c>
    </row>
    <row r="344" spans="1:12" x14ac:dyDescent="0.3">
      <c r="A344" s="53">
        <f>DATE(D344,12,25)</f>
        <v>50034</v>
      </c>
      <c r="B344" s="54">
        <f t="shared" si="30"/>
        <v>50034</v>
      </c>
      <c r="C344" t="s">
        <v>129</v>
      </c>
      <c r="D344">
        <f t="shared" si="31"/>
        <v>2036</v>
      </c>
      <c r="E344" t="s">
        <v>110</v>
      </c>
      <c r="H344" s="53">
        <f>DATE(K344,12,25)</f>
        <v>50399</v>
      </c>
      <c r="I344" s="54">
        <f t="shared" si="32"/>
        <v>50399</v>
      </c>
      <c r="J344" t="s">
        <v>129</v>
      </c>
      <c r="K344">
        <f t="shared" si="28"/>
        <v>2037</v>
      </c>
      <c r="L344" t="s">
        <v>110</v>
      </c>
    </row>
    <row r="345" spans="1:12" x14ac:dyDescent="0.3">
      <c r="A345" s="53">
        <f>DATE(D345,1,1)</f>
        <v>50041</v>
      </c>
      <c r="B345" s="54">
        <f t="shared" si="30"/>
        <v>50041</v>
      </c>
      <c r="C345" t="s">
        <v>109</v>
      </c>
      <c r="D345">
        <f>D326+1</f>
        <v>2037</v>
      </c>
      <c r="E345" t="s">
        <v>110</v>
      </c>
      <c r="H345" s="53">
        <f>DATE(K345,1,1)</f>
        <v>50406</v>
      </c>
      <c r="I345" s="54">
        <f t="shared" si="32"/>
        <v>50406</v>
      </c>
      <c r="J345" t="s">
        <v>109</v>
      </c>
      <c r="K345">
        <f>K327+1</f>
        <v>2038</v>
      </c>
      <c r="L345" t="s">
        <v>110</v>
      </c>
    </row>
    <row r="346" spans="1:12" x14ac:dyDescent="0.3">
      <c r="A346" s="53">
        <f>A349-48</f>
        <v>50087</v>
      </c>
      <c r="B346" s="54">
        <f t="shared" si="30"/>
        <v>50087</v>
      </c>
      <c r="C346" t="s">
        <v>111</v>
      </c>
      <c r="D346">
        <f t="shared" ref="D346:D363" si="33">D327+1</f>
        <v>2037</v>
      </c>
      <c r="E346" t="s">
        <v>110</v>
      </c>
      <c r="H346" s="53">
        <f>H349-48</f>
        <v>50472</v>
      </c>
      <c r="I346" s="54">
        <f t="shared" si="32"/>
        <v>50472</v>
      </c>
      <c r="J346" t="s">
        <v>111</v>
      </c>
      <c r="K346">
        <f t="shared" si="28"/>
        <v>2038</v>
      </c>
      <c r="L346" t="s">
        <v>110</v>
      </c>
    </row>
    <row r="347" spans="1:12" x14ac:dyDescent="0.3">
      <c r="A347" s="53">
        <f>A349-47</f>
        <v>50088</v>
      </c>
      <c r="B347" s="54">
        <f t="shared" si="30"/>
        <v>50088</v>
      </c>
      <c r="C347" t="s">
        <v>111</v>
      </c>
      <c r="D347">
        <f t="shared" si="33"/>
        <v>2037</v>
      </c>
      <c r="E347" t="s">
        <v>110</v>
      </c>
      <c r="H347" s="53">
        <f>H349-47</f>
        <v>50473</v>
      </c>
      <c r="I347" s="54">
        <f t="shared" si="32"/>
        <v>50473</v>
      </c>
      <c r="J347" t="s">
        <v>111</v>
      </c>
      <c r="K347">
        <f t="shared" si="28"/>
        <v>2038</v>
      </c>
      <c r="L347" t="s">
        <v>110</v>
      </c>
    </row>
    <row r="348" spans="1:12" x14ac:dyDescent="0.3">
      <c r="A348" s="53">
        <f>A349-2</f>
        <v>50133</v>
      </c>
      <c r="B348" s="54">
        <f t="shared" si="30"/>
        <v>50133</v>
      </c>
      <c r="C348" t="s">
        <v>112</v>
      </c>
      <c r="D348">
        <f t="shared" si="33"/>
        <v>2037</v>
      </c>
      <c r="E348" t="s">
        <v>110</v>
      </c>
      <c r="H348" s="53">
        <f>H349-2</f>
        <v>50518</v>
      </c>
      <c r="I348" s="54">
        <f t="shared" si="32"/>
        <v>50518</v>
      </c>
      <c r="J348" t="s">
        <v>112</v>
      </c>
      <c r="K348">
        <f t="shared" si="28"/>
        <v>2038</v>
      </c>
      <c r="L348" t="s">
        <v>110</v>
      </c>
    </row>
    <row r="349" spans="1:12" x14ac:dyDescent="0.3">
      <c r="A349" s="53">
        <f>FLOOR(DAY(MINUTE(D349/38)/2+56)&amp;"/5"&amp;"/"&amp;D349,7)-34</f>
        <v>50135</v>
      </c>
      <c r="B349" s="54">
        <f t="shared" si="30"/>
        <v>50135</v>
      </c>
      <c r="C349" t="s">
        <v>113</v>
      </c>
      <c r="D349">
        <f t="shared" si="33"/>
        <v>2037</v>
      </c>
      <c r="E349" t="s">
        <v>110</v>
      </c>
      <c r="H349" s="53">
        <f>FLOOR(DAY(MINUTE(K349/38)/2+56)&amp;"/5"&amp;"/"&amp;K349,7)-34</f>
        <v>50520</v>
      </c>
      <c r="I349" s="54">
        <f t="shared" si="32"/>
        <v>50520</v>
      </c>
      <c r="J349" t="s">
        <v>113</v>
      </c>
      <c r="K349">
        <f t="shared" si="28"/>
        <v>2038</v>
      </c>
      <c r="L349" t="s">
        <v>110</v>
      </c>
    </row>
    <row r="350" spans="1:12" x14ac:dyDescent="0.3">
      <c r="A350" s="53">
        <f>DATE(D350,4,14)</f>
        <v>50144</v>
      </c>
      <c r="B350" s="54">
        <f t="shared" si="30"/>
        <v>50144</v>
      </c>
      <c r="C350" t="s">
        <v>114</v>
      </c>
      <c r="D350">
        <f t="shared" si="33"/>
        <v>2037</v>
      </c>
      <c r="E350" t="s">
        <v>115</v>
      </c>
      <c r="H350" s="53">
        <f>DATE(K350,4,21)</f>
        <v>50516</v>
      </c>
      <c r="I350" s="54">
        <f t="shared" si="32"/>
        <v>50516</v>
      </c>
      <c r="J350" t="s">
        <v>116</v>
      </c>
      <c r="K350">
        <f t="shared" si="28"/>
        <v>2038</v>
      </c>
      <c r="L350" t="s">
        <v>110</v>
      </c>
    </row>
    <row r="351" spans="1:12" x14ac:dyDescent="0.3">
      <c r="A351" s="53">
        <f>DATE(D351,4,21)</f>
        <v>50151</v>
      </c>
      <c r="B351" s="54">
        <f t="shared" si="30"/>
        <v>50151</v>
      </c>
      <c r="C351" t="s">
        <v>116</v>
      </c>
      <c r="D351">
        <f t="shared" si="33"/>
        <v>2037</v>
      </c>
      <c r="E351" t="s">
        <v>110</v>
      </c>
      <c r="H351" s="53">
        <f>DATE(K351,5,1)</f>
        <v>50526</v>
      </c>
      <c r="I351" s="54">
        <f t="shared" si="32"/>
        <v>50526</v>
      </c>
      <c r="J351" t="s">
        <v>117</v>
      </c>
      <c r="K351">
        <f t="shared" si="28"/>
        <v>2038</v>
      </c>
      <c r="L351" t="s">
        <v>110</v>
      </c>
    </row>
    <row r="352" spans="1:12" x14ac:dyDescent="0.3">
      <c r="A352" s="53">
        <f>DATE(D352,5,1)</f>
        <v>50161</v>
      </c>
      <c r="B352" s="54">
        <f t="shared" si="30"/>
        <v>50161</v>
      </c>
      <c r="C352" t="s">
        <v>117</v>
      </c>
      <c r="D352">
        <f t="shared" si="33"/>
        <v>2037</v>
      </c>
      <c r="E352" t="s">
        <v>110</v>
      </c>
      <c r="H352" s="53">
        <f>DATE(K352,5,1)+(14-WEEKDAY(DATE(K352,5,1),2))</f>
        <v>50534</v>
      </c>
      <c r="I352" s="54">
        <f t="shared" si="32"/>
        <v>50534</v>
      </c>
      <c r="J352" t="s">
        <v>118</v>
      </c>
      <c r="K352">
        <f t="shared" si="28"/>
        <v>2038</v>
      </c>
      <c r="L352" t="s">
        <v>110</v>
      </c>
    </row>
    <row r="353" spans="1:12" x14ac:dyDescent="0.3">
      <c r="A353" s="53">
        <f>DATE(D353,5,1)+(14-WEEKDAY(DATE(D353,5,1),2))</f>
        <v>50170</v>
      </c>
      <c r="B353" s="54">
        <f t="shared" si="30"/>
        <v>50170</v>
      </c>
      <c r="C353" t="s">
        <v>118</v>
      </c>
      <c r="D353">
        <f t="shared" si="33"/>
        <v>2037</v>
      </c>
      <c r="E353" t="s">
        <v>110</v>
      </c>
      <c r="H353" s="53">
        <f>H349+60</f>
        <v>50580</v>
      </c>
      <c r="I353" s="54">
        <f t="shared" si="32"/>
        <v>50580</v>
      </c>
      <c r="J353" t="s">
        <v>119</v>
      </c>
      <c r="K353">
        <f t="shared" si="28"/>
        <v>2038</v>
      </c>
      <c r="L353" t="s">
        <v>110</v>
      </c>
    </row>
    <row r="354" spans="1:12" x14ac:dyDescent="0.3">
      <c r="A354" s="53">
        <f>A349+60</f>
        <v>50195</v>
      </c>
      <c r="B354" s="54">
        <f t="shared" si="30"/>
        <v>50195</v>
      </c>
      <c r="C354" t="s">
        <v>119</v>
      </c>
      <c r="D354">
        <f t="shared" si="33"/>
        <v>2037</v>
      </c>
      <c r="E354" t="s">
        <v>110</v>
      </c>
      <c r="H354" s="53">
        <f>DATE(K354,6,19)</f>
        <v>50575</v>
      </c>
      <c r="I354" s="54">
        <f t="shared" si="32"/>
        <v>50575</v>
      </c>
      <c r="J354" t="s">
        <v>114</v>
      </c>
      <c r="K354">
        <f t="shared" si="28"/>
        <v>2038</v>
      </c>
      <c r="L354" t="s">
        <v>115</v>
      </c>
    </row>
    <row r="355" spans="1:12" x14ac:dyDescent="0.3">
      <c r="A355" s="53">
        <f>DATE(D355,7,9)</f>
        <v>50230</v>
      </c>
      <c r="B355" s="54">
        <f t="shared" si="30"/>
        <v>50230</v>
      </c>
      <c r="C355" t="s">
        <v>120</v>
      </c>
      <c r="D355">
        <f t="shared" si="33"/>
        <v>2037</v>
      </c>
      <c r="E355" t="s">
        <v>121</v>
      </c>
      <c r="H355" s="53">
        <f>DATE(K355,7,9)</f>
        <v>50595</v>
      </c>
      <c r="I355" s="54">
        <f t="shared" si="32"/>
        <v>50595</v>
      </c>
      <c r="J355" t="s">
        <v>120</v>
      </c>
      <c r="K355">
        <f t="shared" si="28"/>
        <v>2038</v>
      </c>
      <c r="L355" t="s">
        <v>121</v>
      </c>
    </row>
    <row r="356" spans="1:12" x14ac:dyDescent="0.3">
      <c r="A356" s="53">
        <f>DATE(D356,8,8)</f>
        <v>50260</v>
      </c>
      <c r="B356" s="54">
        <f t="shared" si="30"/>
        <v>50260</v>
      </c>
      <c r="C356" t="s">
        <v>122</v>
      </c>
      <c r="D356">
        <f t="shared" si="33"/>
        <v>2037</v>
      </c>
      <c r="E356" t="s">
        <v>115</v>
      </c>
      <c r="H356" s="53">
        <f>DATE(K356,8,1)+(14-WEEKDAY(DATE(K356,8,1),2))</f>
        <v>50625</v>
      </c>
      <c r="I356" s="54">
        <f t="shared" si="32"/>
        <v>50625</v>
      </c>
      <c r="J356" t="s">
        <v>123</v>
      </c>
      <c r="K356">
        <f t="shared" ref="K356:K362" si="34">K338+1</f>
        <v>2038</v>
      </c>
      <c r="L356" t="s">
        <v>110</v>
      </c>
    </row>
    <row r="357" spans="1:12" x14ac:dyDescent="0.3">
      <c r="A357" s="53">
        <f>DATE(D357,8,1)+(14-WEEKDAY(DATE(D357,8,1),2))</f>
        <v>50261</v>
      </c>
      <c r="B357" s="54">
        <f t="shared" si="30"/>
        <v>50261</v>
      </c>
      <c r="C357" t="s">
        <v>123</v>
      </c>
      <c r="D357">
        <f t="shared" si="33"/>
        <v>2037</v>
      </c>
      <c r="E357" t="s">
        <v>110</v>
      </c>
      <c r="H357" s="53">
        <f>DATE(K357,9,7)</f>
        <v>50655</v>
      </c>
      <c r="I357" s="54">
        <f t="shared" si="32"/>
        <v>50655</v>
      </c>
      <c r="J357" t="s">
        <v>124</v>
      </c>
      <c r="K357">
        <f t="shared" si="34"/>
        <v>2038</v>
      </c>
      <c r="L357" t="s">
        <v>110</v>
      </c>
    </row>
    <row r="358" spans="1:12" x14ac:dyDescent="0.3">
      <c r="A358" s="53">
        <f>DATE(D358,9,7)</f>
        <v>50290</v>
      </c>
      <c r="B358" s="54">
        <f t="shared" si="30"/>
        <v>50290</v>
      </c>
      <c r="C358" t="s">
        <v>124</v>
      </c>
      <c r="D358">
        <f t="shared" si="33"/>
        <v>2037</v>
      </c>
      <c r="E358" t="s">
        <v>110</v>
      </c>
      <c r="H358" s="53">
        <f>DATE(K358,10,12)</f>
        <v>50690</v>
      </c>
      <c r="I358" s="54">
        <f t="shared" si="32"/>
        <v>50690</v>
      </c>
      <c r="J358" t="s">
        <v>125</v>
      </c>
      <c r="K358">
        <f t="shared" si="34"/>
        <v>2038</v>
      </c>
      <c r="L358" t="s">
        <v>110</v>
      </c>
    </row>
    <row r="359" spans="1:12" x14ac:dyDescent="0.3">
      <c r="A359" s="53">
        <f>DATE(D359,10,12)</f>
        <v>50325</v>
      </c>
      <c r="B359" s="54">
        <f t="shared" si="30"/>
        <v>50325</v>
      </c>
      <c r="C359" t="s">
        <v>125</v>
      </c>
      <c r="D359">
        <f t="shared" si="33"/>
        <v>2037</v>
      </c>
      <c r="E359" t="s">
        <v>110</v>
      </c>
      <c r="H359" s="53">
        <f>DATE(K359,11,2)</f>
        <v>50711</v>
      </c>
      <c r="I359" s="54">
        <f t="shared" si="32"/>
        <v>50711</v>
      </c>
      <c r="J359" t="s">
        <v>126</v>
      </c>
      <c r="K359">
        <f t="shared" si="34"/>
        <v>2038</v>
      </c>
      <c r="L359" t="s">
        <v>110</v>
      </c>
    </row>
    <row r="360" spans="1:12" x14ac:dyDescent="0.3">
      <c r="A360" s="53">
        <f>DATE(D360,11,2)</f>
        <v>50346</v>
      </c>
      <c r="B360" s="54">
        <f t="shared" si="30"/>
        <v>50346</v>
      </c>
      <c r="C360" t="s">
        <v>126</v>
      </c>
      <c r="D360">
        <f t="shared" si="33"/>
        <v>2037</v>
      </c>
      <c r="E360" t="s">
        <v>110</v>
      </c>
      <c r="H360" s="53">
        <f>DATE(K360,11,15)</f>
        <v>50724</v>
      </c>
      <c r="I360" s="54">
        <f t="shared" si="32"/>
        <v>50724</v>
      </c>
      <c r="J360" t="s">
        <v>127</v>
      </c>
      <c r="K360">
        <f t="shared" si="34"/>
        <v>2038</v>
      </c>
      <c r="L360" t="s">
        <v>110</v>
      </c>
    </row>
    <row r="361" spans="1:12" x14ac:dyDescent="0.3">
      <c r="A361" s="53">
        <f>DATE(D361,11,15)</f>
        <v>50359</v>
      </c>
      <c r="B361" s="54">
        <f t="shared" si="30"/>
        <v>50359</v>
      </c>
      <c r="C361" t="s">
        <v>127</v>
      </c>
      <c r="D361">
        <f t="shared" si="33"/>
        <v>2037</v>
      </c>
      <c r="E361" t="s">
        <v>110</v>
      </c>
      <c r="H361" s="53">
        <f>DATE(K361,11,20)</f>
        <v>50729</v>
      </c>
      <c r="I361" s="54">
        <f t="shared" si="32"/>
        <v>50729</v>
      </c>
      <c r="J361" t="s">
        <v>128</v>
      </c>
      <c r="K361">
        <f t="shared" si="34"/>
        <v>2038</v>
      </c>
      <c r="L361" t="s">
        <v>110</v>
      </c>
    </row>
    <row r="362" spans="1:12" x14ac:dyDescent="0.3">
      <c r="A362" s="53">
        <f>DATE(D362,11,20)</f>
        <v>50364</v>
      </c>
      <c r="B362" s="54">
        <f t="shared" si="30"/>
        <v>50364</v>
      </c>
      <c r="C362" t="s">
        <v>128</v>
      </c>
      <c r="D362">
        <f t="shared" si="33"/>
        <v>2037</v>
      </c>
      <c r="E362" t="s">
        <v>110</v>
      </c>
      <c r="H362" s="53">
        <f>DATE(K362,12,25)</f>
        <v>50764</v>
      </c>
      <c r="I362" s="54">
        <f t="shared" si="32"/>
        <v>50764</v>
      </c>
      <c r="J362" t="s">
        <v>129</v>
      </c>
      <c r="K362">
        <f t="shared" si="34"/>
        <v>2038</v>
      </c>
      <c r="L362" t="s">
        <v>110</v>
      </c>
    </row>
    <row r="363" spans="1:12" x14ac:dyDescent="0.3">
      <c r="A363" s="53">
        <f>DATE(D363,12,25)</f>
        <v>50399</v>
      </c>
      <c r="B363" s="54">
        <f t="shared" si="30"/>
        <v>50399</v>
      </c>
      <c r="C363" t="s">
        <v>129</v>
      </c>
      <c r="D363">
        <f t="shared" si="33"/>
        <v>2037</v>
      </c>
      <c r="E363" t="s">
        <v>110</v>
      </c>
      <c r="H363" s="53">
        <f>DATE(K363,1,1)</f>
        <v>50771</v>
      </c>
      <c r="I363" s="54">
        <f t="shared" si="32"/>
        <v>50771</v>
      </c>
      <c r="J363" t="s">
        <v>109</v>
      </c>
      <c r="K363">
        <f>K345+1</f>
        <v>2039</v>
      </c>
      <c r="L363" t="s">
        <v>110</v>
      </c>
    </row>
    <row r="364" spans="1:12" x14ac:dyDescent="0.3">
      <c r="A364" s="53">
        <f>DATE(D364,1,1)</f>
        <v>50406</v>
      </c>
      <c r="B364" s="54">
        <f t="shared" si="30"/>
        <v>50406</v>
      </c>
      <c r="C364" t="s">
        <v>109</v>
      </c>
      <c r="D364">
        <f>D345+1</f>
        <v>2038</v>
      </c>
      <c r="E364" t="s">
        <v>110</v>
      </c>
      <c r="H364" s="53">
        <f>H367-48</f>
        <v>50822</v>
      </c>
      <c r="I364" s="54">
        <f t="shared" si="32"/>
        <v>50822</v>
      </c>
      <c r="J364" t="s">
        <v>111</v>
      </c>
      <c r="K364">
        <f t="shared" ref="K364:K380" si="35">K346+1</f>
        <v>2039</v>
      </c>
      <c r="L364" t="s">
        <v>110</v>
      </c>
    </row>
    <row r="365" spans="1:12" x14ac:dyDescent="0.3">
      <c r="A365" s="53">
        <f>A368-48</f>
        <v>50472</v>
      </c>
      <c r="B365" s="54">
        <f t="shared" si="30"/>
        <v>50472</v>
      </c>
      <c r="C365" t="s">
        <v>111</v>
      </c>
      <c r="D365">
        <f t="shared" ref="D365:D428" si="36">D346+1</f>
        <v>2038</v>
      </c>
      <c r="E365" t="s">
        <v>110</v>
      </c>
      <c r="H365" s="53">
        <f>H367-47</f>
        <v>50823</v>
      </c>
      <c r="I365" s="54">
        <f t="shared" si="32"/>
        <v>50823</v>
      </c>
      <c r="J365" t="s">
        <v>111</v>
      </c>
      <c r="K365">
        <f t="shared" si="35"/>
        <v>2039</v>
      </c>
      <c r="L365" t="s">
        <v>110</v>
      </c>
    </row>
    <row r="366" spans="1:12" x14ac:dyDescent="0.3">
      <c r="A366" s="53">
        <f>A368-47</f>
        <v>50473</v>
      </c>
      <c r="B366" s="54">
        <f t="shared" si="30"/>
        <v>50473</v>
      </c>
      <c r="C366" t="s">
        <v>111</v>
      </c>
      <c r="D366">
        <f t="shared" si="36"/>
        <v>2038</v>
      </c>
      <c r="E366" t="s">
        <v>110</v>
      </c>
      <c r="H366" s="53">
        <f>H367-2</f>
        <v>50868</v>
      </c>
      <c r="I366" s="54">
        <f t="shared" si="32"/>
        <v>50868</v>
      </c>
      <c r="J366" t="s">
        <v>112</v>
      </c>
      <c r="K366">
        <f t="shared" si="35"/>
        <v>2039</v>
      </c>
      <c r="L366" t="s">
        <v>110</v>
      </c>
    </row>
    <row r="367" spans="1:12" x14ac:dyDescent="0.3">
      <c r="A367" s="53">
        <f>A368-2</f>
        <v>50518</v>
      </c>
      <c r="B367" s="54">
        <f t="shared" si="30"/>
        <v>50518</v>
      </c>
      <c r="C367" t="s">
        <v>112</v>
      </c>
      <c r="D367">
        <f t="shared" si="36"/>
        <v>2038</v>
      </c>
      <c r="E367" t="s">
        <v>110</v>
      </c>
      <c r="H367" s="53">
        <f>FLOOR(DAY(MINUTE(K367/38)/2+56)&amp;"/5"&amp;"/"&amp;K367,7)-34</f>
        <v>50870</v>
      </c>
      <c r="I367" s="54">
        <f t="shared" si="32"/>
        <v>50870</v>
      </c>
      <c r="J367" t="s">
        <v>113</v>
      </c>
      <c r="K367">
        <f t="shared" si="35"/>
        <v>2039</v>
      </c>
      <c r="L367" t="s">
        <v>110</v>
      </c>
    </row>
    <row r="368" spans="1:12" x14ac:dyDescent="0.3">
      <c r="A368" s="53">
        <f>FLOOR(DAY(MINUTE(D368/38)/2+56)&amp;"/5"&amp;"/"&amp;D368,7)-34</f>
        <v>50520</v>
      </c>
      <c r="B368" s="54">
        <f t="shared" si="30"/>
        <v>50520</v>
      </c>
      <c r="C368" t="s">
        <v>113</v>
      </c>
      <c r="D368">
        <f t="shared" si="36"/>
        <v>2038</v>
      </c>
      <c r="E368" t="s">
        <v>110</v>
      </c>
      <c r="H368" s="53">
        <f>DATE(K368,4,21)</f>
        <v>50881</v>
      </c>
      <c r="I368" s="54">
        <f t="shared" si="32"/>
        <v>50881</v>
      </c>
      <c r="J368" t="s">
        <v>116</v>
      </c>
      <c r="K368">
        <f t="shared" si="35"/>
        <v>2039</v>
      </c>
      <c r="L368" t="s">
        <v>110</v>
      </c>
    </row>
    <row r="369" spans="1:12" x14ac:dyDescent="0.3">
      <c r="A369" s="53">
        <f>DATE(D369,4,14)</f>
        <v>50509</v>
      </c>
      <c r="B369" s="54">
        <f t="shared" si="30"/>
        <v>50509</v>
      </c>
      <c r="C369" t="s">
        <v>114</v>
      </c>
      <c r="D369">
        <f t="shared" si="36"/>
        <v>2038</v>
      </c>
      <c r="E369" t="s">
        <v>115</v>
      </c>
      <c r="H369" s="53">
        <f>DATE(K369,5,1)</f>
        <v>50891</v>
      </c>
      <c r="I369" s="54">
        <f t="shared" si="32"/>
        <v>50891</v>
      </c>
      <c r="J369" t="s">
        <v>117</v>
      </c>
      <c r="K369">
        <f t="shared" si="35"/>
        <v>2039</v>
      </c>
      <c r="L369" t="s">
        <v>110</v>
      </c>
    </row>
    <row r="370" spans="1:12" x14ac:dyDescent="0.3">
      <c r="A370" s="53">
        <f>DATE(D370,4,21)</f>
        <v>50516</v>
      </c>
      <c r="B370" s="54">
        <f t="shared" si="30"/>
        <v>50516</v>
      </c>
      <c r="C370" t="s">
        <v>116</v>
      </c>
      <c r="D370">
        <f t="shared" si="36"/>
        <v>2038</v>
      </c>
      <c r="E370" t="s">
        <v>110</v>
      </c>
      <c r="H370" s="53">
        <f>DATE(K370,5,1)+(14-WEEKDAY(DATE(K370,5,1),2))</f>
        <v>50898</v>
      </c>
      <c r="I370" s="54">
        <f t="shared" si="32"/>
        <v>50898</v>
      </c>
      <c r="J370" t="s">
        <v>118</v>
      </c>
      <c r="K370">
        <f t="shared" si="35"/>
        <v>2039</v>
      </c>
      <c r="L370" t="s">
        <v>110</v>
      </c>
    </row>
    <row r="371" spans="1:12" x14ac:dyDescent="0.3">
      <c r="A371" s="53">
        <f>DATE(D371,5,1)</f>
        <v>50526</v>
      </c>
      <c r="B371" s="54">
        <f t="shared" si="30"/>
        <v>50526</v>
      </c>
      <c r="C371" t="s">
        <v>117</v>
      </c>
      <c r="D371">
        <f t="shared" si="36"/>
        <v>2038</v>
      </c>
      <c r="E371" t="s">
        <v>110</v>
      </c>
      <c r="H371" s="53">
        <f>H367+60</f>
        <v>50930</v>
      </c>
      <c r="I371" s="54">
        <f t="shared" si="32"/>
        <v>50930</v>
      </c>
      <c r="J371" t="s">
        <v>119</v>
      </c>
      <c r="K371">
        <f t="shared" si="35"/>
        <v>2039</v>
      </c>
      <c r="L371" t="s">
        <v>110</v>
      </c>
    </row>
    <row r="372" spans="1:12" x14ac:dyDescent="0.3">
      <c r="A372" s="53">
        <f>DATE(D372,5,1)+(14-WEEKDAY(DATE(D372,5,1),2))</f>
        <v>50534</v>
      </c>
      <c r="B372" s="54">
        <f t="shared" si="30"/>
        <v>50534</v>
      </c>
      <c r="C372" t="s">
        <v>118</v>
      </c>
      <c r="D372">
        <f t="shared" si="36"/>
        <v>2038</v>
      </c>
      <c r="E372" t="s">
        <v>110</v>
      </c>
      <c r="H372" s="53">
        <f>DATE(K372,6,19)</f>
        <v>50940</v>
      </c>
      <c r="I372" s="54">
        <f t="shared" si="32"/>
        <v>50940</v>
      </c>
      <c r="J372" t="s">
        <v>114</v>
      </c>
      <c r="K372">
        <f t="shared" si="35"/>
        <v>2039</v>
      </c>
      <c r="L372" t="s">
        <v>115</v>
      </c>
    </row>
    <row r="373" spans="1:12" x14ac:dyDescent="0.3">
      <c r="A373" s="53">
        <f>A368+60</f>
        <v>50580</v>
      </c>
      <c r="B373" s="54">
        <f t="shared" si="30"/>
        <v>50580</v>
      </c>
      <c r="C373" t="s">
        <v>119</v>
      </c>
      <c r="D373">
        <f t="shared" si="36"/>
        <v>2038</v>
      </c>
      <c r="E373" t="s">
        <v>110</v>
      </c>
      <c r="H373" s="53">
        <f>DATE(K373,7,9)</f>
        <v>50960</v>
      </c>
      <c r="I373" s="54">
        <f t="shared" si="32"/>
        <v>50960</v>
      </c>
      <c r="J373" t="s">
        <v>120</v>
      </c>
      <c r="K373">
        <f t="shared" si="35"/>
        <v>2039</v>
      </c>
      <c r="L373" t="s">
        <v>121</v>
      </c>
    </row>
    <row r="374" spans="1:12" x14ac:dyDescent="0.3">
      <c r="A374" s="53">
        <f>DATE(D374,7,9)</f>
        <v>50595</v>
      </c>
      <c r="B374" s="54">
        <f t="shared" si="30"/>
        <v>50595</v>
      </c>
      <c r="C374" t="s">
        <v>120</v>
      </c>
      <c r="D374">
        <f t="shared" si="36"/>
        <v>2038</v>
      </c>
      <c r="E374" t="s">
        <v>121</v>
      </c>
      <c r="H374" s="53">
        <f>DATE(K374,8,1)+(14-WEEKDAY(DATE(K374,8,1),2))</f>
        <v>50996</v>
      </c>
      <c r="I374" s="54">
        <f t="shared" si="32"/>
        <v>50996</v>
      </c>
      <c r="J374" t="s">
        <v>123</v>
      </c>
      <c r="K374">
        <f t="shared" si="35"/>
        <v>2039</v>
      </c>
      <c r="L374" t="s">
        <v>110</v>
      </c>
    </row>
    <row r="375" spans="1:12" x14ac:dyDescent="0.3">
      <c r="A375" s="53">
        <f>DATE(D375,8,8)</f>
        <v>50625</v>
      </c>
      <c r="B375" s="54">
        <f t="shared" si="30"/>
        <v>50625</v>
      </c>
      <c r="C375" t="s">
        <v>122</v>
      </c>
      <c r="D375">
        <f t="shared" si="36"/>
        <v>2038</v>
      </c>
      <c r="E375" t="s">
        <v>115</v>
      </c>
      <c r="H375" s="53">
        <f>DATE(K375,9,7)</f>
        <v>51020</v>
      </c>
      <c r="I375" s="54">
        <f t="shared" si="32"/>
        <v>51020</v>
      </c>
      <c r="J375" t="s">
        <v>124</v>
      </c>
      <c r="K375">
        <f t="shared" si="35"/>
        <v>2039</v>
      </c>
      <c r="L375" t="s">
        <v>110</v>
      </c>
    </row>
    <row r="376" spans="1:12" x14ac:dyDescent="0.3">
      <c r="A376" s="53">
        <f>DATE(D376,8,1)+(14-WEEKDAY(DATE(D376,8,1),2))</f>
        <v>50625</v>
      </c>
      <c r="B376" s="54">
        <f t="shared" si="30"/>
        <v>50625</v>
      </c>
      <c r="C376" t="s">
        <v>123</v>
      </c>
      <c r="D376">
        <f t="shared" si="36"/>
        <v>2038</v>
      </c>
      <c r="E376" t="s">
        <v>110</v>
      </c>
      <c r="H376" s="53">
        <f>DATE(K376,10,12)</f>
        <v>51055</v>
      </c>
      <c r="I376" s="54">
        <f t="shared" si="32"/>
        <v>51055</v>
      </c>
      <c r="J376" t="s">
        <v>125</v>
      </c>
      <c r="K376">
        <f t="shared" si="35"/>
        <v>2039</v>
      </c>
      <c r="L376" t="s">
        <v>110</v>
      </c>
    </row>
    <row r="377" spans="1:12" x14ac:dyDescent="0.3">
      <c r="A377" s="53">
        <f>DATE(D377,9,7)</f>
        <v>50655</v>
      </c>
      <c r="B377" s="54">
        <f t="shared" si="30"/>
        <v>50655</v>
      </c>
      <c r="C377" t="s">
        <v>124</v>
      </c>
      <c r="D377">
        <f t="shared" si="36"/>
        <v>2038</v>
      </c>
      <c r="E377" t="s">
        <v>110</v>
      </c>
      <c r="H377" s="53">
        <f>DATE(K377,11,2)</f>
        <v>51076</v>
      </c>
      <c r="I377" s="54">
        <f t="shared" si="32"/>
        <v>51076</v>
      </c>
      <c r="J377" t="s">
        <v>126</v>
      </c>
      <c r="K377">
        <f t="shared" si="35"/>
        <v>2039</v>
      </c>
      <c r="L377" t="s">
        <v>110</v>
      </c>
    </row>
    <row r="378" spans="1:12" x14ac:dyDescent="0.3">
      <c r="A378" s="53">
        <f>DATE(D378,10,12)</f>
        <v>50690</v>
      </c>
      <c r="B378" s="54">
        <f t="shared" si="30"/>
        <v>50690</v>
      </c>
      <c r="C378" t="s">
        <v>125</v>
      </c>
      <c r="D378">
        <f t="shared" si="36"/>
        <v>2038</v>
      </c>
      <c r="E378" t="s">
        <v>110</v>
      </c>
      <c r="H378" s="53">
        <f>DATE(K378,11,15)</f>
        <v>51089</v>
      </c>
      <c r="I378" s="54">
        <f t="shared" si="32"/>
        <v>51089</v>
      </c>
      <c r="J378" t="s">
        <v>127</v>
      </c>
      <c r="K378">
        <f t="shared" si="35"/>
        <v>2039</v>
      </c>
      <c r="L378" t="s">
        <v>110</v>
      </c>
    </row>
    <row r="379" spans="1:12" x14ac:dyDescent="0.3">
      <c r="A379" s="53">
        <f>DATE(D379,11,2)</f>
        <v>50711</v>
      </c>
      <c r="B379" s="54">
        <f t="shared" si="30"/>
        <v>50711</v>
      </c>
      <c r="C379" t="s">
        <v>126</v>
      </c>
      <c r="D379">
        <f t="shared" si="36"/>
        <v>2038</v>
      </c>
      <c r="E379" t="s">
        <v>110</v>
      </c>
      <c r="H379" s="53">
        <f>DATE(K379,11,20)</f>
        <v>51094</v>
      </c>
      <c r="I379" s="54">
        <f t="shared" si="32"/>
        <v>51094</v>
      </c>
      <c r="J379" t="s">
        <v>128</v>
      </c>
      <c r="K379">
        <f t="shared" si="35"/>
        <v>2039</v>
      </c>
      <c r="L379" t="s">
        <v>110</v>
      </c>
    </row>
    <row r="380" spans="1:12" x14ac:dyDescent="0.3">
      <c r="A380" s="53">
        <f>DATE(D380,11,15)</f>
        <v>50724</v>
      </c>
      <c r="B380" s="54">
        <f t="shared" si="30"/>
        <v>50724</v>
      </c>
      <c r="C380" t="s">
        <v>127</v>
      </c>
      <c r="D380">
        <f t="shared" si="36"/>
        <v>2038</v>
      </c>
      <c r="E380" t="s">
        <v>110</v>
      </c>
      <c r="H380" s="53">
        <f>DATE(K380,12,25)</f>
        <v>51129</v>
      </c>
      <c r="I380" s="54">
        <f t="shared" si="32"/>
        <v>51129</v>
      </c>
      <c r="J380" t="s">
        <v>129</v>
      </c>
      <c r="K380">
        <f t="shared" si="35"/>
        <v>2039</v>
      </c>
      <c r="L380" t="s">
        <v>110</v>
      </c>
    </row>
    <row r="381" spans="1:12" x14ac:dyDescent="0.3">
      <c r="A381" s="53">
        <f>DATE(D381,11,20)</f>
        <v>50729</v>
      </c>
      <c r="B381" s="54">
        <f t="shared" si="30"/>
        <v>50729</v>
      </c>
      <c r="C381" t="s">
        <v>128</v>
      </c>
      <c r="D381">
        <f t="shared" si="36"/>
        <v>2038</v>
      </c>
      <c r="E381" t="s">
        <v>110</v>
      </c>
      <c r="H381" s="53">
        <f>DATE(K381,1,1)</f>
        <v>51136</v>
      </c>
      <c r="I381" s="54">
        <f t="shared" si="32"/>
        <v>51136</v>
      </c>
      <c r="J381" t="s">
        <v>109</v>
      </c>
      <c r="K381">
        <f>K363+1</f>
        <v>2040</v>
      </c>
      <c r="L381" t="s">
        <v>110</v>
      </c>
    </row>
    <row r="382" spans="1:12" x14ac:dyDescent="0.3">
      <c r="A382" s="53">
        <f>DATE(D382,12,25)</f>
        <v>50764</v>
      </c>
      <c r="B382" s="54">
        <f t="shared" si="30"/>
        <v>50764</v>
      </c>
      <c r="C382" t="s">
        <v>129</v>
      </c>
      <c r="D382">
        <f t="shared" si="36"/>
        <v>2038</v>
      </c>
      <c r="E382" t="s">
        <v>110</v>
      </c>
      <c r="H382" s="53">
        <f>H385-48</f>
        <v>51179</v>
      </c>
      <c r="I382" s="54">
        <f t="shared" si="32"/>
        <v>51179</v>
      </c>
      <c r="J382" t="s">
        <v>111</v>
      </c>
      <c r="K382">
        <f t="shared" ref="K382:K445" si="37">K364+1</f>
        <v>2040</v>
      </c>
      <c r="L382" t="s">
        <v>110</v>
      </c>
    </row>
    <row r="383" spans="1:12" x14ac:dyDescent="0.3">
      <c r="A383" s="53">
        <f>DATE(D383,1,1)</f>
        <v>50771</v>
      </c>
      <c r="B383" s="54">
        <f t="shared" si="30"/>
        <v>50771</v>
      </c>
      <c r="C383" t="s">
        <v>109</v>
      </c>
      <c r="D383">
        <f>D364+1</f>
        <v>2039</v>
      </c>
      <c r="E383" t="s">
        <v>110</v>
      </c>
      <c r="H383" s="53">
        <f>H385-47</f>
        <v>51180</v>
      </c>
      <c r="I383" s="54">
        <f t="shared" si="32"/>
        <v>51180</v>
      </c>
      <c r="J383" t="s">
        <v>111</v>
      </c>
      <c r="K383">
        <f t="shared" si="37"/>
        <v>2040</v>
      </c>
      <c r="L383" t="s">
        <v>110</v>
      </c>
    </row>
    <row r="384" spans="1:12" x14ac:dyDescent="0.3">
      <c r="A384" s="53">
        <f>A387-48</f>
        <v>50822</v>
      </c>
      <c r="B384" s="54">
        <f t="shared" si="30"/>
        <v>50822</v>
      </c>
      <c r="C384" t="s">
        <v>111</v>
      </c>
      <c r="D384">
        <f t="shared" si="36"/>
        <v>2039</v>
      </c>
      <c r="E384" t="s">
        <v>110</v>
      </c>
      <c r="H384" s="53">
        <f>H385-2</f>
        <v>51225</v>
      </c>
      <c r="I384" s="54">
        <f t="shared" si="32"/>
        <v>51225</v>
      </c>
      <c r="J384" t="s">
        <v>112</v>
      </c>
      <c r="K384">
        <f t="shared" si="37"/>
        <v>2040</v>
      </c>
      <c r="L384" t="s">
        <v>110</v>
      </c>
    </row>
    <row r="385" spans="1:12" x14ac:dyDescent="0.3">
      <c r="A385" s="53">
        <f>A387-47</f>
        <v>50823</v>
      </c>
      <c r="B385" s="54">
        <f t="shared" si="30"/>
        <v>50823</v>
      </c>
      <c r="C385" t="s">
        <v>111</v>
      </c>
      <c r="D385">
        <f t="shared" si="36"/>
        <v>2039</v>
      </c>
      <c r="E385" t="s">
        <v>110</v>
      </c>
      <c r="H385" s="53">
        <f>FLOOR(DAY(MINUTE(K385/38)/2+56)&amp;"/5"&amp;"/"&amp;K385,7)-34</f>
        <v>51227</v>
      </c>
      <c r="I385" s="54">
        <f t="shared" si="32"/>
        <v>51227</v>
      </c>
      <c r="J385" t="s">
        <v>113</v>
      </c>
      <c r="K385">
        <f t="shared" si="37"/>
        <v>2040</v>
      </c>
      <c r="L385" t="s">
        <v>110</v>
      </c>
    </row>
    <row r="386" spans="1:12" x14ac:dyDescent="0.3">
      <c r="A386" s="53">
        <f>A387-2</f>
        <v>50868</v>
      </c>
      <c r="B386" s="54">
        <f t="shared" si="30"/>
        <v>50868</v>
      </c>
      <c r="C386" t="s">
        <v>112</v>
      </c>
      <c r="D386">
        <f t="shared" si="36"/>
        <v>2039</v>
      </c>
      <c r="E386" t="s">
        <v>110</v>
      </c>
      <c r="H386" s="53">
        <f>DATE(K386,4,21)</f>
        <v>51247</v>
      </c>
      <c r="I386" s="54">
        <f t="shared" si="32"/>
        <v>51247</v>
      </c>
      <c r="J386" t="s">
        <v>116</v>
      </c>
      <c r="K386">
        <f t="shared" si="37"/>
        <v>2040</v>
      </c>
      <c r="L386" t="s">
        <v>110</v>
      </c>
    </row>
    <row r="387" spans="1:12" x14ac:dyDescent="0.3">
      <c r="A387" s="53">
        <f>FLOOR(DAY(MINUTE(D387/38)/2+56)&amp;"/5"&amp;"/"&amp;D387,7)-34</f>
        <v>50870</v>
      </c>
      <c r="B387" s="54">
        <f t="shared" ref="B387:B450" si="38">A387</f>
        <v>50870</v>
      </c>
      <c r="C387" t="s">
        <v>113</v>
      </c>
      <c r="D387">
        <f t="shared" si="36"/>
        <v>2039</v>
      </c>
      <c r="E387" t="s">
        <v>110</v>
      </c>
      <c r="H387" s="53">
        <f>DATE(K387,5,1)</f>
        <v>51257</v>
      </c>
      <c r="I387" s="54">
        <f t="shared" si="32"/>
        <v>51257</v>
      </c>
      <c r="J387" t="s">
        <v>117</v>
      </c>
      <c r="K387">
        <f t="shared" si="37"/>
        <v>2040</v>
      </c>
      <c r="L387" t="s">
        <v>110</v>
      </c>
    </row>
    <row r="388" spans="1:12" x14ac:dyDescent="0.3">
      <c r="A388" s="53">
        <f>DATE(D388,4,14)</f>
        <v>50874</v>
      </c>
      <c r="B388" s="54">
        <f t="shared" si="38"/>
        <v>50874</v>
      </c>
      <c r="C388" t="s">
        <v>114</v>
      </c>
      <c r="D388">
        <f t="shared" si="36"/>
        <v>2039</v>
      </c>
      <c r="E388" t="s">
        <v>115</v>
      </c>
      <c r="H388" s="53">
        <f>DATE(K388,5,1)+(14-WEEKDAY(DATE(K388,5,1),2))</f>
        <v>51269</v>
      </c>
      <c r="I388" s="54">
        <f t="shared" si="32"/>
        <v>51269</v>
      </c>
      <c r="J388" t="s">
        <v>118</v>
      </c>
      <c r="K388">
        <f t="shared" si="37"/>
        <v>2040</v>
      </c>
      <c r="L388" t="s">
        <v>110</v>
      </c>
    </row>
    <row r="389" spans="1:12" x14ac:dyDescent="0.3">
      <c r="A389" s="53">
        <f>DATE(D389,4,21)</f>
        <v>50881</v>
      </c>
      <c r="B389" s="54">
        <f t="shared" si="38"/>
        <v>50881</v>
      </c>
      <c r="C389" t="s">
        <v>116</v>
      </c>
      <c r="D389">
        <f t="shared" si="36"/>
        <v>2039</v>
      </c>
      <c r="E389" t="s">
        <v>110</v>
      </c>
      <c r="H389" s="53">
        <f>H385+60</f>
        <v>51287</v>
      </c>
      <c r="I389" s="54">
        <f t="shared" si="32"/>
        <v>51287</v>
      </c>
      <c r="J389" t="s">
        <v>119</v>
      </c>
      <c r="K389">
        <f t="shared" si="37"/>
        <v>2040</v>
      </c>
      <c r="L389" t="s">
        <v>110</v>
      </c>
    </row>
    <row r="390" spans="1:12" x14ac:dyDescent="0.3">
      <c r="A390" s="53">
        <f>DATE(D390,5,1)</f>
        <v>50891</v>
      </c>
      <c r="B390" s="54">
        <f t="shared" si="38"/>
        <v>50891</v>
      </c>
      <c r="C390" t="s">
        <v>117</v>
      </c>
      <c r="D390">
        <f t="shared" si="36"/>
        <v>2039</v>
      </c>
      <c r="E390" t="s">
        <v>110</v>
      </c>
      <c r="H390" s="53">
        <f>DATE(K390,6,19)</f>
        <v>51306</v>
      </c>
      <c r="I390" s="54">
        <f t="shared" si="32"/>
        <v>51306</v>
      </c>
      <c r="J390" t="s">
        <v>114</v>
      </c>
      <c r="K390">
        <f t="shared" si="37"/>
        <v>2040</v>
      </c>
      <c r="L390" t="s">
        <v>115</v>
      </c>
    </row>
    <row r="391" spans="1:12" x14ac:dyDescent="0.3">
      <c r="A391" s="53">
        <f>DATE(D391,5,1)+(14-WEEKDAY(DATE(D391,5,1),2))</f>
        <v>50898</v>
      </c>
      <c r="B391" s="54">
        <f t="shared" si="38"/>
        <v>50898</v>
      </c>
      <c r="C391" t="s">
        <v>118</v>
      </c>
      <c r="D391">
        <f t="shared" si="36"/>
        <v>2039</v>
      </c>
      <c r="E391" t="s">
        <v>110</v>
      </c>
      <c r="H391" s="53">
        <f>DATE(K391,7,9)</f>
        <v>51326</v>
      </c>
      <c r="I391" s="54">
        <f t="shared" si="32"/>
        <v>51326</v>
      </c>
      <c r="J391" t="s">
        <v>120</v>
      </c>
      <c r="K391">
        <f t="shared" si="37"/>
        <v>2040</v>
      </c>
      <c r="L391" t="s">
        <v>121</v>
      </c>
    </row>
    <row r="392" spans="1:12" x14ac:dyDescent="0.3">
      <c r="A392" s="53">
        <f>A387+60</f>
        <v>50930</v>
      </c>
      <c r="B392" s="54">
        <f t="shared" si="38"/>
        <v>50930</v>
      </c>
      <c r="C392" t="s">
        <v>119</v>
      </c>
      <c r="D392">
        <f t="shared" si="36"/>
        <v>2039</v>
      </c>
      <c r="E392" t="s">
        <v>110</v>
      </c>
      <c r="H392" s="53">
        <f>DATE(K392,8,1)+(14-WEEKDAY(DATE(K392,8,1),2))</f>
        <v>51360</v>
      </c>
      <c r="I392" s="54">
        <f t="shared" ref="I392:I455" si="39">H392</f>
        <v>51360</v>
      </c>
      <c r="J392" t="s">
        <v>123</v>
      </c>
      <c r="K392">
        <f t="shared" si="37"/>
        <v>2040</v>
      </c>
      <c r="L392" t="s">
        <v>110</v>
      </c>
    </row>
    <row r="393" spans="1:12" x14ac:dyDescent="0.3">
      <c r="A393" s="53">
        <f>DATE(D393,7,9)</f>
        <v>50960</v>
      </c>
      <c r="B393" s="54">
        <f t="shared" si="38"/>
        <v>50960</v>
      </c>
      <c r="C393" t="s">
        <v>120</v>
      </c>
      <c r="D393">
        <f t="shared" si="36"/>
        <v>2039</v>
      </c>
      <c r="E393" t="s">
        <v>121</v>
      </c>
      <c r="H393" s="53">
        <f>DATE(K393,9,7)</f>
        <v>51386</v>
      </c>
      <c r="I393" s="54">
        <f t="shared" si="39"/>
        <v>51386</v>
      </c>
      <c r="J393" t="s">
        <v>124</v>
      </c>
      <c r="K393">
        <f t="shared" si="37"/>
        <v>2040</v>
      </c>
      <c r="L393" t="s">
        <v>110</v>
      </c>
    </row>
    <row r="394" spans="1:12" x14ac:dyDescent="0.3">
      <c r="A394" s="53">
        <f>DATE(D394,8,8)</f>
        <v>50990</v>
      </c>
      <c r="B394" s="54">
        <f t="shared" si="38"/>
        <v>50990</v>
      </c>
      <c r="C394" t="s">
        <v>122</v>
      </c>
      <c r="D394">
        <f t="shared" si="36"/>
        <v>2039</v>
      </c>
      <c r="E394" t="s">
        <v>115</v>
      </c>
      <c r="H394" s="53">
        <f>DATE(K394,10,12)</f>
        <v>51421</v>
      </c>
      <c r="I394" s="54">
        <f t="shared" si="39"/>
        <v>51421</v>
      </c>
      <c r="J394" t="s">
        <v>125</v>
      </c>
      <c r="K394">
        <f t="shared" si="37"/>
        <v>2040</v>
      </c>
      <c r="L394" t="s">
        <v>110</v>
      </c>
    </row>
    <row r="395" spans="1:12" x14ac:dyDescent="0.3">
      <c r="A395" s="53">
        <f>DATE(D395,8,1)+(14-WEEKDAY(DATE(D395,8,1),2))</f>
        <v>50996</v>
      </c>
      <c r="B395" s="54">
        <f t="shared" si="38"/>
        <v>50996</v>
      </c>
      <c r="C395" t="s">
        <v>123</v>
      </c>
      <c r="D395">
        <f t="shared" si="36"/>
        <v>2039</v>
      </c>
      <c r="E395" t="s">
        <v>110</v>
      </c>
      <c r="H395" s="53">
        <f>DATE(K395,11,2)</f>
        <v>51442</v>
      </c>
      <c r="I395" s="54">
        <f t="shared" si="39"/>
        <v>51442</v>
      </c>
      <c r="J395" t="s">
        <v>126</v>
      </c>
      <c r="K395">
        <f t="shared" si="37"/>
        <v>2040</v>
      </c>
      <c r="L395" t="s">
        <v>110</v>
      </c>
    </row>
    <row r="396" spans="1:12" x14ac:dyDescent="0.3">
      <c r="A396" s="53">
        <f>DATE(D396,9,7)</f>
        <v>51020</v>
      </c>
      <c r="B396" s="54">
        <f t="shared" si="38"/>
        <v>51020</v>
      </c>
      <c r="C396" t="s">
        <v>124</v>
      </c>
      <c r="D396">
        <f t="shared" si="36"/>
        <v>2039</v>
      </c>
      <c r="E396" t="s">
        <v>110</v>
      </c>
      <c r="H396" s="53">
        <f>DATE(K396,11,15)</f>
        <v>51455</v>
      </c>
      <c r="I396" s="54">
        <f t="shared" si="39"/>
        <v>51455</v>
      </c>
      <c r="J396" t="s">
        <v>127</v>
      </c>
      <c r="K396">
        <f t="shared" si="37"/>
        <v>2040</v>
      </c>
      <c r="L396" t="s">
        <v>110</v>
      </c>
    </row>
    <row r="397" spans="1:12" x14ac:dyDescent="0.3">
      <c r="A397" s="53">
        <f>DATE(D397,10,12)</f>
        <v>51055</v>
      </c>
      <c r="B397" s="54">
        <f t="shared" si="38"/>
        <v>51055</v>
      </c>
      <c r="C397" t="s">
        <v>125</v>
      </c>
      <c r="D397">
        <f t="shared" si="36"/>
        <v>2039</v>
      </c>
      <c r="E397" t="s">
        <v>110</v>
      </c>
      <c r="H397" s="53">
        <f>DATE(K397,11,20)</f>
        <v>51460</v>
      </c>
      <c r="I397" s="54">
        <f t="shared" si="39"/>
        <v>51460</v>
      </c>
      <c r="J397" t="s">
        <v>128</v>
      </c>
      <c r="K397">
        <f t="shared" si="37"/>
        <v>2040</v>
      </c>
      <c r="L397" t="s">
        <v>110</v>
      </c>
    </row>
    <row r="398" spans="1:12" x14ac:dyDescent="0.3">
      <c r="A398" s="53">
        <f>DATE(D398,11,2)</f>
        <v>51076</v>
      </c>
      <c r="B398" s="54">
        <f t="shared" si="38"/>
        <v>51076</v>
      </c>
      <c r="C398" t="s">
        <v>126</v>
      </c>
      <c r="D398">
        <f t="shared" si="36"/>
        <v>2039</v>
      </c>
      <c r="E398" t="s">
        <v>110</v>
      </c>
      <c r="H398" s="53">
        <f>DATE(K398,12,25)</f>
        <v>51495</v>
      </c>
      <c r="I398" s="54">
        <f t="shared" si="39"/>
        <v>51495</v>
      </c>
      <c r="J398" t="s">
        <v>129</v>
      </c>
      <c r="K398">
        <f t="shared" si="37"/>
        <v>2040</v>
      </c>
      <c r="L398" t="s">
        <v>110</v>
      </c>
    </row>
    <row r="399" spans="1:12" x14ac:dyDescent="0.3">
      <c r="A399" s="53">
        <f>DATE(D399,11,15)</f>
        <v>51089</v>
      </c>
      <c r="B399" s="54">
        <f t="shared" si="38"/>
        <v>51089</v>
      </c>
      <c r="C399" t="s">
        <v>127</v>
      </c>
      <c r="D399">
        <f t="shared" si="36"/>
        <v>2039</v>
      </c>
      <c r="E399" t="s">
        <v>110</v>
      </c>
      <c r="H399" s="53">
        <f>DATE(K399,1,1)</f>
        <v>51502</v>
      </c>
      <c r="I399" s="54">
        <f t="shared" si="39"/>
        <v>51502</v>
      </c>
      <c r="J399" t="s">
        <v>109</v>
      </c>
      <c r="K399">
        <f>K381+1</f>
        <v>2041</v>
      </c>
      <c r="L399" t="s">
        <v>110</v>
      </c>
    </row>
    <row r="400" spans="1:12" x14ac:dyDescent="0.3">
      <c r="A400" s="53">
        <f>DATE(D400,11,20)</f>
        <v>51094</v>
      </c>
      <c r="B400" s="54">
        <f t="shared" si="38"/>
        <v>51094</v>
      </c>
      <c r="C400" t="s">
        <v>128</v>
      </c>
      <c r="D400">
        <f t="shared" si="36"/>
        <v>2039</v>
      </c>
      <c r="E400" t="s">
        <v>110</v>
      </c>
      <c r="H400" s="53">
        <f>H403-48</f>
        <v>51564</v>
      </c>
      <c r="I400" s="54">
        <f t="shared" si="39"/>
        <v>51564</v>
      </c>
      <c r="J400" t="s">
        <v>111</v>
      </c>
      <c r="K400">
        <f t="shared" si="37"/>
        <v>2041</v>
      </c>
      <c r="L400" t="s">
        <v>110</v>
      </c>
    </row>
    <row r="401" spans="1:12" x14ac:dyDescent="0.3">
      <c r="A401" s="53">
        <f>DATE(D401,12,25)</f>
        <v>51129</v>
      </c>
      <c r="B401" s="54">
        <f t="shared" si="38"/>
        <v>51129</v>
      </c>
      <c r="C401" t="s">
        <v>129</v>
      </c>
      <c r="D401">
        <f t="shared" si="36"/>
        <v>2039</v>
      </c>
      <c r="E401" t="s">
        <v>110</v>
      </c>
      <c r="H401" s="53">
        <f>H403-47</f>
        <v>51565</v>
      </c>
      <c r="I401" s="54">
        <f t="shared" si="39"/>
        <v>51565</v>
      </c>
      <c r="J401" t="s">
        <v>111</v>
      </c>
      <c r="K401">
        <f t="shared" si="37"/>
        <v>2041</v>
      </c>
      <c r="L401" t="s">
        <v>110</v>
      </c>
    </row>
    <row r="402" spans="1:12" x14ac:dyDescent="0.3">
      <c r="A402" s="53">
        <f>DATE(D402,1,1)</f>
        <v>51136</v>
      </c>
      <c r="B402" s="54">
        <f t="shared" si="38"/>
        <v>51136</v>
      </c>
      <c r="C402" t="s">
        <v>109</v>
      </c>
      <c r="D402">
        <f>D383+1</f>
        <v>2040</v>
      </c>
      <c r="E402" t="s">
        <v>110</v>
      </c>
      <c r="H402" s="53">
        <f>H403-2</f>
        <v>51610</v>
      </c>
      <c r="I402" s="54">
        <f t="shared" si="39"/>
        <v>51610</v>
      </c>
      <c r="J402" t="s">
        <v>112</v>
      </c>
      <c r="K402">
        <f t="shared" si="37"/>
        <v>2041</v>
      </c>
      <c r="L402" t="s">
        <v>110</v>
      </c>
    </row>
    <row r="403" spans="1:12" x14ac:dyDescent="0.3">
      <c r="A403" s="53">
        <f>A406-48</f>
        <v>51179</v>
      </c>
      <c r="B403" s="54">
        <f t="shared" si="38"/>
        <v>51179</v>
      </c>
      <c r="C403" t="s">
        <v>111</v>
      </c>
      <c r="D403">
        <f t="shared" si="36"/>
        <v>2040</v>
      </c>
      <c r="E403" t="s">
        <v>110</v>
      </c>
      <c r="H403" s="53">
        <f>FLOOR(DAY(MINUTE(K403/38)/2+56)&amp;"/5"&amp;"/"&amp;K403,7)-34</f>
        <v>51612</v>
      </c>
      <c r="I403" s="54">
        <f t="shared" si="39"/>
        <v>51612</v>
      </c>
      <c r="J403" t="s">
        <v>113</v>
      </c>
      <c r="K403">
        <f t="shared" si="37"/>
        <v>2041</v>
      </c>
      <c r="L403" t="s">
        <v>110</v>
      </c>
    </row>
    <row r="404" spans="1:12" x14ac:dyDescent="0.3">
      <c r="A404" s="53">
        <f>A406-47</f>
        <v>51180</v>
      </c>
      <c r="B404" s="54">
        <f t="shared" si="38"/>
        <v>51180</v>
      </c>
      <c r="C404" t="s">
        <v>111</v>
      </c>
      <c r="D404">
        <f t="shared" si="36"/>
        <v>2040</v>
      </c>
      <c r="E404" t="s">
        <v>110</v>
      </c>
      <c r="H404" s="53">
        <f>DATE(K404,4,21)</f>
        <v>51612</v>
      </c>
      <c r="I404" s="54">
        <f t="shared" si="39"/>
        <v>51612</v>
      </c>
      <c r="J404" t="s">
        <v>116</v>
      </c>
      <c r="K404">
        <f t="shared" si="37"/>
        <v>2041</v>
      </c>
      <c r="L404" t="s">
        <v>110</v>
      </c>
    </row>
    <row r="405" spans="1:12" x14ac:dyDescent="0.3">
      <c r="A405" s="53">
        <f>A406-2</f>
        <v>51225</v>
      </c>
      <c r="B405" s="54">
        <f t="shared" si="38"/>
        <v>51225</v>
      </c>
      <c r="C405" t="s">
        <v>112</v>
      </c>
      <c r="D405">
        <f t="shared" si="36"/>
        <v>2040</v>
      </c>
      <c r="E405" t="s">
        <v>110</v>
      </c>
      <c r="H405" s="53">
        <f>DATE(K405,5,1)</f>
        <v>51622</v>
      </c>
      <c r="I405" s="54">
        <f t="shared" si="39"/>
        <v>51622</v>
      </c>
      <c r="J405" t="s">
        <v>117</v>
      </c>
      <c r="K405">
        <f t="shared" si="37"/>
        <v>2041</v>
      </c>
      <c r="L405" t="s">
        <v>110</v>
      </c>
    </row>
    <row r="406" spans="1:12" x14ac:dyDescent="0.3">
      <c r="A406" s="53">
        <f>FLOOR(DAY(MINUTE(D406/38)/2+56)&amp;"/5"&amp;"/"&amp;D406,7)-34</f>
        <v>51227</v>
      </c>
      <c r="B406" s="54">
        <f t="shared" si="38"/>
        <v>51227</v>
      </c>
      <c r="C406" t="s">
        <v>113</v>
      </c>
      <c r="D406">
        <f t="shared" si="36"/>
        <v>2040</v>
      </c>
      <c r="E406" t="s">
        <v>110</v>
      </c>
      <c r="H406" s="53">
        <f>DATE(K406,5,1)+(14-WEEKDAY(DATE(K406,5,1),2))</f>
        <v>51633</v>
      </c>
      <c r="I406" s="54">
        <f t="shared" si="39"/>
        <v>51633</v>
      </c>
      <c r="J406" t="s">
        <v>118</v>
      </c>
      <c r="K406">
        <f t="shared" si="37"/>
        <v>2041</v>
      </c>
      <c r="L406" t="s">
        <v>110</v>
      </c>
    </row>
    <row r="407" spans="1:12" x14ac:dyDescent="0.3">
      <c r="A407" s="53">
        <f>DATE(D407,4,14)</f>
        <v>51240</v>
      </c>
      <c r="B407" s="54">
        <f t="shared" si="38"/>
        <v>51240</v>
      </c>
      <c r="C407" t="s">
        <v>114</v>
      </c>
      <c r="D407">
        <f t="shared" si="36"/>
        <v>2040</v>
      </c>
      <c r="E407" t="s">
        <v>115</v>
      </c>
      <c r="H407" s="53">
        <f>H403+60</f>
        <v>51672</v>
      </c>
      <c r="I407" s="54">
        <f t="shared" si="39"/>
        <v>51672</v>
      </c>
      <c r="J407" t="s">
        <v>119</v>
      </c>
      <c r="K407">
        <f t="shared" si="37"/>
        <v>2041</v>
      </c>
      <c r="L407" t="s">
        <v>110</v>
      </c>
    </row>
    <row r="408" spans="1:12" x14ac:dyDescent="0.3">
      <c r="A408" s="53">
        <f>DATE(D408,4,21)</f>
        <v>51247</v>
      </c>
      <c r="B408" s="54">
        <f t="shared" si="38"/>
        <v>51247</v>
      </c>
      <c r="C408" t="s">
        <v>116</v>
      </c>
      <c r="D408">
        <f t="shared" si="36"/>
        <v>2040</v>
      </c>
      <c r="E408" t="s">
        <v>110</v>
      </c>
      <c r="H408" s="53">
        <f>DATE(K408,6,19)</f>
        <v>51671</v>
      </c>
      <c r="I408" s="54">
        <f t="shared" si="39"/>
        <v>51671</v>
      </c>
      <c r="J408" t="s">
        <v>114</v>
      </c>
      <c r="K408">
        <f t="shared" si="37"/>
        <v>2041</v>
      </c>
      <c r="L408" t="s">
        <v>115</v>
      </c>
    </row>
    <row r="409" spans="1:12" x14ac:dyDescent="0.3">
      <c r="A409" s="53">
        <f>DATE(D409,5,1)</f>
        <v>51257</v>
      </c>
      <c r="B409" s="54">
        <f t="shared" si="38"/>
        <v>51257</v>
      </c>
      <c r="C409" t="s">
        <v>117</v>
      </c>
      <c r="D409">
        <f t="shared" si="36"/>
        <v>2040</v>
      </c>
      <c r="E409" t="s">
        <v>110</v>
      </c>
      <c r="H409" s="53">
        <f>DATE(K409,7,9)</f>
        <v>51691</v>
      </c>
      <c r="I409" s="54">
        <f t="shared" si="39"/>
        <v>51691</v>
      </c>
      <c r="J409" t="s">
        <v>120</v>
      </c>
      <c r="K409">
        <f t="shared" si="37"/>
        <v>2041</v>
      </c>
      <c r="L409" t="s">
        <v>121</v>
      </c>
    </row>
    <row r="410" spans="1:12" x14ac:dyDescent="0.3">
      <c r="A410" s="53">
        <f>DATE(D410,5,1)+(14-WEEKDAY(DATE(D410,5,1),2))</f>
        <v>51269</v>
      </c>
      <c r="B410" s="54">
        <f t="shared" si="38"/>
        <v>51269</v>
      </c>
      <c r="C410" t="s">
        <v>118</v>
      </c>
      <c r="D410">
        <f t="shared" si="36"/>
        <v>2040</v>
      </c>
      <c r="E410" t="s">
        <v>110</v>
      </c>
      <c r="H410" s="53">
        <f>DATE(K410,8,1)+(14-WEEKDAY(DATE(K410,8,1),2))</f>
        <v>51724</v>
      </c>
      <c r="I410" s="54">
        <f t="shared" si="39"/>
        <v>51724</v>
      </c>
      <c r="J410" t="s">
        <v>123</v>
      </c>
      <c r="K410">
        <f t="shared" si="37"/>
        <v>2041</v>
      </c>
      <c r="L410" t="s">
        <v>110</v>
      </c>
    </row>
    <row r="411" spans="1:12" x14ac:dyDescent="0.3">
      <c r="A411" s="53">
        <f>A406+60</f>
        <v>51287</v>
      </c>
      <c r="B411" s="54">
        <f t="shared" si="38"/>
        <v>51287</v>
      </c>
      <c r="C411" t="s">
        <v>119</v>
      </c>
      <c r="D411">
        <f t="shared" si="36"/>
        <v>2040</v>
      </c>
      <c r="E411" t="s">
        <v>110</v>
      </c>
      <c r="H411" s="53">
        <f>DATE(K411,9,7)</f>
        <v>51751</v>
      </c>
      <c r="I411" s="54">
        <f t="shared" si="39"/>
        <v>51751</v>
      </c>
      <c r="J411" t="s">
        <v>124</v>
      </c>
      <c r="K411">
        <f t="shared" si="37"/>
        <v>2041</v>
      </c>
      <c r="L411" t="s">
        <v>110</v>
      </c>
    </row>
    <row r="412" spans="1:12" x14ac:dyDescent="0.3">
      <c r="A412" s="53">
        <f>DATE(D412,7,9)</f>
        <v>51326</v>
      </c>
      <c r="B412" s="54">
        <f t="shared" si="38"/>
        <v>51326</v>
      </c>
      <c r="C412" t="s">
        <v>120</v>
      </c>
      <c r="D412">
        <f t="shared" si="36"/>
        <v>2040</v>
      </c>
      <c r="E412" t="s">
        <v>121</v>
      </c>
      <c r="H412" s="53">
        <f>DATE(K412,10,12)</f>
        <v>51786</v>
      </c>
      <c r="I412" s="54">
        <f t="shared" si="39"/>
        <v>51786</v>
      </c>
      <c r="J412" t="s">
        <v>125</v>
      </c>
      <c r="K412">
        <f t="shared" si="37"/>
        <v>2041</v>
      </c>
      <c r="L412" t="s">
        <v>110</v>
      </c>
    </row>
    <row r="413" spans="1:12" x14ac:dyDescent="0.3">
      <c r="A413" s="53">
        <f>DATE(D413,8,8)</f>
        <v>51356</v>
      </c>
      <c r="B413" s="54">
        <f t="shared" si="38"/>
        <v>51356</v>
      </c>
      <c r="C413" t="s">
        <v>122</v>
      </c>
      <c r="D413">
        <f t="shared" si="36"/>
        <v>2040</v>
      </c>
      <c r="E413" t="s">
        <v>115</v>
      </c>
      <c r="H413" s="53">
        <f>DATE(K413,11,2)</f>
        <v>51807</v>
      </c>
      <c r="I413" s="54">
        <f t="shared" si="39"/>
        <v>51807</v>
      </c>
      <c r="J413" t="s">
        <v>126</v>
      </c>
      <c r="K413">
        <f t="shared" si="37"/>
        <v>2041</v>
      </c>
      <c r="L413" t="s">
        <v>110</v>
      </c>
    </row>
    <row r="414" spans="1:12" x14ac:dyDescent="0.3">
      <c r="A414" s="53">
        <f>DATE(D414,8,1)+(14-WEEKDAY(DATE(D414,8,1),2))</f>
        <v>51360</v>
      </c>
      <c r="B414" s="54">
        <f t="shared" si="38"/>
        <v>51360</v>
      </c>
      <c r="C414" t="s">
        <v>123</v>
      </c>
      <c r="D414">
        <f t="shared" si="36"/>
        <v>2040</v>
      </c>
      <c r="E414" t="s">
        <v>110</v>
      </c>
      <c r="H414" s="53">
        <f>DATE(K414,11,15)</f>
        <v>51820</v>
      </c>
      <c r="I414" s="54">
        <f t="shared" si="39"/>
        <v>51820</v>
      </c>
      <c r="J414" t="s">
        <v>127</v>
      </c>
      <c r="K414">
        <f t="shared" si="37"/>
        <v>2041</v>
      </c>
      <c r="L414" t="s">
        <v>110</v>
      </c>
    </row>
    <row r="415" spans="1:12" x14ac:dyDescent="0.3">
      <c r="A415" s="53">
        <f>DATE(D415,9,7)</f>
        <v>51386</v>
      </c>
      <c r="B415" s="54">
        <f t="shared" si="38"/>
        <v>51386</v>
      </c>
      <c r="C415" t="s">
        <v>124</v>
      </c>
      <c r="D415">
        <f t="shared" si="36"/>
        <v>2040</v>
      </c>
      <c r="E415" t="s">
        <v>110</v>
      </c>
      <c r="H415" s="53">
        <f>DATE(K415,11,20)</f>
        <v>51825</v>
      </c>
      <c r="I415" s="54">
        <f t="shared" si="39"/>
        <v>51825</v>
      </c>
      <c r="J415" t="s">
        <v>128</v>
      </c>
      <c r="K415">
        <f t="shared" si="37"/>
        <v>2041</v>
      </c>
      <c r="L415" t="s">
        <v>110</v>
      </c>
    </row>
    <row r="416" spans="1:12" x14ac:dyDescent="0.3">
      <c r="A416" s="53">
        <f>DATE(D416,10,12)</f>
        <v>51421</v>
      </c>
      <c r="B416" s="54">
        <f t="shared" si="38"/>
        <v>51421</v>
      </c>
      <c r="C416" t="s">
        <v>125</v>
      </c>
      <c r="D416">
        <f t="shared" si="36"/>
        <v>2040</v>
      </c>
      <c r="E416" t="s">
        <v>110</v>
      </c>
      <c r="H416" s="53">
        <f>DATE(K416,12,25)</f>
        <v>51860</v>
      </c>
      <c r="I416" s="54">
        <f t="shared" si="39"/>
        <v>51860</v>
      </c>
      <c r="J416" t="s">
        <v>129</v>
      </c>
      <c r="K416">
        <f t="shared" si="37"/>
        <v>2041</v>
      </c>
      <c r="L416" t="s">
        <v>110</v>
      </c>
    </row>
    <row r="417" spans="1:12" x14ac:dyDescent="0.3">
      <c r="A417" s="53">
        <f>DATE(D417,11,2)</f>
        <v>51442</v>
      </c>
      <c r="B417" s="54">
        <f t="shared" si="38"/>
        <v>51442</v>
      </c>
      <c r="C417" t="s">
        <v>126</v>
      </c>
      <c r="D417">
        <f t="shared" si="36"/>
        <v>2040</v>
      </c>
      <c r="E417" t="s">
        <v>110</v>
      </c>
      <c r="H417" s="53">
        <f>DATE(K417,1,1)</f>
        <v>51867</v>
      </c>
      <c r="I417" s="54">
        <f t="shared" si="39"/>
        <v>51867</v>
      </c>
      <c r="J417" t="s">
        <v>109</v>
      </c>
      <c r="K417">
        <f>K399+1</f>
        <v>2042</v>
      </c>
      <c r="L417" t="s">
        <v>110</v>
      </c>
    </row>
    <row r="418" spans="1:12" x14ac:dyDescent="0.3">
      <c r="A418" s="53">
        <f>DATE(D418,11,15)</f>
        <v>51455</v>
      </c>
      <c r="B418" s="54">
        <f t="shared" si="38"/>
        <v>51455</v>
      </c>
      <c r="C418" t="s">
        <v>127</v>
      </c>
      <c r="D418">
        <f t="shared" si="36"/>
        <v>2040</v>
      </c>
      <c r="E418" t="s">
        <v>110</v>
      </c>
      <c r="H418" s="53">
        <f>H421-48</f>
        <v>51914</v>
      </c>
      <c r="I418" s="54">
        <f t="shared" si="39"/>
        <v>51914</v>
      </c>
      <c r="J418" t="s">
        <v>111</v>
      </c>
      <c r="K418">
        <f t="shared" si="37"/>
        <v>2042</v>
      </c>
      <c r="L418" t="s">
        <v>110</v>
      </c>
    </row>
    <row r="419" spans="1:12" x14ac:dyDescent="0.3">
      <c r="A419" s="53">
        <f>DATE(D419,11,20)</f>
        <v>51460</v>
      </c>
      <c r="B419" s="54">
        <f t="shared" si="38"/>
        <v>51460</v>
      </c>
      <c r="C419" t="s">
        <v>128</v>
      </c>
      <c r="D419">
        <f t="shared" si="36"/>
        <v>2040</v>
      </c>
      <c r="E419" t="s">
        <v>110</v>
      </c>
      <c r="H419" s="53">
        <f>H421-47</f>
        <v>51915</v>
      </c>
      <c r="I419" s="54">
        <f t="shared" si="39"/>
        <v>51915</v>
      </c>
      <c r="J419" t="s">
        <v>111</v>
      </c>
      <c r="K419">
        <f t="shared" si="37"/>
        <v>2042</v>
      </c>
      <c r="L419" t="s">
        <v>110</v>
      </c>
    </row>
    <row r="420" spans="1:12" x14ac:dyDescent="0.3">
      <c r="A420" s="53">
        <f>DATE(D420,12,25)</f>
        <v>51495</v>
      </c>
      <c r="B420" s="54">
        <f t="shared" si="38"/>
        <v>51495</v>
      </c>
      <c r="C420" t="s">
        <v>129</v>
      </c>
      <c r="D420">
        <f t="shared" si="36"/>
        <v>2040</v>
      </c>
      <c r="E420" t="s">
        <v>110</v>
      </c>
      <c r="H420" s="53">
        <f>H421-2</f>
        <v>51960</v>
      </c>
      <c r="I420" s="54">
        <f t="shared" si="39"/>
        <v>51960</v>
      </c>
      <c r="J420" t="s">
        <v>112</v>
      </c>
      <c r="K420">
        <f t="shared" si="37"/>
        <v>2042</v>
      </c>
      <c r="L420" t="s">
        <v>110</v>
      </c>
    </row>
    <row r="421" spans="1:12" x14ac:dyDescent="0.3">
      <c r="A421" s="53">
        <f>DATE(D421,1,1)</f>
        <v>51502</v>
      </c>
      <c r="B421" s="54">
        <f t="shared" si="38"/>
        <v>51502</v>
      </c>
      <c r="C421" t="s">
        <v>109</v>
      </c>
      <c r="D421">
        <f>D402+1</f>
        <v>2041</v>
      </c>
      <c r="E421" t="s">
        <v>110</v>
      </c>
      <c r="H421" s="53">
        <f>FLOOR(DAY(MINUTE(K421/38)/2+56)&amp;"/5"&amp;"/"&amp;K421,7)-34</f>
        <v>51962</v>
      </c>
      <c r="I421" s="54">
        <f t="shared" si="39"/>
        <v>51962</v>
      </c>
      <c r="J421" t="s">
        <v>113</v>
      </c>
      <c r="K421">
        <f t="shared" si="37"/>
        <v>2042</v>
      </c>
      <c r="L421" t="s">
        <v>110</v>
      </c>
    </row>
    <row r="422" spans="1:12" x14ac:dyDescent="0.3">
      <c r="A422" s="53">
        <f>A425-48</f>
        <v>51564</v>
      </c>
      <c r="B422" s="54">
        <f t="shared" si="38"/>
        <v>51564</v>
      </c>
      <c r="C422" t="s">
        <v>111</v>
      </c>
      <c r="D422">
        <f t="shared" si="36"/>
        <v>2041</v>
      </c>
      <c r="E422" t="s">
        <v>110</v>
      </c>
      <c r="H422" s="53">
        <f>DATE(K422,4,21)</f>
        <v>51977</v>
      </c>
      <c r="I422" s="54">
        <f t="shared" si="39"/>
        <v>51977</v>
      </c>
      <c r="J422" t="s">
        <v>116</v>
      </c>
      <c r="K422">
        <f t="shared" si="37"/>
        <v>2042</v>
      </c>
      <c r="L422" t="s">
        <v>110</v>
      </c>
    </row>
    <row r="423" spans="1:12" x14ac:dyDescent="0.3">
      <c r="A423" s="53">
        <f>A425-47</f>
        <v>51565</v>
      </c>
      <c r="B423" s="54">
        <f t="shared" si="38"/>
        <v>51565</v>
      </c>
      <c r="C423" t="s">
        <v>111</v>
      </c>
      <c r="D423">
        <f t="shared" si="36"/>
        <v>2041</v>
      </c>
      <c r="E423" t="s">
        <v>110</v>
      </c>
      <c r="H423" s="53">
        <f>DATE(K423,5,1)</f>
        <v>51987</v>
      </c>
      <c r="I423" s="54">
        <f t="shared" si="39"/>
        <v>51987</v>
      </c>
      <c r="J423" t="s">
        <v>117</v>
      </c>
      <c r="K423">
        <f t="shared" si="37"/>
        <v>2042</v>
      </c>
      <c r="L423" t="s">
        <v>110</v>
      </c>
    </row>
    <row r="424" spans="1:12" x14ac:dyDescent="0.3">
      <c r="A424" s="53">
        <f>A425-2</f>
        <v>51610</v>
      </c>
      <c r="B424" s="54">
        <f t="shared" si="38"/>
        <v>51610</v>
      </c>
      <c r="C424" t="s">
        <v>112</v>
      </c>
      <c r="D424">
        <f t="shared" si="36"/>
        <v>2041</v>
      </c>
      <c r="E424" t="s">
        <v>110</v>
      </c>
      <c r="H424" s="53">
        <f>DATE(K424,5,1)+(14-WEEKDAY(DATE(K424,5,1),2))</f>
        <v>51997</v>
      </c>
      <c r="I424" s="54">
        <f t="shared" si="39"/>
        <v>51997</v>
      </c>
      <c r="J424" t="s">
        <v>118</v>
      </c>
      <c r="K424">
        <f t="shared" si="37"/>
        <v>2042</v>
      </c>
      <c r="L424" t="s">
        <v>110</v>
      </c>
    </row>
    <row r="425" spans="1:12" x14ac:dyDescent="0.3">
      <c r="A425" s="53">
        <f>FLOOR(DAY(MINUTE(D425/38)/2+56)&amp;"/5"&amp;"/"&amp;D425,7)-34</f>
        <v>51612</v>
      </c>
      <c r="B425" s="54">
        <f t="shared" si="38"/>
        <v>51612</v>
      </c>
      <c r="C425" t="s">
        <v>113</v>
      </c>
      <c r="D425">
        <f t="shared" si="36"/>
        <v>2041</v>
      </c>
      <c r="E425" t="s">
        <v>110</v>
      </c>
      <c r="H425" s="53">
        <f>H421+60</f>
        <v>52022</v>
      </c>
      <c r="I425" s="54">
        <f t="shared" si="39"/>
        <v>52022</v>
      </c>
      <c r="J425" t="s">
        <v>119</v>
      </c>
      <c r="K425">
        <f t="shared" si="37"/>
        <v>2042</v>
      </c>
      <c r="L425" t="s">
        <v>110</v>
      </c>
    </row>
    <row r="426" spans="1:12" x14ac:dyDescent="0.3">
      <c r="A426" s="53">
        <f>DATE(D426,4,14)</f>
        <v>51605</v>
      </c>
      <c r="B426" s="54">
        <f t="shared" si="38"/>
        <v>51605</v>
      </c>
      <c r="C426" t="s">
        <v>114</v>
      </c>
      <c r="D426">
        <f t="shared" si="36"/>
        <v>2041</v>
      </c>
      <c r="E426" t="s">
        <v>115</v>
      </c>
      <c r="H426" s="53">
        <f>DATE(K426,6,19)</f>
        <v>52036</v>
      </c>
      <c r="I426" s="54">
        <f t="shared" si="39"/>
        <v>52036</v>
      </c>
      <c r="J426" t="s">
        <v>114</v>
      </c>
      <c r="K426">
        <f t="shared" si="37"/>
        <v>2042</v>
      </c>
      <c r="L426" t="s">
        <v>115</v>
      </c>
    </row>
    <row r="427" spans="1:12" x14ac:dyDescent="0.3">
      <c r="A427" s="53">
        <f>DATE(D427,4,21)</f>
        <v>51612</v>
      </c>
      <c r="B427" s="54">
        <f t="shared" si="38"/>
        <v>51612</v>
      </c>
      <c r="C427" t="s">
        <v>116</v>
      </c>
      <c r="D427">
        <f t="shared" si="36"/>
        <v>2041</v>
      </c>
      <c r="E427" t="s">
        <v>110</v>
      </c>
      <c r="H427" s="53">
        <f>DATE(K427,7,9)</f>
        <v>52056</v>
      </c>
      <c r="I427" s="54">
        <f t="shared" si="39"/>
        <v>52056</v>
      </c>
      <c r="J427" t="s">
        <v>120</v>
      </c>
      <c r="K427">
        <f t="shared" si="37"/>
        <v>2042</v>
      </c>
      <c r="L427" t="s">
        <v>121</v>
      </c>
    </row>
    <row r="428" spans="1:12" x14ac:dyDescent="0.3">
      <c r="A428" s="53">
        <f>DATE(D428,5,1)</f>
        <v>51622</v>
      </c>
      <c r="B428" s="54">
        <f t="shared" si="38"/>
        <v>51622</v>
      </c>
      <c r="C428" t="s">
        <v>117</v>
      </c>
      <c r="D428">
        <f t="shared" si="36"/>
        <v>2041</v>
      </c>
      <c r="E428" t="s">
        <v>110</v>
      </c>
      <c r="H428" s="53">
        <f>DATE(K428,8,1)+(14-WEEKDAY(DATE(K428,8,1),2))</f>
        <v>52088</v>
      </c>
      <c r="I428" s="54">
        <f t="shared" si="39"/>
        <v>52088</v>
      </c>
      <c r="J428" t="s">
        <v>123</v>
      </c>
      <c r="K428">
        <f t="shared" si="37"/>
        <v>2042</v>
      </c>
      <c r="L428" t="s">
        <v>110</v>
      </c>
    </row>
    <row r="429" spans="1:12" x14ac:dyDescent="0.3">
      <c r="A429" s="53">
        <f>DATE(D429,5,1)+(14-WEEKDAY(DATE(D429,5,1),2))</f>
        <v>51633</v>
      </c>
      <c r="B429" s="54">
        <f t="shared" si="38"/>
        <v>51633</v>
      </c>
      <c r="C429" t="s">
        <v>118</v>
      </c>
      <c r="D429">
        <f t="shared" ref="D429:D439" si="40">D410+1</f>
        <v>2041</v>
      </c>
      <c r="E429" t="s">
        <v>110</v>
      </c>
      <c r="H429" s="53">
        <f>DATE(K429,9,7)</f>
        <v>52116</v>
      </c>
      <c r="I429" s="54">
        <f t="shared" si="39"/>
        <v>52116</v>
      </c>
      <c r="J429" t="s">
        <v>124</v>
      </c>
      <c r="K429">
        <f t="shared" si="37"/>
        <v>2042</v>
      </c>
      <c r="L429" t="s">
        <v>110</v>
      </c>
    </row>
    <row r="430" spans="1:12" x14ac:dyDescent="0.3">
      <c r="A430" s="53">
        <f>A425+60</f>
        <v>51672</v>
      </c>
      <c r="B430" s="54">
        <f t="shared" si="38"/>
        <v>51672</v>
      </c>
      <c r="C430" t="s">
        <v>119</v>
      </c>
      <c r="D430">
        <f t="shared" si="40"/>
        <v>2041</v>
      </c>
      <c r="E430" t="s">
        <v>110</v>
      </c>
      <c r="H430" s="53">
        <f>DATE(K430,10,12)</f>
        <v>52151</v>
      </c>
      <c r="I430" s="54">
        <f t="shared" si="39"/>
        <v>52151</v>
      </c>
      <c r="J430" t="s">
        <v>125</v>
      </c>
      <c r="K430">
        <f t="shared" si="37"/>
        <v>2042</v>
      </c>
      <c r="L430" t="s">
        <v>110</v>
      </c>
    </row>
    <row r="431" spans="1:12" x14ac:dyDescent="0.3">
      <c r="A431" s="53">
        <f>DATE(D431,7,9)</f>
        <v>51691</v>
      </c>
      <c r="B431" s="54">
        <f t="shared" si="38"/>
        <v>51691</v>
      </c>
      <c r="C431" t="s">
        <v>120</v>
      </c>
      <c r="D431">
        <f t="shared" si="40"/>
        <v>2041</v>
      </c>
      <c r="E431" t="s">
        <v>121</v>
      </c>
      <c r="H431" s="53">
        <f>DATE(K431,11,2)</f>
        <v>52172</v>
      </c>
      <c r="I431" s="54">
        <f t="shared" si="39"/>
        <v>52172</v>
      </c>
      <c r="J431" t="s">
        <v>126</v>
      </c>
      <c r="K431">
        <f t="shared" si="37"/>
        <v>2042</v>
      </c>
      <c r="L431" t="s">
        <v>110</v>
      </c>
    </row>
    <row r="432" spans="1:12" x14ac:dyDescent="0.3">
      <c r="A432" s="53">
        <f>DATE(D432,8,8)</f>
        <v>51721</v>
      </c>
      <c r="B432" s="54">
        <f t="shared" si="38"/>
        <v>51721</v>
      </c>
      <c r="C432" t="s">
        <v>122</v>
      </c>
      <c r="D432">
        <f t="shared" si="40"/>
        <v>2041</v>
      </c>
      <c r="E432" t="s">
        <v>115</v>
      </c>
      <c r="H432" s="53">
        <f>DATE(K432,11,15)</f>
        <v>52185</v>
      </c>
      <c r="I432" s="54">
        <f t="shared" si="39"/>
        <v>52185</v>
      </c>
      <c r="J432" t="s">
        <v>127</v>
      </c>
      <c r="K432">
        <f t="shared" si="37"/>
        <v>2042</v>
      </c>
      <c r="L432" t="s">
        <v>110</v>
      </c>
    </row>
    <row r="433" spans="1:12" x14ac:dyDescent="0.3">
      <c r="A433" s="53">
        <f>DATE(D433,8,1)+(14-WEEKDAY(DATE(D433,8,1),2))</f>
        <v>51724</v>
      </c>
      <c r="B433" s="54">
        <f t="shared" si="38"/>
        <v>51724</v>
      </c>
      <c r="C433" t="s">
        <v>123</v>
      </c>
      <c r="D433">
        <f t="shared" si="40"/>
        <v>2041</v>
      </c>
      <c r="E433" t="s">
        <v>110</v>
      </c>
      <c r="H433" s="53">
        <f>DATE(K433,11,20)</f>
        <v>52190</v>
      </c>
      <c r="I433" s="54">
        <f t="shared" si="39"/>
        <v>52190</v>
      </c>
      <c r="J433" t="s">
        <v>128</v>
      </c>
      <c r="K433">
        <f t="shared" si="37"/>
        <v>2042</v>
      </c>
      <c r="L433" t="s">
        <v>110</v>
      </c>
    </row>
    <row r="434" spans="1:12" x14ac:dyDescent="0.3">
      <c r="A434" s="53">
        <f>DATE(D434,9,7)</f>
        <v>51751</v>
      </c>
      <c r="B434" s="54">
        <f t="shared" si="38"/>
        <v>51751</v>
      </c>
      <c r="C434" t="s">
        <v>124</v>
      </c>
      <c r="D434">
        <f t="shared" si="40"/>
        <v>2041</v>
      </c>
      <c r="E434" t="s">
        <v>110</v>
      </c>
      <c r="H434" s="53">
        <f>DATE(K434,12,25)</f>
        <v>52225</v>
      </c>
      <c r="I434" s="54">
        <f t="shared" si="39"/>
        <v>52225</v>
      </c>
      <c r="J434" t="s">
        <v>129</v>
      </c>
      <c r="K434">
        <f t="shared" si="37"/>
        <v>2042</v>
      </c>
      <c r="L434" t="s">
        <v>110</v>
      </c>
    </row>
    <row r="435" spans="1:12" x14ac:dyDescent="0.3">
      <c r="A435" s="53">
        <f>DATE(D435,10,12)</f>
        <v>51786</v>
      </c>
      <c r="B435" s="54">
        <f t="shared" si="38"/>
        <v>51786</v>
      </c>
      <c r="C435" t="s">
        <v>125</v>
      </c>
      <c r="D435">
        <f t="shared" si="40"/>
        <v>2041</v>
      </c>
      <c r="E435" t="s">
        <v>110</v>
      </c>
      <c r="H435" s="53">
        <f>DATE(K435,1,1)</f>
        <v>52232</v>
      </c>
      <c r="I435" s="54">
        <f t="shared" si="39"/>
        <v>52232</v>
      </c>
      <c r="J435" t="s">
        <v>109</v>
      </c>
      <c r="K435">
        <f>K417+1</f>
        <v>2043</v>
      </c>
      <c r="L435" t="s">
        <v>110</v>
      </c>
    </row>
    <row r="436" spans="1:12" x14ac:dyDescent="0.3">
      <c r="A436" s="53">
        <f>DATE(D436,11,2)</f>
        <v>51807</v>
      </c>
      <c r="B436" s="54">
        <f t="shared" si="38"/>
        <v>51807</v>
      </c>
      <c r="C436" t="s">
        <v>126</v>
      </c>
      <c r="D436">
        <f t="shared" si="40"/>
        <v>2041</v>
      </c>
      <c r="E436" t="s">
        <v>110</v>
      </c>
      <c r="H436" s="53">
        <f>H439-48</f>
        <v>52271</v>
      </c>
      <c r="I436" s="54">
        <f t="shared" si="39"/>
        <v>52271</v>
      </c>
      <c r="J436" t="s">
        <v>111</v>
      </c>
      <c r="K436">
        <f t="shared" si="37"/>
        <v>2043</v>
      </c>
      <c r="L436" t="s">
        <v>110</v>
      </c>
    </row>
    <row r="437" spans="1:12" x14ac:dyDescent="0.3">
      <c r="A437" s="53">
        <f>DATE(D437,11,15)</f>
        <v>51820</v>
      </c>
      <c r="B437" s="54">
        <f t="shared" si="38"/>
        <v>51820</v>
      </c>
      <c r="C437" t="s">
        <v>127</v>
      </c>
      <c r="D437">
        <f t="shared" si="40"/>
        <v>2041</v>
      </c>
      <c r="E437" t="s">
        <v>110</v>
      </c>
      <c r="H437" s="53">
        <f>H439-47</f>
        <v>52272</v>
      </c>
      <c r="I437" s="54">
        <f t="shared" si="39"/>
        <v>52272</v>
      </c>
      <c r="J437" t="s">
        <v>111</v>
      </c>
      <c r="K437">
        <f t="shared" si="37"/>
        <v>2043</v>
      </c>
      <c r="L437" t="s">
        <v>110</v>
      </c>
    </row>
    <row r="438" spans="1:12" x14ac:dyDescent="0.3">
      <c r="A438" s="53">
        <f>DATE(D438,11,20)</f>
        <v>51825</v>
      </c>
      <c r="B438" s="54">
        <f t="shared" si="38"/>
        <v>51825</v>
      </c>
      <c r="C438" t="s">
        <v>128</v>
      </c>
      <c r="D438">
        <f t="shared" si="40"/>
        <v>2041</v>
      </c>
      <c r="E438" t="s">
        <v>110</v>
      </c>
      <c r="H438" s="53">
        <f>H439-2</f>
        <v>52317</v>
      </c>
      <c r="I438" s="54">
        <f t="shared" si="39"/>
        <v>52317</v>
      </c>
      <c r="J438" t="s">
        <v>112</v>
      </c>
      <c r="K438">
        <f t="shared" si="37"/>
        <v>2043</v>
      </c>
      <c r="L438" t="s">
        <v>110</v>
      </c>
    </row>
    <row r="439" spans="1:12" x14ac:dyDescent="0.3">
      <c r="A439" s="53">
        <f>DATE(D439,12,25)</f>
        <v>51860</v>
      </c>
      <c r="B439" s="54">
        <f t="shared" si="38"/>
        <v>51860</v>
      </c>
      <c r="C439" t="s">
        <v>129</v>
      </c>
      <c r="D439">
        <f t="shared" si="40"/>
        <v>2041</v>
      </c>
      <c r="E439" t="s">
        <v>110</v>
      </c>
      <c r="H439" s="53">
        <f>FLOOR(DAY(MINUTE(K439/38)/2+56)&amp;"/5"&amp;"/"&amp;K439,7)-34</f>
        <v>52319</v>
      </c>
      <c r="I439" s="54">
        <f t="shared" si="39"/>
        <v>52319</v>
      </c>
      <c r="J439" t="s">
        <v>113</v>
      </c>
      <c r="K439">
        <f t="shared" si="37"/>
        <v>2043</v>
      </c>
      <c r="L439" t="s">
        <v>110</v>
      </c>
    </row>
    <row r="440" spans="1:12" x14ac:dyDescent="0.3">
      <c r="A440" s="53">
        <f>DATE(D440,1,1)</f>
        <v>51867</v>
      </c>
      <c r="B440" s="54">
        <f t="shared" si="38"/>
        <v>51867</v>
      </c>
      <c r="C440" t="s">
        <v>109</v>
      </c>
      <c r="D440">
        <f>D421+1</f>
        <v>2042</v>
      </c>
      <c r="E440" t="s">
        <v>110</v>
      </c>
      <c r="H440" s="53">
        <f>DATE(K440,4,21)</f>
        <v>52342</v>
      </c>
      <c r="I440" s="54">
        <f t="shared" si="39"/>
        <v>52342</v>
      </c>
      <c r="J440" t="s">
        <v>116</v>
      </c>
      <c r="K440">
        <f t="shared" si="37"/>
        <v>2043</v>
      </c>
      <c r="L440" t="s">
        <v>110</v>
      </c>
    </row>
    <row r="441" spans="1:12" x14ac:dyDescent="0.3">
      <c r="A441" s="53">
        <f>A444-48</f>
        <v>51914</v>
      </c>
      <c r="B441" s="54">
        <f t="shared" si="38"/>
        <v>51914</v>
      </c>
      <c r="C441" t="s">
        <v>111</v>
      </c>
      <c r="D441">
        <f t="shared" ref="D441:D458" si="41">D422+1</f>
        <v>2042</v>
      </c>
      <c r="E441" t="s">
        <v>110</v>
      </c>
      <c r="H441" s="53">
        <f>DATE(K441,5,1)</f>
        <v>52352</v>
      </c>
      <c r="I441" s="54">
        <f t="shared" si="39"/>
        <v>52352</v>
      </c>
      <c r="J441" t="s">
        <v>117</v>
      </c>
      <c r="K441">
        <f t="shared" si="37"/>
        <v>2043</v>
      </c>
      <c r="L441" t="s">
        <v>110</v>
      </c>
    </row>
    <row r="442" spans="1:12" x14ac:dyDescent="0.3">
      <c r="A442" s="53">
        <f>A444-47</f>
        <v>51915</v>
      </c>
      <c r="B442" s="54">
        <f t="shared" si="38"/>
        <v>51915</v>
      </c>
      <c r="C442" t="s">
        <v>111</v>
      </c>
      <c r="D442">
        <f t="shared" si="41"/>
        <v>2042</v>
      </c>
      <c r="E442" t="s">
        <v>110</v>
      </c>
      <c r="H442" s="53">
        <f>DATE(K442,5,1)+(14-WEEKDAY(DATE(K442,5,1),2))</f>
        <v>52361</v>
      </c>
      <c r="I442" s="54">
        <f t="shared" si="39"/>
        <v>52361</v>
      </c>
      <c r="J442" t="s">
        <v>118</v>
      </c>
      <c r="K442">
        <f t="shared" si="37"/>
        <v>2043</v>
      </c>
      <c r="L442" t="s">
        <v>110</v>
      </c>
    </row>
    <row r="443" spans="1:12" x14ac:dyDescent="0.3">
      <c r="A443" s="53">
        <f>A444-2</f>
        <v>51960</v>
      </c>
      <c r="B443" s="54">
        <f t="shared" si="38"/>
        <v>51960</v>
      </c>
      <c r="C443" t="s">
        <v>112</v>
      </c>
      <c r="D443">
        <f t="shared" si="41"/>
        <v>2042</v>
      </c>
      <c r="E443" t="s">
        <v>110</v>
      </c>
      <c r="H443" s="53">
        <f>H439+60</f>
        <v>52379</v>
      </c>
      <c r="I443" s="54">
        <f t="shared" si="39"/>
        <v>52379</v>
      </c>
      <c r="J443" t="s">
        <v>119</v>
      </c>
      <c r="K443">
        <f t="shared" si="37"/>
        <v>2043</v>
      </c>
      <c r="L443" t="s">
        <v>110</v>
      </c>
    </row>
    <row r="444" spans="1:12" x14ac:dyDescent="0.3">
      <c r="A444" s="53">
        <f>FLOOR(DAY(MINUTE(D444/38)/2+56)&amp;"/5"&amp;"/"&amp;D444,7)-34</f>
        <v>51962</v>
      </c>
      <c r="B444" s="54">
        <f t="shared" si="38"/>
        <v>51962</v>
      </c>
      <c r="C444" t="s">
        <v>113</v>
      </c>
      <c r="D444">
        <f t="shared" si="41"/>
        <v>2042</v>
      </c>
      <c r="E444" t="s">
        <v>110</v>
      </c>
      <c r="H444" s="53">
        <f>DATE(K444,6,19)</f>
        <v>52401</v>
      </c>
      <c r="I444" s="54">
        <f t="shared" si="39"/>
        <v>52401</v>
      </c>
      <c r="J444" t="s">
        <v>114</v>
      </c>
      <c r="K444">
        <f t="shared" si="37"/>
        <v>2043</v>
      </c>
      <c r="L444" t="s">
        <v>115</v>
      </c>
    </row>
    <row r="445" spans="1:12" x14ac:dyDescent="0.3">
      <c r="A445" s="53">
        <f>DATE(D445,4,14)</f>
        <v>51970</v>
      </c>
      <c r="B445" s="54">
        <f t="shared" si="38"/>
        <v>51970</v>
      </c>
      <c r="C445" t="s">
        <v>114</v>
      </c>
      <c r="D445">
        <f t="shared" si="41"/>
        <v>2042</v>
      </c>
      <c r="E445" t="s">
        <v>115</v>
      </c>
      <c r="H445" s="53">
        <f>DATE(K445,7,9)</f>
        <v>52421</v>
      </c>
      <c r="I445" s="54">
        <f t="shared" si="39"/>
        <v>52421</v>
      </c>
      <c r="J445" t="s">
        <v>120</v>
      </c>
      <c r="K445">
        <f t="shared" si="37"/>
        <v>2043</v>
      </c>
      <c r="L445" t="s">
        <v>121</v>
      </c>
    </row>
    <row r="446" spans="1:12" x14ac:dyDescent="0.3">
      <c r="A446" s="53">
        <f>DATE(D446,4,21)</f>
        <v>51977</v>
      </c>
      <c r="B446" s="54">
        <f t="shared" si="38"/>
        <v>51977</v>
      </c>
      <c r="C446" t="s">
        <v>116</v>
      </c>
      <c r="D446">
        <f t="shared" si="41"/>
        <v>2042</v>
      </c>
      <c r="E446" t="s">
        <v>110</v>
      </c>
      <c r="H446" s="53">
        <f>DATE(K446,8,1)+(14-WEEKDAY(DATE(K446,8,1),2))</f>
        <v>52452</v>
      </c>
      <c r="I446" s="54">
        <f t="shared" si="39"/>
        <v>52452</v>
      </c>
      <c r="J446" t="s">
        <v>123</v>
      </c>
      <c r="K446">
        <f t="shared" ref="K446:K452" si="42">K428+1</f>
        <v>2043</v>
      </c>
      <c r="L446" t="s">
        <v>110</v>
      </c>
    </row>
    <row r="447" spans="1:12" x14ac:dyDescent="0.3">
      <c r="A447" s="53">
        <f>DATE(D447,5,1)</f>
        <v>51987</v>
      </c>
      <c r="B447" s="54">
        <f t="shared" si="38"/>
        <v>51987</v>
      </c>
      <c r="C447" t="s">
        <v>117</v>
      </c>
      <c r="D447">
        <f t="shared" si="41"/>
        <v>2042</v>
      </c>
      <c r="E447" t="s">
        <v>110</v>
      </c>
      <c r="H447" s="53">
        <f>DATE(K447,9,7)</f>
        <v>52481</v>
      </c>
      <c r="I447" s="54">
        <f t="shared" si="39"/>
        <v>52481</v>
      </c>
      <c r="J447" t="s">
        <v>124</v>
      </c>
      <c r="K447">
        <f t="shared" si="42"/>
        <v>2043</v>
      </c>
      <c r="L447" t="s">
        <v>110</v>
      </c>
    </row>
    <row r="448" spans="1:12" x14ac:dyDescent="0.3">
      <c r="A448" s="53">
        <f>DATE(D448,5,1)+(14-WEEKDAY(DATE(D448,5,1),2))</f>
        <v>51997</v>
      </c>
      <c r="B448" s="54">
        <f t="shared" si="38"/>
        <v>51997</v>
      </c>
      <c r="C448" t="s">
        <v>118</v>
      </c>
      <c r="D448">
        <f t="shared" si="41"/>
        <v>2042</v>
      </c>
      <c r="E448" t="s">
        <v>110</v>
      </c>
      <c r="H448" s="53">
        <f>DATE(K448,10,12)</f>
        <v>52516</v>
      </c>
      <c r="I448" s="54">
        <f t="shared" si="39"/>
        <v>52516</v>
      </c>
      <c r="J448" t="s">
        <v>125</v>
      </c>
      <c r="K448">
        <f t="shared" si="42"/>
        <v>2043</v>
      </c>
      <c r="L448" t="s">
        <v>110</v>
      </c>
    </row>
    <row r="449" spans="1:12" x14ac:dyDescent="0.3">
      <c r="A449" s="53">
        <f>A444+60</f>
        <v>52022</v>
      </c>
      <c r="B449" s="54">
        <f t="shared" si="38"/>
        <v>52022</v>
      </c>
      <c r="C449" t="s">
        <v>119</v>
      </c>
      <c r="D449">
        <f t="shared" si="41"/>
        <v>2042</v>
      </c>
      <c r="E449" t="s">
        <v>110</v>
      </c>
      <c r="H449" s="53">
        <f>DATE(K449,11,2)</f>
        <v>52537</v>
      </c>
      <c r="I449" s="54">
        <f t="shared" si="39"/>
        <v>52537</v>
      </c>
      <c r="J449" t="s">
        <v>126</v>
      </c>
      <c r="K449">
        <f t="shared" si="42"/>
        <v>2043</v>
      </c>
      <c r="L449" t="s">
        <v>110</v>
      </c>
    </row>
    <row r="450" spans="1:12" x14ac:dyDescent="0.3">
      <c r="A450" s="53">
        <f>DATE(D450,7,9)</f>
        <v>52056</v>
      </c>
      <c r="B450" s="54">
        <f t="shared" si="38"/>
        <v>52056</v>
      </c>
      <c r="C450" t="s">
        <v>120</v>
      </c>
      <c r="D450">
        <f t="shared" si="41"/>
        <v>2042</v>
      </c>
      <c r="E450" t="s">
        <v>121</v>
      </c>
      <c r="H450" s="53">
        <f>DATE(K450,11,15)</f>
        <v>52550</v>
      </c>
      <c r="I450" s="54">
        <f t="shared" si="39"/>
        <v>52550</v>
      </c>
      <c r="J450" t="s">
        <v>127</v>
      </c>
      <c r="K450">
        <f t="shared" si="42"/>
        <v>2043</v>
      </c>
      <c r="L450" t="s">
        <v>110</v>
      </c>
    </row>
    <row r="451" spans="1:12" x14ac:dyDescent="0.3">
      <c r="A451" s="53">
        <f>DATE(D451,8,8)</f>
        <v>52086</v>
      </c>
      <c r="B451" s="54">
        <f t="shared" ref="B451:B514" si="43">A451</f>
        <v>52086</v>
      </c>
      <c r="C451" t="s">
        <v>122</v>
      </c>
      <c r="D451">
        <f t="shared" si="41"/>
        <v>2042</v>
      </c>
      <c r="E451" t="s">
        <v>115</v>
      </c>
      <c r="H451" s="53">
        <f>DATE(K451,11,20)</f>
        <v>52555</v>
      </c>
      <c r="I451" s="54">
        <f t="shared" si="39"/>
        <v>52555</v>
      </c>
      <c r="J451" t="s">
        <v>128</v>
      </c>
      <c r="K451">
        <f t="shared" si="42"/>
        <v>2043</v>
      </c>
      <c r="L451" t="s">
        <v>110</v>
      </c>
    </row>
    <row r="452" spans="1:12" x14ac:dyDescent="0.3">
      <c r="A452" s="53">
        <f>DATE(D452,8,1)+(14-WEEKDAY(DATE(D452,8,1),2))</f>
        <v>52088</v>
      </c>
      <c r="B452" s="54">
        <f t="shared" si="43"/>
        <v>52088</v>
      </c>
      <c r="C452" t="s">
        <v>123</v>
      </c>
      <c r="D452">
        <f t="shared" si="41"/>
        <v>2042</v>
      </c>
      <c r="E452" t="s">
        <v>110</v>
      </c>
      <c r="H452" s="53">
        <f>DATE(K452,12,25)</f>
        <v>52590</v>
      </c>
      <c r="I452" s="54">
        <f t="shared" si="39"/>
        <v>52590</v>
      </c>
      <c r="J452" t="s">
        <v>129</v>
      </c>
      <c r="K452">
        <f t="shared" si="42"/>
        <v>2043</v>
      </c>
      <c r="L452" t="s">
        <v>110</v>
      </c>
    </row>
    <row r="453" spans="1:12" x14ac:dyDescent="0.3">
      <c r="A453" s="53">
        <f>DATE(D453,9,7)</f>
        <v>52116</v>
      </c>
      <c r="B453" s="54">
        <f t="shared" si="43"/>
        <v>52116</v>
      </c>
      <c r="C453" t="s">
        <v>124</v>
      </c>
      <c r="D453">
        <f t="shared" si="41"/>
        <v>2042</v>
      </c>
      <c r="E453" t="s">
        <v>110</v>
      </c>
      <c r="H453" s="53">
        <f>DATE(K453,1,1)</f>
        <v>52597</v>
      </c>
      <c r="I453" s="54">
        <f t="shared" si="39"/>
        <v>52597</v>
      </c>
      <c r="J453" t="s">
        <v>109</v>
      </c>
      <c r="K453">
        <f>K435+1</f>
        <v>2044</v>
      </c>
      <c r="L453" t="s">
        <v>110</v>
      </c>
    </row>
    <row r="454" spans="1:12" x14ac:dyDescent="0.3">
      <c r="A454" s="53">
        <f>DATE(D454,10,12)</f>
        <v>52151</v>
      </c>
      <c r="B454" s="54">
        <f t="shared" si="43"/>
        <v>52151</v>
      </c>
      <c r="C454" t="s">
        <v>125</v>
      </c>
      <c r="D454">
        <f t="shared" si="41"/>
        <v>2042</v>
      </c>
      <c r="E454" t="s">
        <v>110</v>
      </c>
      <c r="H454" s="53">
        <f>H457-48</f>
        <v>52656</v>
      </c>
      <c r="I454" s="54">
        <f t="shared" si="39"/>
        <v>52656</v>
      </c>
      <c r="J454" t="s">
        <v>111</v>
      </c>
      <c r="K454">
        <f t="shared" ref="K454:K470" si="44">K436+1</f>
        <v>2044</v>
      </c>
      <c r="L454" t="s">
        <v>110</v>
      </c>
    </row>
    <row r="455" spans="1:12" x14ac:dyDescent="0.3">
      <c r="A455" s="53">
        <f>DATE(D455,11,2)</f>
        <v>52172</v>
      </c>
      <c r="B455" s="54">
        <f t="shared" si="43"/>
        <v>52172</v>
      </c>
      <c r="C455" t="s">
        <v>126</v>
      </c>
      <c r="D455">
        <f t="shared" si="41"/>
        <v>2042</v>
      </c>
      <c r="E455" t="s">
        <v>110</v>
      </c>
      <c r="H455" s="53">
        <f>H457-47</f>
        <v>52657</v>
      </c>
      <c r="I455" s="54">
        <f t="shared" si="39"/>
        <v>52657</v>
      </c>
      <c r="J455" t="s">
        <v>111</v>
      </c>
      <c r="K455">
        <f t="shared" si="44"/>
        <v>2044</v>
      </c>
      <c r="L455" t="s">
        <v>110</v>
      </c>
    </row>
    <row r="456" spans="1:12" x14ac:dyDescent="0.3">
      <c r="A456" s="53">
        <f>DATE(D456,11,15)</f>
        <v>52185</v>
      </c>
      <c r="B456" s="54">
        <f t="shared" si="43"/>
        <v>52185</v>
      </c>
      <c r="C456" t="s">
        <v>127</v>
      </c>
      <c r="D456">
        <f t="shared" si="41"/>
        <v>2042</v>
      </c>
      <c r="E456" t="s">
        <v>110</v>
      </c>
      <c r="H456" s="53">
        <f>H457-2</f>
        <v>52702</v>
      </c>
      <c r="I456" s="54">
        <f t="shared" ref="I456:I519" si="45">H456</f>
        <v>52702</v>
      </c>
      <c r="J456" t="s">
        <v>112</v>
      </c>
      <c r="K456">
        <f t="shared" si="44"/>
        <v>2044</v>
      </c>
      <c r="L456" t="s">
        <v>110</v>
      </c>
    </row>
    <row r="457" spans="1:12" x14ac:dyDescent="0.3">
      <c r="A457" s="53">
        <f>DATE(D457,11,20)</f>
        <v>52190</v>
      </c>
      <c r="B457" s="54">
        <f t="shared" si="43"/>
        <v>52190</v>
      </c>
      <c r="C457" t="s">
        <v>128</v>
      </c>
      <c r="D457">
        <f t="shared" si="41"/>
        <v>2042</v>
      </c>
      <c r="E457" t="s">
        <v>110</v>
      </c>
      <c r="H457" s="53">
        <f>FLOOR(DAY(MINUTE(K457/38)/2+56)&amp;"/5"&amp;"/"&amp;K457,7)-34</f>
        <v>52704</v>
      </c>
      <c r="I457" s="54">
        <f t="shared" si="45"/>
        <v>52704</v>
      </c>
      <c r="J457" t="s">
        <v>113</v>
      </c>
      <c r="K457">
        <f t="shared" si="44"/>
        <v>2044</v>
      </c>
      <c r="L457" t="s">
        <v>110</v>
      </c>
    </row>
    <row r="458" spans="1:12" x14ac:dyDescent="0.3">
      <c r="A458" s="53">
        <f>DATE(D458,12,25)</f>
        <v>52225</v>
      </c>
      <c r="B458" s="54">
        <f t="shared" si="43"/>
        <v>52225</v>
      </c>
      <c r="C458" t="s">
        <v>129</v>
      </c>
      <c r="D458">
        <f t="shared" si="41"/>
        <v>2042</v>
      </c>
      <c r="E458" t="s">
        <v>110</v>
      </c>
      <c r="H458" s="53">
        <f>DATE(K458,4,21)</f>
        <v>52708</v>
      </c>
      <c r="I458" s="54">
        <f t="shared" si="45"/>
        <v>52708</v>
      </c>
      <c r="J458" t="s">
        <v>116</v>
      </c>
      <c r="K458">
        <f t="shared" si="44"/>
        <v>2044</v>
      </c>
      <c r="L458" t="s">
        <v>110</v>
      </c>
    </row>
    <row r="459" spans="1:12" x14ac:dyDescent="0.3">
      <c r="A459" s="53">
        <f>DATE(D459,1,1)</f>
        <v>52232</v>
      </c>
      <c r="B459" s="54">
        <f t="shared" si="43"/>
        <v>52232</v>
      </c>
      <c r="C459" t="s">
        <v>109</v>
      </c>
      <c r="D459">
        <f>D440+1</f>
        <v>2043</v>
      </c>
      <c r="E459" t="s">
        <v>110</v>
      </c>
      <c r="H459" s="53">
        <f>DATE(K459,5,1)</f>
        <v>52718</v>
      </c>
      <c r="I459" s="54">
        <f t="shared" si="45"/>
        <v>52718</v>
      </c>
      <c r="J459" t="s">
        <v>117</v>
      </c>
      <c r="K459">
        <f t="shared" si="44"/>
        <v>2044</v>
      </c>
      <c r="L459" t="s">
        <v>110</v>
      </c>
    </row>
    <row r="460" spans="1:12" x14ac:dyDescent="0.3">
      <c r="A460" s="53">
        <f>A463-48</f>
        <v>52271</v>
      </c>
      <c r="B460" s="54">
        <f t="shared" si="43"/>
        <v>52271</v>
      </c>
      <c r="C460" t="s">
        <v>111</v>
      </c>
      <c r="D460">
        <f t="shared" ref="D460:D477" si="46">D441+1</f>
        <v>2043</v>
      </c>
      <c r="E460" t="s">
        <v>110</v>
      </c>
      <c r="H460" s="53">
        <f>DATE(K460,5,1)+(14-WEEKDAY(DATE(K460,5,1),2))</f>
        <v>52725</v>
      </c>
      <c r="I460" s="54">
        <f t="shared" si="45"/>
        <v>52725</v>
      </c>
      <c r="J460" t="s">
        <v>118</v>
      </c>
      <c r="K460">
        <f t="shared" si="44"/>
        <v>2044</v>
      </c>
      <c r="L460" t="s">
        <v>110</v>
      </c>
    </row>
    <row r="461" spans="1:12" x14ac:dyDescent="0.3">
      <c r="A461" s="53">
        <f>A463-47</f>
        <v>52272</v>
      </c>
      <c r="B461" s="54">
        <f t="shared" si="43"/>
        <v>52272</v>
      </c>
      <c r="C461" t="s">
        <v>111</v>
      </c>
      <c r="D461">
        <f t="shared" si="46"/>
        <v>2043</v>
      </c>
      <c r="E461" t="s">
        <v>110</v>
      </c>
      <c r="H461" s="53">
        <f>H457+60</f>
        <v>52764</v>
      </c>
      <c r="I461" s="54">
        <f t="shared" si="45"/>
        <v>52764</v>
      </c>
      <c r="J461" t="s">
        <v>119</v>
      </c>
      <c r="K461">
        <f t="shared" si="44"/>
        <v>2044</v>
      </c>
      <c r="L461" t="s">
        <v>110</v>
      </c>
    </row>
    <row r="462" spans="1:12" x14ac:dyDescent="0.3">
      <c r="A462" s="53">
        <f>A463-2</f>
        <v>52317</v>
      </c>
      <c r="B462" s="54">
        <f t="shared" si="43"/>
        <v>52317</v>
      </c>
      <c r="C462" t="s">
        <v>112</v>
      </c>
      <c r="D462">
        <f t="shared" si="46"/>
        <v>2043</v>
      </c>
      <c r="E462" t="s">
        <v>110</v>
      </c>
      <c r="H462" s="53">
        <f>DATE(K462,6,19)</f>
        <v>52767</v>
      </c>
      <c r="I462" s="54">
        <f t="shared" si="45"/>
        <v>52767</v>
      </c>
      <c r="J462" t="s">
        <v>114</v>
      </c>
      <c r="K462">
        <f t="shared" si="44"/>
        <v>2044</v>
      </c>
      <c r="L462" t="s">
        <v>115</v>
      </c>
    </row>
    <row r="463" spans="1:12" x14ac:dyDescent="0.3">
      <c r="A463" s="53">
        <f>FLOOR(DAY(MINUTE(D463/38)/2+56)&amp;"/5"&amp;"/"&amp;D463,7)-34</f>
        <v>52319</v>
      </c>
      <c r="B463" s="54">
        <f t="shared" si="43"/>
        <v>52319</v>
      </c>
      <c r="C463" t="s">
        <v>113</v>
      </c>
      <c r="D463">
        <f t="shared" si="46"/>
        <v>2043</v>
      </c>
      <c r="E463" t="s">
        <v>110</v>
      </c>
      <c r="H463" s="53">
        <f>DATE(K463,7,9)</f>
        <v>52787</v>
      </c>
      <c r="I463" s="54">
        <f t="shared" si="45"/>
        <v>52787</v>
      </c>
      <c r="J463" t="s">
        <v>120</v>
      </c>
      <c r="K463">
        <f t="shared" si="44"/>
        <v>2044</v>
      </c>
      <c r="L463" t="s">
        <v>121</v>
      </c>
    </row>
    <row r="464" spans="1:12" x14ac:dyDescent="0.3">
      <c r="A464" s="53">
        <f>DATE(D464,4,14)</f>
        <v>52335</v>
      </c>
      <c r="B464" s="54">
        <f t="shared" si="43"/>
        <v>52335</v>
      </c>
      <c r="C464" t="s">
        <v>114</v>
      </c>
      <c r="D464">
        <f t="shared" si="46"/>
        <v>2043</v>
      </c>
      <c r="E464" t="s">
        <v>115</v>
      </c>
      <c r="H464" s="53">
        <f>DATE(K464,8,1)+(14-WEEKDAY(DATE(K464,8,1),2))</f>
        <v>52823</v>
      </c>
      <c r="I464" s="54">
        <f t="shared" si="45"/>
        <v>52823</v>
      </c>
      <c r="J464" t="s">
        <v>123</v>
      </c>
      <c r="K464">
        <f t="shared" si="44"/>
        <v>2044</v>
      </c>
      <c r="L464" t="s">
        <v>110</v>
      </c>
    </row>
    <row r="465" spans="1:12" x14ac:dyDescent="0.3">
      <c r="A465" s="53">
        <f>DATE(D465,4,21)</f>
        <v>52342</v>
      </c>
      <c r="B465" s="54">
        <f t="shared" si="43"/>
        <v>52342</v>
      </c>
      <c r="C465" t="s">
        <v>116</v>
      </c>
      <c r="D465">
        <f t="shared" si="46"/>
        <v>2043</v>
      </c>
      <c r="E465" t="s">
        <v>110</v>
      </c>
      <c r="H465" s="53">
        <f>DATE(K465,9,7)</f>
        <v>52847</v>
      </c>
      <c r="I465" s="54">
        <f t="shared" si="45"/>
        <v>52847</v>
      </c>
      <c r="J465" t="s">
        <v>124</v>
      </c>
      <c r="K465">
        <f t="shared" si="44"/>
        <v>2044</v>
      </c>
      <c r="L465" t="s">
        <v>110</v>
      </c>
    </row>
    <row r="466" spans="1:12" x14ac:dyDescent="0.3">
      <c r="A466" s="53">
        <f>DATE(D466,5,1)</f>
        <v>52352</v>
      </c>
      <c r="B466" s="54">
        <f t="shared" si="43"/>
        <v>52352</v>
      </c>
      <c r="C466" t="s">
        <v>117</v>
      </c>
      <c r="D466">
        <f t="shared" si="46"/>
        <v>2043</v>
      </c>
      <c r="E466" t="s">
        <v>110</v>
      </c>
      <c r="H466" s="53">
        <f>DATE(K466,10,12)</f>
        <v>52882</v>
      </c>
      <c r="I466" s="54">
        <f t="shared" si="45"/>
        <v>52882</v>
      </c>
      <c r="J466" t="s">
        <v>125</v>
      </c>
      <c r="K466">
        <f t="shared" si="44"/>
        <v>2044</v>
      </c>
      <c r="L466" t="s">
        <v>110</v>
      </c>
    </row>
    <row r="467" spans="1:12" x14ac:dyDescent="0.3">
      <c r="A467" s="53">
        <f>DATE(D467,5,1)+(14-WEEKDAY(DATE(D467,5,1),2))</f>
        <v>52361</v>
      </c>
      <c r="B467" s="54">
        <f t="shared" si="43"/>
        <v>52361</v>
      </c>
      <c r="C467" t="s">
        <v>118</v>
      </c>
      <c r="D467">
        <f t="shared" si="46"/>
        <v>2043</v>
      </c>
      <c r="E467" t="s">
        <v>110</v>
      </c>
      <c r="H467" s="53">
        <f>DATE(K467,11,2)</f>
        <v>52903</v>
      </c>
      <c r="I467" s="54">
        <f t="shared" si="45"/>
        <v>52903</v>
      </c>
      <c r="J467" t="s">
        <v>126</v>
      </c>
      <c r="K467">
        <f t="shared" si="44"/>
        <v>2044</v>
      </c>
      <c r="L467" t="s">
        <v>110</v>
      </c>
    </row>
    <row r="468" spans="1:12" x14ac:dyDescent="0.3">
      <c r="A468" s="53">
        <f>A463+60</f>
        <v>52379</v>
      </c>
      <c r="B468" s="54">
        <f t="shared" si="43"/>
        <v>52379</v>
      </c>
      <c r="C468" t="s">
        <v>119</v>
      </c>
      <c r="D468">
        <f t="shared" si="46"/>
        <v>2043</v>
      </c>
      <c r="E468" t="s">
        <v>110</v>
      </c>
      <c r="H468" s="53">
        <f>DATE(K468,11,15)</f>
        <v>52916</v>
      </c>
      <c r="I468" s="54">
        <f t="shared" si="45"/>
        <v>52916</v>
      </c>
      <c r="J468" t="s">
        <v>127</v>
      </c>
      <c r="K468">
        <f t="shared" si="44"/>
        <v>2044</v>
      </c>
      <c r="L468" t="s">
        <v>110</v>
      </c>
    </row>
    <row r="469" spans="1:12" x14ac:dyDescent="0.3">
      <c r="A469" s="53">
        <f>DATE(D469,7,9)</f>
        <v>52421</v>
      </c>
      <c r="B469" s="54">
        <f t="shared" si="43"/>
        <v>52421</v>
      </c>
      <c r="C469" t="s">
        <v>120</v>
      </c>
      <c r="D469">
        <f t="shared" si="46"/>
        <v>2043</v>
      </c>
      <c r="E469" t="s">
        <v>121</v>
      </c>
      <c r="H469" s="53">
        <f>DATE(K469,11,20)</f>
        <v>52921</v>
      </c>
      <c r="I469" s="54">
        <f t="shared" si="45"/>
        <v>52921</v>
      </c>
      <c r="J469" t="s">
        <v>128</v>
      </c>
      <c r="K469">
        <f t="shared" si="44"/>
        <v>2044</v>
      </c>
      <c r="L469" t="s">
        <v>110</v>
      </c>
    </row>
    <row r="470" spans="1:12" x14ac:dyDescent="0.3">
      <c r="A470" s="53">
        <f>DATE(D470,8,8)</f>
        <v>52451</v>
      </c>
      <c r="B470" s="54">
        <f t="shared" si="43"/>
        <v>52451</v>
      </c>
      <c r="C470" t="s">
        <v>122</v>
      </c>
      <c r="D470">
        <f t="shared" si="46"/>
        <v>2043</v>
      </c>
      <c r="E470" t="s">
        <v>115</v>
      </c>
      <c r="H470" s="53">
        <f>DATE(K470,12,25)</f>
        <v>52956</v>
      </c>
      <c r="I470" s="54">
        <f t="shared" si="45"/>
        <v>52956</v>
      </c>
      <c r="J470" t="s">
        <v>129</v>
      </c>
      <c r="K470">
        <f t="shared" si="44"/>
        <v>2044</v>
      </c>
      <c r="L470" t="s">
        <v>110</v>
      </c>
    </row>
    <row r="471" spans="1:12" x14ac:dyDescent="0.3">
      <c r="A471" s="53">
        <f>DATE(D471,8,1)+(14-WEEKDAY(DATE(D471,8,1),2))</f>
        <v>52452</v>
      </c>
      <c r="B471" s="54">
        <f t="shared" si="43"/>
        <v>52452</v>
      </c>
      <c r="C471" t="s">
        <v>123</v>
      </c>
      <c r="D471">
        <f t="shared" si="46"/>
        <v>2043</v>
      </c>
      <c r="E471" t="s">
        <v>110</v>
      </c>
      <c r="H471" s="53">
        <f>DATE(K471,1,1)</f>
        <v>52963</v>
      </c>
      <c r="I471" s="54">
        <f t="shared" si="45"/>
        <v>52963</v>
      </c>
      <c r="J471" t="s">
        <v>109</v>
      </c>
      <c r="K471">
        <f>K453+1</f>
        <v>2045</v>
      </c>
      <c r="L471" t="s">
        <v>110</v>
      </c>
    </row>
    <row r="472" spans="1:12" x14ac:dyDescent="0.3">
      <c r="A472" s="53">
        <f>DATE(D472,9,7)</f>
        <v>52481</v>
      </c>
      <c r="B472" s="54">
        <f t="shared" si="43"/>
        <v>52481</v>
      </c>
      <c r="C472" t="s">
        <v>124</v>
      </c>
      <c r="D472">
        <f t="shared" si="46"/>
        <v>2043</v>
      </c>
      <c r="E472" t="s">
        <v>110</v>
      </c>
      <c r="H472" s="53">
        <f>H475-48</f>
        <v>53013</v>
      </c>
      <c r="I472" s="54">
        <f t="shared" si="45"/>
        <v>53013</v>
      </c>
      <c r="J472" t="s">
        <v>111</v>
      </c>
      <c r="K472">
        <f t="shared" ref="K472:K535" si="47">K454+1</f>
        <v>2045</v>
      </c>
      <c r="L472" t="s">
        <v>110</v>
      </c>
    </row>
    <row r="473" spans="1:12" x14ac:dyDescent="0.3">
      <c r="A473" s="53">
        <f>DATE(D473,10,12)</f>
        <v>52516</v>
      </c>
      <c r="B473" s="54">
        <f t="shared" si="43"/>
        <v>52516</v>
      </c>
      <c r="C473" t="s">
        <v>125</v>
      </c>
      <c r="D473">
        <f t="shared" si="46"/>
        <v>2043</v>
      </c>
      <c r="E473" t="s">
        <v>110</v>
      </c>
      <c r="H473" s="53">
        <f>H475-47</f>
        <v>53014</v>
      </c>
      <c r="I473" s="54">
        <f t="shared" si="45"/>
        <v>53014</v>
      </c>
      <c r="J473" t="s">
        <v>111</v>
      </c>
      <c r="K473">
        <f t="shared" si="47"/>
        <v>2045</v>
      </c>
      <c r="L473" t="s">
        <v>110</v>
      </c>
    </row>
    <row r="474" spans="1:12" x14ac:dyDescent="0.3">
      <c r="A474" s="53">
        <f>DATE(D474,11,2)</f>
        <v>52537</v>
      </c>
      <c r="B474" s="54">
        <f t="shared" si="43"/>
        <v>52537</v>
      </c>
      <c r="C474" t="s">
        <v>126</v>
      </c>
      <c r="D474">
        <f t="shared" si="46"/>
        <v>2043</v>
      </c>
      <c r="E474" t="s">
        <v>110</v>
      </c>
      <c r="H474" s="53">
        <f>H475-2</f>
        <v>53059</v>
      </c>
      <c r="I474" s="54">
        <f t="shared" si="45"/>
        <v>53059</v>
      </c>
      <c r="J474" t="s">
        <v>112</v>
      </c>
      <c r="K474">
        <f t="shared" si="47"/>
        <v>2045</v>
      </c>
      <c r="L474" t="s">
        <v>110</v>
      </c>
    </row>
    <row r="475" spans="1:12" x14ac:dyDescent="0.3">
      <c r="A475" s="53">
        <f>DATE(D475,11,15)</f>
        <v>52550</v>
      </c>
      <c r="B475" s="54">
        <f t="shared" si="43"/>
        <v>52550</v>
      </c>
      <c r="C475" t="s">
        <v>127</v>
      </c>
      <c r="D475">
        <f t="shared" si="46"/>
        <v>2043</v>
      </c>
      <c r="E475" t="s">
        <v>110</v>
      </c>
      <c r="H475" s="53">
        <f>FLOOR(DAY(MINUTE(K475/38)/2+56)&amp;"/5"&amp;"/"&amp;K475,7)-34</f>
        <v>53061</v>
      </c>
      <c r="I475" s="54">
        <f t="shared" si="45"/>
        <v>53061</v>
      </c>
      <c r="J475" t="s">
        <v>113</v>
      </c>
      <c r="K475">
        <f t="shared" si="47"/>
        <v>2045</v>
      </c>
      <c r="L475" t="s">
        <v>110</v>
      </c>
    </row>
    <row r="476" spans="1:12" x14ac:dyDescent="0.3">
      <c r="A476" s="53">
        <f>DATE(D476,11,20)</f>
        <v>52555</v>
      </c>
      <c r="B476" s="54">
        <f t="shared" si="43"/>
        <v>52555</v>
      </c>
      <c r="C476" t="s">
        <v>128</v>
      </c>
      <c r="D476">
        <f t="shared" si="46"/>
        <v>2043</v>
      </c>
      <c r="E476" t="s">
        <v>110</v>
      </c>
      <c r="H476" s="53">
        <f>DATE(K476,4,21)</f>
        <v>53073</v>
      </c>
      <c r="I476" s="54">
        <f t="shared" si="45"/>
        <v>53073</v>
      </c>
      <c r="J476" t="s">
        <v>116</v>
      </c>
      <c r="K476">
        <f t="shared" si="47"/>
        <v>2045</v>
      </c>
      <c r="L476" t="s">
        <v>110</v>
      </c>
    </row>
    <row r="477" spans="1:12" x14ac:dyDescent="0.3">
      <c r="A477" s="53">
        <f>DATE(D477,12,25)</f>
        <v>52590</v>
      </c>
      <c r="B477" s="54">
        <f t="shared" si="43"/>
        <v>52590</v>
      </c>
      <c r="C477" t="s">
        <v>129</v>
      </c>
      <c r="D477">
        <f t="shared" si="46"/>
        <v>2043</v>
      </c>
      <c r="E477" t="s">
        <v>110</v>
      </c>
      <c r="H477" s="53">
        <f>DATE(K477,5,1)</f>
        <v>53083</v>
      </c>
      <c r="I477" s="54">
        <f t="shared" si="45"/>
        <v>53083</v>
      </c>
      <c r="J477" t="s">
        <v>117</v>
      </c>
      <c r="K477">
        <f t="shared" si="47"/>
        <v>2045</v>
      </c>
      <c r="L477" t="s">
        <v>110</v>
      </c>
    </row>
    <row r="478" spans="1:12" x14ac:dyDescent="0.3">
      <c r="A478" s="53">
        <f>DATE(D478,1,1)</f>
        <v>52597</v>
      </c>
      <c r="B478" s="54">
        <f t="shared" si="43"/>
        <v>52597</v>
      </c>
      <c r="C478" t="s">
        <v>109</v>
      </c>
      <c r="D478">
        <f>D459+1</f>
        <v>2044</v>
      </c>
      <c r="E478" t="s">
        <v>110</v>
      </c>
      <c r="H478" s="53">
        <f>DATE(K478,5,1)+(14-WEEKDAY(DATE(K478,5,1),2))</f>
        <v>53096</v>
      </c>
      <c r="I478" s="54">
        <f t="shared" si="45"/>
        <v>53096</v>
      </c>
      <c r="J478" t="s">
        <v>118</v>
      </c>
      <c r="K478">
        <f t="shared" si="47"/>
        <v>2045</v>
      </c>
      <c r="L478" t="s">
        <v>110</v>
      </c>
    </row>
    <row r="479" spans="1:12" x14ac:dyDescent="0.3">
      <c r="A479" s="53">
        <f>A482-48</f>
        <v>52656</v>
      </c>
      <c r="B479" s="54">
        <f t="shared" si="43"/>
        <v>52656</v>
      </c>
      <c r="C479" t="s">
        <v>111</v>
      </c>
      <c r="D479">
        <f t="shared" ref="D479:D542" si="48">D460+1</f>
        <v>2044</v>
      </c>
      <c r="E479" t="s">
        <v>110</v>
      </c>
      <c r="H479" s="53">
        <f>H475+60</f>
        <v>53121</v>
      </c>
      <c r="I479" s="54">
        <f t="shared" si="45"/>
        <v>53121</v>
      </c>
      <c r="J479" t="s">
        <v>119</v>
      </c>
      <c r="K479">
        <f t="shared" si="47"/>
        <v>2045</v>
      </c>
      <c r="L479" t="s">
        <v>110</v>
      </c>
    </row>
    <row r="480" spans="1:12" x14ac:dyDescent="0.3">
      <c r="A480" s="53">
        <f>A482-47</f>
        <v>52657</v>
      </c>
      <c r="B480" s="54">
        <f t="shared" si="43"/>
        <v>52657</v>
      </c>
      <c r="C480" t="s">
        <v>111</v>
      </c>
      <c r="D480">
        <f t="shared" si="48"/>
        <v>2044</v>
      </c>
      <c r="E480" t="s">
        <v>110</v>
      </c>
      <c r="H480" s="53">
        <f>DATE(K480,6,19)</f>
        <v>53132</v>
      </c>
      <c r="I480" s="54">
        <f t="shared" si="45"/>
        <v>53132</v>
      </c>
      <c r="J480" t="s">
        <v>114</v>
      </c>
      <c r="K480">
        <f t="shared" si="47"/>
        <v>2045</v>
      </c>
      <c r="L480" t="s">
        <v>115</v>
      </c>
    </row>
    <row r="481" spans="1:12" x14ac:dyDescent="0.3">
      <c r="A481" s="53">
        <f>A482-2</f>
        <v>52702</v>
      </c>
      <c r="B481" s="54">
        <f t="shared" si="43"/>
        <v>52702</v>
      </c>
      <c r="C481" t="s">
        <v>112</v>
      </c>
      <c r="D481">
        <f t="shared" si="48"/>
        <v>2044</v>
      </c>
      <c r="E481" t="s">
        <v>110</v>
      </c>
      <c r="H481" s="53">
        <f>DATE(K481,7,9)</f>
        <v>53152</v>
      </c>
      <c r="I481" s="54">
        <f t="shared" si="45"/>
        <v>53152</v>
      </c>
      <c r="J481" t="s">
        <v>120</v>
      </c>
      <c r="K481">
        <f t="shared" si="47"/>
        <v>2045</v>
      </c>
      <c r="L481" t="s">
        <v>121</v>
      </c>
    </row>
    <row r="482" spans="1:12" x14ac:dyDescent="0.3">
      <c r="A482" s="53">
        <f>FLOOR(DAY(MINUTE(D482/38)/2+56)&amp;"/5"&amp;"/"&amp;D482,7)-34</f>
        <v>52704</v>
      </c>
      <c r="B482" s="54">
        <f t="shared" si="43"/>
        <v>52704</v>
      </c>
      <c r="C482" t="s">
        <v>113</v>
      </c>
      <c r="D482">
        <f t="shared" si="48"/>
        <v>2044</v>
      </c>
      <c r="E482" t="s">
        <v>110</v>
      </c>
      <c r="H482" s="53">
        <f>DATE(K482,8,1)+(14-WEEKDAY(DATE(K482,8,1),2))</f>
        <v>53187</v>
      </c>
      <c r="I482" s="54">
        <f t="shared" si="45"/>
        <v>53187</v>
      </c>
      <c r="J482" t="s">
        <v>123</v>
      </c>
      <c r="K482">
        <f t="shared" si="47"/>
        <v>2045</v>
      </c>
      <c r="L482" t="s">
        <v>110</v>
      </c>
    </row>
    <row r="483" spans="1:12" x14ac:dyDescent="0.3">
      <c r="A483" s="53">
        <f>DATE(D483,4,14)</f>
        <v>52701</v>
      </c>
      <c r="B483" s="54">
        <f t="shared" si="43"/>
        <v>52701</v>
      </c>
      <c r="C483" t="s">
        <v>114</v>
      </c>
      <c r="D483">
        <f t="shared" si="48"/>
        <v>2044</v>
      </c>
      <c r="E483" t="s">
        <v>115</v>
      </c>
      <c r="H483" s="53">
        <f>DATE(K483,9,7)</f>
        <v>53212</v>
      </c>
      <c r="I483" s="54">
        <f t="shared" si="45"/>
        <v>53212</v>
      </c>
      <c r="J483" t="s">
        <v>124</v>
      </c>
      <c r="K483">
        <f t="shared" si="47"/>
        <v>2045</v>
      </c>
      <c r="L483" t="s">
        <v>110</v>
      </c>
    </row>
    <row r="484" spans="1:12" x14ac:dyDescent="0.3">
      <c r="A484" s="53">
        <f>DATE(D484,4,21)</f>
        <v>52708</v>
      </c>
      <c r="B484" s="54">
        <f t="shared" si="43"/>
        <v>52708</v>
      </c>
      <c r="C484" t="s">
        <v>116</v>
      </c>
      <c r="D484">
        <f t="shared" si="48"/>
        <v>2044</v>
      </c>
      <c r="E484" t="s">
        <v>110</v>
      </c>
      <c r="H484" s="53">
        <f>DATE(K484,10,12)</f>
        <v>53247</v>
      </c>
      <c r="I484" s="54">
        <f t="shared" si="45"/>
        <v>53247</v>
      </c>
      <c r="J484" t="s">
        <v>125</v>
      </c>
      <c r="K484">
        <f t="shared" si="47"/>
        <v>2045</v>
      </c>
      <c r="L484" t="s">
        <v>110</v>
      </c>
    </row>
    <row r="485" spans="1:12" x14ac:dyDescent="0.3">
      <c r="A485" s="53">
        <f>DATE(D485,5,1)</f>
        <v>52718</v>
      </c>
      <c r="B485" s="54">
        <f t="shared" si="43"/>
        <v>52718</v>
      </c>
      <c r="C485" t="s">
        <v>117</v>
      </c>
      <c r="D485">
        <f t="shared" si="48"/>
        <v>2044</v>
      </c>
      <c r="E485" t="s">
        <v>110</v>
      </c>
      <c r="H485" s="53">
        <f>DATE(K485,11,2)</f>
        <v>53268</v>
      </c>
      <c r="I485" s="54">
        <f t="shared" si="45"/>
        <v>53268</v>
      </c>
      <c r="J485" t="s">
        <v>126</v>
      </c>
      <c r="K485">
        <f t="shared" si="47"/>
        <v>2045</v>
      </c>
      <c r="L485" t="s">
        <v>110</v>
      </c>
    </row>
    <row r="486" spans="1:12" x14ac:dyDescent="0.3">
      <c r="A486" s="53">
        <f>DATE(D486,5,1)+(14-WEEKDAY(DATE(D486,5,1),2))</f>
        <v>52725</v>
      </c>
      <c r="B486" s="54">
        <f t="shared" si="43"/>
        <v>52725</v>
      </c>
      <c r="C486" t="s">
        <v>118</v>
      </c>
      <c r="D486">
        <f t="shared" si="48"/>
        <v>2044</v>
      </c>
      <c r="E486" t="s">
        <v>110</v>
      </c>
      <c r="H486" s="53">
        <f>DATE(K486,11,15)</f>
        <v>53281</v>
      </c>
      <c r="I486" s="54">
        <f t="shared" si="45"/>
        <v>53281</v>
      </c>
      <c r="J486" t="s">
        <v>127</v>
      </c>
      <c r="K486">
        <f t="shared" si="47"/>
        <v>2045</v>
      </c>
      <c r="L486" t="s">
        <v>110</v>
      </c>
    </row>
    <row r="487" spans="1:12" x14ac:dyDescent="0.3">
      <c r="A487" s="53">
        <f>A482+60</f>
        <v>52764</v>
      </c>
      <c r="B487" s="54">
        <f t="shared" si="43"/>
        <v>52764</v>
      </c>
      <c r="C487" t="s">
        <v>119</v>
      </c>
      <c r="D487">
        <f t="shared" si="48"/>
        <v>2044</v>
      </c>
      <c r="E487" t="s">
        <v>110</v>
      </c>
      <c r="H487" s="53">
        <f>DATE(K487,11,20)</f>
        <v>53286</v>
      </c>
      <c r="I487" s="54">
        <f t="shared" si="45"/>
        <v>53286</v>
      </c>
      <c r="J487" t="s">
        <v>128</v>
      </c>
      <c r="K487">
        <f t="shared" si="47"/>
        <v>2045</v>
      </c>
      <c r="L487" t="s">
        <v>110</v>
      </c>
    </row>
    <row r="488" spans="1:12" x14ac:dyDescent="0.3">
      <c r="A488" s="53">
        <f>DATE(D488,7,9)</f>
        <v>52787</v>
      </c>
      <c r="B488" s="54">
        <f t="shared" si="43"/>
        <v>52787</v>
      </c>
      <c r="C488" t="s">
        <v>120</v>
      </c>
      <c r="D488">
        <f t="shared" si="48"/>
        <v>2044</v>
      </c>
      <c r="E488" t="s">
        <v>121</v>
      </c>
      <c r="H488" s="53">
        <f>DATE(K488,12,25)</f>
        <v>53321</v>
      </c>
      <c r="I488" s="54">
        <f t="shared" si="45"/>
        <v>53321</v>
      </c>
      <c r="J488" t="s">
        <v>129</v>
      </c>
      <c r="K488">
        <f t="shared" si="47"/>
        <v>2045</v>
      </c>
      <c r="L488" t="s">
        <v>110</v>
      </c>
    </row>
    <row r="489" spans="1:12" x14ac:dyDescent="0.3">
      <c r="A489" s="53">
        <f>DATE(D489,8,8)</f>
        <v>52817</v>
      </c>
      <c r="B489" s="54">
        <f t="shared" si="43"/>
        <v>52817</v>
      </c>
      <c r="C489" t="s">
        <v>122</v>
      </c>
      <c r="D489">
        <f t="shared" si="48"/>
        <v>2044</v>
      </c>
      <c r="E489" t="s">
        <v>115</v>
      </c>
      <c r="H489" s="53">
        <f>DATE(K489,1,1)</f>
        <v>53328</v>
      </c>
      <c r="I489" s="54">
        <f t="shared" si="45"/>
        <v>53328</v>
      </c>
      <c r="J489" t="s">
        <v>109</v>
      </c>
      <c r="K489">
        <f>K471+1</f>
        <v>2046</v>
      </c>
      <c r="L489" t="s">
        <v>110</v>
      </c>
    </row>
    <row r="490" spans="1:12" x14ac:dyDescent="0.3">
      <c r="A490" s="53">
        <f>DATE(D490,8,1)+(14-WEEKDAY(DATE(D490,8,1),2))</f>
        <v>52823</v>
      </c>
      <c r="B490" s="54">
        <f t="shared" si="43"/>
        <v>52823</v>
      </c>
      <c r="C490" t="s">
        <v>123</v>
      </c>
      <c r="D490">
        <f t="shared" si="48"/>
        <v>2044</v>
      </c>
      <c r="E490" t="s">
        <v>110</v>
      </c>
      <c r="H490" s="53">
        <f>H493-48</f>
        <v>53363</v>
      </c>
      <c r="I490" s="54">
        <f t="shared" si="45"/>
        <v>53363</v>
      </c>
      <c r="J490" t="s">
        <v>111</v>
      </c>
      <c r="K490">
        <f t="shared" si="47"/>
        <v>2046</v>
      </c>
      <c r="L490" t="s">
        <v>110</v>
      </c>
    </row>
    <row r="491" spans="1:12" x14ac:dyDescent="0.3">
      <c r="A491" s="53">
        <f>DATE(D491,9,7)</f>
        <v>52847</v>
      </c>
      <c r="B491" s="54">
        <f t="shared" si="43"/>
        <v>52847</v>
      </c>
      <c r="C491" t="s">
        <v>124</v>
      </c>
      <c r="D491">
        <f t="shared" si="48"/>
        <v>2044</v>
      </c>
      <c r="E491" t="s">
        <v>110</v>
      </c>
      <c r="H491" s="53">
        <f>H493-47</f>
        <v>53364</v>
      </c>
      <c r="I491" s="54">
        <f t="shared" si="45"/>
        <v>53364</v>
      </c>
      <c r="J491" t="s">
        <v>111</v>
      </c>
      <c r="K491">
        <f t="shared" si="47"/>
        <v>2046</v>
      </c>
      <c r="L491" t="s">
        <v>110</v>
      </c>
    </row>
    <row r="492" spans="1:12" x14ac:dyDescent="0.3">
      <c r="A492" s="53">
        <f>DATE(D492,10,12)</f>
        <v>52882</v>
      </c>
      <c r="B492" s="54">
        <f t="shared" si="43"/>
        <v>52882</v>
      </c>
      <c r="C492" t="s">
        <v>125</v>
      </c>
      <c r="D492">
        <f t="shared" si="48"/>
        <v>2044</v>
      </c>
      <c r="E492" t="s">
        <v>110</v>
      </c>
      <c r="H492" s="53">
        <f>H493-2</f>
        <v>53409</v>
      </c>
      <c r="I492" s="54">
        <f t="shared" si="45"/>
        <v>53409</v>
      </c>
      <c r="J492" t="s">
        <v>112</v>
      </c>
      <c r="K492">
        <f t="shared" si="47"/>
        <v>2046</v>
      </c>
      <c r="L492" t="s">
        <v>110</v>
      </c>
    </row>
    <row r="493" spans="1:12" x14ac:dyDescent="0.3">
      <c r="A493" s="53">
        <f>DATE(D493,11,2)</f>
        <v>52903</v>
      </c>
      <c r="B493" s="54">
        <f t="shared" si="43"/>
        <v>52903</v>
      </c>
      <c r="C493" t="s">
        <v>126</v>
      </c>
      <c r="D493">
        <f t="shared" si="48"/>
        <v>2044</v>
      </c>
      <c r="E493" t="s">
        <v>110</v>
      </c>
      <c r="H493" s="53">
        <f>FLOOR(DAY(MINUTE(K493/38)/2+56)&amp;"/5"&amp;"/"&amp;K493,7)-34</f>
        <v>53411</v>
      </c>
      <c r="I493" s="54">
        <f t="shared" si="45"/>
        <v>53411</v>
      </c>
      <c r="J493" t="s">
        <v>113</v>
      </c>
      <c r="K493">
        <f t="shared" si="47"/>
        <v>2046</v>
      </c>
      <c r="L493" t="s">
        <v>110</v>
      </c>
    </row>
    <row r="494" spans="1:12" x14ac:dyDescent="0.3">
      <c r="A494" s="53">
        <f>DATE(D494,11,15)</f>
        <v>52916</v>
      </c>
      <c r="B494" s="54">
        <f t="shared" si="43"/>
        <v>52916</v>
      </c>
      <c r="C494" t="s">
        <v>127</v>
      </c>
      <c r="D494">
        <f t="shared" si="48"/>
        <v>2044</v>
      </c>
      <c r="E494" t="s">
        <v>110</v>
      </c>
      <c r="H494" s="53">
        <f>DATE(K494,4,21)</f>
        <v>53438</v>
      </c>
      <c r="I494" s="54">
        <f t="shared" si="45"/>
        <v>53438</v>
      </c>
      <c r="J494" t="s">
        <v>116</v>
      </c>
      <c r="K494">
        <f t="shared" si="47"/>
        <v>2046</v>
      </c>
      <c r="L494" t="s">
        <v>110</v>
      </c>
    </row>
    <row r="495" spans="1:12" x14ac:dyDescent="0.3">
      <c r="A495" s="53">
        <f>DATE(D495,11,20)</f>
        <v>52921</v>
      </c>
      <c r="B495" s="54">
        <f t="shared" si="43"/>
        <v>52921</v>
      </c>
      <c r="C495" t="s">
        <v>128</v>
      </c>
      <c r="D495">
        <f t="shared" si="48"/>
        <v>2044</v>
      </c>
      <c r="E495" t="s">
        <v>110</v>
      </c>
      <c r="H495" s="53">
        <f>DATE(K495,5,1)</f>
        <v>53448</v>
      </c>
      <c r="I495" s="54">
        <f t="shared" si="45"/>
        <v>53448</v>
      </c>
      <c r="J495" t="s">
        <v>117</v>
      </c>
      <c r="K495">
        <f t="shared" si="47"/>
        <v>2046</v>
      </c>
      <c r="L495" t="s">
        <v>110</v>
      </c>
    </row>
    <row r="496" spans="1:12" x14ac:dyDescent="0.3">
      <c r="A496" s="53">
        <f>DATE(D496,12,25)</f>
        <v>52956</v>
      </c>
      <c r="B496" s="54">
        <f t="shared" si="43"/>
        <v>52956</v>
      </c>
      <c r="C496" t="s">
        <v>129</v>
      </c>
      <c r="D496">
        <f t="shared" si="48"/>
        <v>2044</v>
      </c>
      <c r="E496" t="s">
        <v>110</v>
      </c>
      <c r="H496" s="53">
        <f>DATE(K496,5,1)+(14-WEEKDAY(DATE(K496,5,1),2))</f>
        <v>53460</v>
      </c>
      <c r="I496" s="54">
        <f t="shared" si="45"/>
        <v>53460</v>
      </c>
      <c r="J496" t="s">
        <v>118</v>
      </c>
      <c r="K496">
        <f t="shared" si="47"/>
        <v>2046</v>
      </c>
      <c r="L496" t="s">
        <v>110</v>
      </c>
    </row>
    <row r="497" spans="1:12" x14ac:dyDescent="0.3">
      <c r="A497" s="53">
        <f>DATE(D497,1,1)</f>
        <v>52963</v>
      </c>
      <c r="B497" s="54">
        <f t="shared" si="43"/>
        <v>52963</v>
      </c>
      <c r="C497" t="s">
        <v>109</v>
      </c>
      <c r="D497">
        <f>D478+1</f>
        <v>2045</v>
      </c>
      <c r="E497" t="s">
        <v>110</v>
      </c>
      <c r="H497" s="53">
        <f>H493+60</f>
        <v>53471</v>
      </c>
      <c r="I497" s="54">
        <f t="shared" si="45"/>
        <v>53471</v>
      </c>
      <c r="J497" t="s">
        <v>119</v>
      </c>
      <c r="K497">
        <f t="shared" si="47"/>
        <v>2046</v>
      </c>
      <c r="L497" t="s">
        <v>110</v>
      </c>
    </row>
    <row r="498" spans="1:12" x14ac:dyDescent="0.3">
      <c r="A498" s="53">
        <f>A501-48</f>
        <v>53013</v>
      </c>
      <c r="B498" s="54">
        <f t="shared" si="43"/>
        <v>53013</v>
      </c>
      <c r="C498" t="s">
        <v>111</v>
      </c>
      <c r="D498">
        <f t="shared" si="48"/>
        <v>2045</v>
      </c>
      <c r="E498" t="s">
        <v>110</v>
      </c>
      <c r="H498" s="53">
        <f>DATE(K498,6,19)</f>
        <v>53497</v>
      </c>
      <c r="I498" s="54">
        <f t="shared" si="45"/>
        <v>53497</v>
      </c>
      <c r="J498" t="s">
        <v>114</v>
      </c>
      <c r="K498">
        <f t="shared" si="47"/>
        <v>2046</v>
      </c>
      <c r="L498" t="s">
        <v>115</v>
      </c>
    </row>
    <row r="499" spans="1:12" x14ac:dyDescent="0.3">
      <c r="A499" s="53">
        <f>A501-47</f>
        <v>53014</v>
      </c>
      <c r="B499" s="54">
        <f t="shared" si="43"/>
        <v>53014</v>
      </c>
      <c r="C499" t="s">
        <v>111</v>
      </c>
      <c r="D499">
        <f t="shared" si="48"/>
        <v>2045</v>
      </c>
      <c r="E499" t="s">
        <v>110</v>
      </c>
      <c r="H499" s="53">
        <f>DATE(K499,7,9)</f>
        <v>53517</v>
      </c>
      <c r="I499" s="54">
        <f t="shared" si="45"/>
        <v>53517</v>
      </c>
      <c r="J499" t="s">
        <v>120</v>
      </c>
      <c r="K499">
        <f t="shared" si="47"/>
        <v>2046</v>
      </c>
      <c r="L499" t="s">
        <v>121</v>
      </c>
    </row>
    <row r="500" spans="1:12" x14ac:dyDescent="0.3">
      <c r="A500" s="53">
        <f>A501-2</f>
        <v>53059</v>
      </c>
      <c r="B500" s="54">
        <f t="shared" si="43"/>
        <v>53059</v>
      </c>
      <c r="C500" t="s">
        <v>112</v>
      </c>
      <c r="D500">
        <f t="shared" si="48"/>
        <v>2045</v>
      </c>
      <c r="E500" t="s">
        <v>110</v>
      </c>
      <c r="H500" s="53">
        <f>DATE(K500,8,1)+(14-WEEKDAY(DATE(K500,8,1),2))</f>
        <v>53551</v>
      </c>
      <c r="I500" s="54">
        <f t="shared" si="45"/>
        <v>53551</v>
      </c>
      <c r="J500" t="s">
        <v>123</v>
      </c>
      <c r="K500">
        <f t="shared" si="47"/>
        <v>2046</v>
      </c>
      <c r="L500" t="s">
        <v>110</v>
      </c>
    </row>
    <row r="501" spans="1:12" x14ac:dyDescent="0.3">
      <c r="A501" s="53">
        <f>FLOOR(DAY(MINUTE(D501/38)/2+56)&amp;"/5"&amp;"/"&amp;D501,7)-34</f>
        <v>53061</v>
      </c>
      <c r="B501" s="54">
        <f t="shared" si="43"/>
        <v>53061</v>
      </c>
      <c r="C501" t="s">
        <v>113</v>
      </c>
      <c r="D501">
        <f t="shared" si="48"/>
        <v>2045</v>
      </c>
      <c r="E501" t="s">
        <v>110</v>
      </c>
      <c r="H501" s="53">
        <f>DATE(K501,9,7)</f>
        <v>53577</v>
      </c>
      <c r="I501" s="54">
        <f t="shared" si="45"/>
        <v>53577</v>
      </c>
      <c r="J501" t="s">
        <v>124</v>
      </c>
      <c r="K501">
        <f t="shared" si="47"/>
        <v>2046</v>
      </c>
      <c r="L501" t="s">
        <v>110</v>
      </c>
    </row>
    <row r="502" spans="1:12" x14ac:dyDescent="0.3">
      <c r="A502" s="53">
        <f>DATE(D502,4,14)</f>
        <v>53066</v>
      </c>
      <c r="B502" s="54">
        <f t="shared" si="43"/>
        <v>53066</v>
      </c>
      <c r="C502" t="s">
        <v>114</v>
      </c>
      <c r="D502">
        <f t="shared" si="48"/>
        <v>2045</v>
      </c>
      <c r="E502" t="s">
        <v>115</v>
      </c>
      <c r="H502" s="53">
        <f>DATE(K502,10,12)</f>
        <v>53612</v>
      </c>
      <c r="I502" s="54">
        <f t="shared" si="45"/>
        <v>53612</v>
      </c>
      <c r="J502" t="s">
        <v>125</v>
      </c>
      <c r="K502">
        <f t="shared" si="47"/>
        <v>2046</v>
      </c>
      <c r="L502" t="s">
        <v>110</v>
      </c>
    </row>
    <row r="503" spans="1:12" x14ac:dyDescent="0.3">
      <c r="A503" s="53">
        <f>DATE(D503,4,21)</f>
        <v>53073</v>
      </c>
      <c r="B503" s="54">
        <f t="shared" si="43"/>
        <v>53073</v>
      </c>
      <c r="C503" t="s">
        <v>116</v>
      </c>
      <c r="D503">
        <f t="shared" si="48"/>
        <v>2045</v>
      </c>
      <c r="E503" t="s">
        <v>110</v>
      </c>
      <c r="H503" s="53">
        <f>DATE(K503,11,2)</f>
        <v>53633</v>
      </c>
      <c r="I503" s="54">
        <f t="shared" si="45"/>
        <v>53633</v>
      </c>
      <c r="J503" t="s">
        <v>126</v>
      </c>
      <c r="K503">
        <f t="shared" si="47"/>
        <v>2046</v>
      </c>
      <c r="L503" t="s">
        <v>110</v>
      </c>
    </row>
    <row r="504" spans="1:12" x14ac:dyDescent="0.3">
      <c r="A504" s="53">
        <f>DATE(D504,5,1)</f>
        <v>53083</v>
      </c>
      <c r="B504" s="54">
        <f t="shared" si="43"/>
        <v>53083</v>
      </c>
      <c r="C504" t="s">
        <v>117</v>
      </c>
      <c r="D504">
        <f t="shared" si="48"/>
        <v>2045</v>
      </c>
      <c r="E504" t="s">
        <v>110</v>
      </c>
      <c r="H504" s="53">
        <f>DATE(K504,11,15)</f>
        <v>53646</v>
      </c>
      <c r="I504" s="54">
        <f t="shared" si="45"/>
        <v>53646</v>
      </c>
      <c r="J504" t="s">
        <v>127</v>
      </c>
      <c r="K504">
        <f t="shared" si="47"/>
        <v>2046</v>
      </c>
      <c r="L504" t="s">
        <v>110</v>
      </c>
    </row>
    <row r="505" spans="1:12" x14ac:dyDescent="0.3">
      <c r="A505" s="53">
        <f>DATE(D505,5,1)+(14-WEEKDAY(DATE(D505,5,1),2))</f>
        <v>53096</v>
      </c>
      <c r="B505" s="54">
        <f t="shared" si="43"/>
        <v>53096</v>
      </c>
      <c r="C505" t="s">
        <v>118</v>
      </c>
      <c r="D505">
        <f t="shared" si="48"/>
        <v>2045</v>
      </c>
      <c r="E505" t="s">
        <v>110</v>
      </c>
      <c r="H505" s="53">
        <f>DATE(K505,11,20)</f>
        <v>53651</v>
      </c>
      <c r="I505" s="54">
        <f t="shared" si="45"/>
        <v>53651</v>
      </c>
      <c r="J505" t="s">
        <v>128</v>
      </c>
      <c r="K505">
        <f t="shared" si="47"/>
        <v>2046</v>
      </c>
      <c r="L505" t="s">
        <v>110</v>
      </c>
    </row>
    <row r="506" spans="1:12" x14ac:dyDescent="0.3">
      <c r="A506" s="53">
        <f>A501+60</f>
        <v>53121</v>
      </c>
      <c r="B506" s="54">
        <f t="shared" si="43"/>
        <v>53121</v>
      </c>
      <c r="C506" t="s">
        <v>119</v>
      </c>
      <c r="D506">
        <f t="shared" si="48"/>
        <v>2045</v>
      </c>
      <c r="E506" t="s">
        <v>110</v>
      </c>
      <c r="H506" s="53">
        <f>DATE(K506,12,25)</f>
        <v>53686</v>
      </c>
      <c r="I506" s="54">
        <f t="shared" si="45"/>
        <v>53686</v>
      </c>
      <c r="J506" t="s">
        <v>129</v>
      </c>
      <c r="K506">
        <f t="shared" si="47"/>
        <v>2046</v>
      </c>
      <c r="L506" t="s">
        <v>110</v>
      </c>
    </row>
    <row r="507" spans="1:12" x14ac:dyDescent="0.3">
      <c r="A507" s="53">
        <f>DATE(D507,7,9)</f>
        <v>53152</v>
      </c>
      <c r="B507" s="54">
        <f t="shared" si="43"/>
        <v>53152</v>
      </c>
      <c r="C507" t="s">
        <v>120</v>
      </c>
      <c r="D507">
        <f t="shared" si="48"/>
        <v>2045</v>
      </c>
      <c r="E507" t="s">
        <v>121</v>
      </c>
      <c r="H507" s="53">
        <f>DATE(K507,1,1)</f>
        <v>53693</v>
      </c>
      <c r="I507" s="54">
        <f t="shared" si="45"/>
        <v>53693</v>
      </c>
      <c r="J507" t="s">
        <v>109</v>
      </c>
      <c r="K507">
        <f>K489+1</f>
        <v>2047</v>
      </c>
      <c r="L507" t="s">
        <v>110</v>
      </c>
    </row>
    <row r="508" spans="1:12" x14ac:dyDescent="0.3">
      <c r="A508" s="53">
        <f>DATE(D508,8,8)</f>
        <v>53182</v>
      </c>
      <c r="B508" s="54">
        <f t="shared" si="43"/>
        <v>53182</v>
      </c>
      <c r="C508" t="s">
        <v>122</v>
      </c>
      <c r="D508">
        <f t="shared" si="48"/>
        <v>2045</v>
      </c>
      <c r="E508" t="s">
        <v>115</v>
      </c>
      <c r="H508" s="53">
        <f>H511-48</f>
        <v>53748</v>
      </c>
      <c r="I508" s="54">
        <f t="shared" si="45"/>
        <v>53748</v>
      </c>
      <c r="J508" t="s">
        <v>111</v>
      </c>
      <c r="K508">
        <f t="shared" si="47"/>
        <v>2047</v>
      </c>
      <c r="L508" t="s">
        <v>110</v>
      </c>
    </row>
    <row r="509" spans="1:12" x14ac:dyDescent="0.3">
      <c r="A509" s="53">
        <f>DATE(D509,8,1)+(14-WEEKDAY(DATE(D509,8,1),2))</f>
        <v>53187</v>
      </c>
      <c r="B509" s="54">
        <f t="shared" si="43"/>
        <v>53187</v>
      </c>
      <c r="C509" t="s">
        <v>123</v>
      </c>
      <c r="D509">
        <f t="shared" si="48"/>
        <v>2045</v>
      </c>
      <c r="E509" t="s">
        <v>110</v>
      </c>
      <c r="H509" s="53">
        <f>H511-47</f>
        <v>53749</v>
      </c>
      <c r="I509" s="54">
        <f t="shared" si="45"/>
        <v>53749</v>
      </c>
      <c r="J509" t="s">
        <v>111</v>
      </c>
      <c r="K509">
        <f t="shared" si="47"/>
        <v>2047</v>
      </c>
      <c r="L509" t="s">
        <v>110</v>
      </c>
    </row>
    <row r="510" spans="1:12" x14ac:dyDescent="0.3">
      <c r="A510" s="53">
        <f>DATE(D510,9,7)</f>
        <v>53212</v>
      </c>
      <c r="B510" s="54">
        <f t="shared" si="43"/>
        <v>53212</v>
      </c>
      <c r="C510" t="s">
        <v>124</v>
      </c>
      <c r="D510">
        <f t="shared" si="48"/>
        <v>2045</v>
      </c>
      <c r="E510" t="s">
        <v>110</v>
      </c>
      <c r="H510" s="53">
        <f>H511-2</f>
        <v>53794</v>
      </c>
      <c r="I510" s="54">
        <f t="shared" si="45"/>
        <v>53794</v>
      </c>
      <c r="J510" t="s">
        <v>112</v>
      </c>
      <c r="K510">
        <f t="shared" si="47"/>
        <v>2047</v>
      </c>
      <c r="L510" t="s">
        <v>110</v>
      </c>
    </row>
    <row r="511" spans="1:12" x14ac:dyDescent="0.3">
      <c r="A511" s="53">
        <f>DATE(D511,10,12)</f>
        <v>53247</v>
      </c>
      <c r="B511" s="54">
        <f t="shared" si="43"/>
        <v>53247</v>
      </c>
      <c r="C511" t="s">
        <v>125</v>
      </c>
      <c r="D511">
        <f t="shared" si="48"/>
        <v>2045</v>
      </c>
      <c r="E511" t="s">
        <v>110</v>
      </c>
      <c r="H511" s="53">
        <f>FLOOR(DAY(MINUTE(K511/38)/2+56)&amp;"/5"&amp;"/"&amp;K511,7)-34</f>
        <v>53796</v>
      </c>
      <c r="I511" s="54">
        <f t="shared" si="45"/>
        <v>53796</v>
      </c>
      <c r="J511" t="s">
        <v>113</v>
      </c>
      <c r="K511">
        <f t="shared" si="47"/>
        <v>2047</v>
      </c>
      <c r="L511" t="s">
        <v>110</v>
      </c>
    </row>
    <row r="512" spans="1:12" x14ac:dyDescent="0.3">
      <c r="A512" s="53">
        <f>DATE(D512,11,2)</f>
        <v>53268</v>
      </c>
      <c r="B512" s="54">
        <f t="shared" si="43"/>
        <v>53268</v>
      </c>
      <c r="C512" t="s">
        <v>126</v>
      </c>
      <c r="D512">
        <f t="shared" si="48"/>
        <v>2045</v>
      </c>
      <c r="E512" t="s">
        <v>110</v>
      </c>
      <c r="H512" s="53">
        <f>DATE(K512,4,21)</f>
        <v>53803</v>
      </c>
      <c r="I512" s="54">
        <f t="shared" si="45"/>
        <v>53803</v>
      </c>
      <c r="J512" t="s">
        <v>116</v>
      </c>
      <c r="K512">
        <f t="shared" si="47"/>
        <v>2047</v>
      </c>
      <c r="L512" t="s">
        <v>110</v>
      </c>
    </row>
    <row r="513" spans="1:12" x14ac:dyDescent="0.3">
      <c r="A513" s="53">
        <f>DATE(D513,11,15)</f>
        <v>53281</v>
      </c>
      <c r="B513" s="54">
        <f t="shared" si="43"/>
        <v>53281</v>
      </c>
      <c r="C513" t="s">
        <v>127</v>
      </c>
      <c r="D513">
        <f t="shared" si="48"/>
        <v>2045</v>
      </c>
      <c r="E513" t="s">
        <v>110</v>
      </c>
      <c r="H513" s="53">
        <f>DATE(K513,5,1)</f>
        <v>53813</v>
      </c>
      <c r="I513" s="54">
        <f t="shared" si="45"/>
        <v>53813</v>
      </c>
      <c r="J513" t="s">
        <v>117</v>
      </c>
      <c r="K513">
        <f t="shared" si="47"/>
        <v>2047</v>
      </c>
      <c r="L513" t="s">
        <v>110</v>
      </c>
    </row>
    <row r="514" spans="1:12" x14ac:dyDescent="0.3">
      <c r="A514" s="53">
        <f>DATE(D514,11,20)</f>
        <v>53286</v>
      </c>
      <c r="B514" s="54">
        <f t="shared" si="43"/>
        <v>53286</v>
      </c>
      <c r="C514" t="s">
        <v>128</v>
      </c>
      <c r="D514">
        <f t="shared" si="48"/>
        <v>2045</v>
      </c>
      <c r="E514" t="s">
        <v>110</v>
      </c>
      <c r="H514" s="53">
        <f>DATE(K514,5,1)+(14-WEEKDAY(DATE(K514,5,1),2))</f>
        <v>53824</v>
      </c>
      <c r="I514" s="54">
        <f t="shared" si="45"/>
        <v>53824</v>
      </c>
      <c r="J514" t="s">
        <v>118</v>
      </c>
      <c r="K514">
        <f t="shared" si="47"/>
        <v>2047</v>
      </c>
      <c r="L514" t="s">
        <v>110</v>
      </c>
    </row>
    <row r="515" spans="1:12" x14ac:dyDescent="0.3">
      <c r="A515" s="53">
        <f>DATE(D515,12,25)</f>
        <v>53321</v>
      </c>
      <c r="B515" s="54">
        <f t="shared" ref="B515:B578" si="49">A515</f>
        <v>53321</v>
      </c>
      <c r="C515" t="s">
        <v>129</v>
      </c>
      <c r="D515">
        <f t="shared" si="48"/>
        <v>2045</v>
      </c>
      <c r="E515" t="s">
        <v>110</v>
      </c>
      <c r="H515" s="53">
        <f>H511+60</f>
        <v>53856</v>
      </c>
      <c r="I515" s="54">
        <f t="shared" si="45"/>
        <v>53856</v>
      </c>
      <c r="J515" t="s">
        <v>119</v>
      </c>
      <c r="K515">
        <f t="shared" si="47"/>
        <v>2047</v>
      </c>
      <c r="L515" t="s">
        <v>110</v>
      </c>
    </row>
    <row r="516" spans="1:12" x14ac:dyDescent="0.3">
      <c r="A516" s="53">
        <f>DATE(D516,1,1)</f>
        <v>53328</v>
      </c>
      <c r="B516" s="54">
        <f t="shared" si="49"/>
        <v>53328</v>
      </c>
      <c r="C516" t="s">
        <v>109</v>
      </c>
      <c r="D516">
        <f>D497+1</f>
        <v>2046</v>
      </c>
      <c r="E516" t="s">
        <v>110</v>
      </c>
      <c r="H516" s="53">
        <f>DATE(K516,6,19)</f>
        <v>53862</v>
      </c>
      <c r="I516" s="54">
        <f t="shared" si="45"/>
        <v>53862</v>
      </c>
      <c r="J516" t="s">
        <v>114</v>
      </c>
      <c r="K516">
        <f t="shared" si="47"/>
        <v>2047</v>
      </c>
      <c r="L516" t="s">
        <v>115</v>
      </c>
    </row>
    <row r="517" spans="1:12" x14ac:dyDescent="0.3">
      <c r="A517" s="53">
        <f>A520-48</f>
        <v>53363</v>
      </c>
      <c r="B517" s="54">
        <f t="shared" si="49"/>
        <v>53363</v>
      </c>
      <c r="C517" t="s">
        <v>111</v>
      </c>
      <c r="D517">
        <f t="shared" si="48"/>
        <v>2046</v>
      </c>
      <c r="E517" t="s">
        <v>110</v>
      </c>
      <c r="H517" s="53">
        <f>DATE(K517,7,9)</f>
        <v>53882</v>
      </c>
      <c r="I517" s="54">
        <f t="shared" si="45"/>
        <v>53882</v>
      </c>
      <c r="J517" t="s">
        <v>120</v>
      </c>
      <c r="K517">
        <f t="shared" si="47"/>
        <v>2047</v>
      </c>
      <c r="L517" t="s">
        <v>121</v>
      </c>
    </row>
    <row r="518" spans="1:12" x14ac:dyDescent="0.3">
      <c r="A518" s="53">
        <f>A520-47</f>
        <v>53364</v>
      </c>
      <c r="B518" s="54">
        <f t="shared" si="49"/>
        <v>53364</v>
      </c>
      <c r="C518" t="s">
        <v>111</v>
      </c>
      <c r="D518">
        <f t="shared" si="48"/>
        <v>2046</v>
      </c>
      <c r="E518" t="s">
        <v>110</v>
      </c>
      <c r="H518" s="53">
        <f>DATE(K518,8,1)+(14-WEEKDAY(DATE(K518,8,1),2))</f>
        <v>53915</v>
      </c>
      <c r="I518" s="54">
        <f t="shared" si="45"/>
        <v>53915</v>
      </c>
      <c r="J518" t="s">
        <v>123</v>
      </c>
      <c r="K518">
        <f t="shared" si="47"/>
        <v>2047</v>
      </c>
      <c r="L518" t="s">
        <v>110</v>
      </c>
    </row>
    <row r="519" spans="1:12" x14ac:dyDescent="0.3">
      <c r="A519" s="53">
        <f>A520-2</f>
        <v>53409</v>
      </c>
      <c r="B519" s="54">
        <f t="shared" si="49"/>
        <v>53409</v>
      </c>
      <c r="C519" t="s">
        <v>112</v>
      </c>
      <c r="D519">
        <f t="shared" si="48"/>
        <v>2046</v>
      </c>
      <c r="E519" t="s">
        <v>110</v>
      </c>
      <c r="H519" s="53">
        <f>DATE(K519,9,7)</f>
        <v>53942</v>
      </c>
      <c r="I519" s="54">
        <f t="shared" si="45"/>
        <v>53942</v>
      </c>
      <c r="J519" t="s">
        <v>124</v>
      </c>
      <c r="K519">
        <f t="shared" si="47"/>
        <v>2047</v>
      </c>
      <c r="L519" t="s">
        <v>110</v>
      </c>
    </row>
    <row r="520" spans="1:12" x14ac:dyDescent="0.3">
      <c r="A520" s="53">
        <f>FLOOR(DAY(MINUTE(D520/38)/2+56)&amp;"/5"&amp;"/"&amp;D520,7)-34</f>
        <v>53411</v>
      </c>
      <c r="B520" s="54">
        <f t="shared" si="49"/>
        <v>53411</v>
      </c>
      <c r="C520" t="s">
        <v>113</v>
      </c>
      <c r="D520">
        <f t="shared" si="48"/>
        <v>2046</v>
      </c>
      <c r="E520" t="s">
        <v>110</v>
      </c>
      <c r="H520" s="53">
        <f>DATE(K520,10,12)</f>
        <v>53977</v>
      </c>
      <c r="I520" s="54">
        <f t="shared" ref="I520:I583" si="50">H520</f>
        <v>53977</v>
      </c>
      <c r="J520" t="s">
        <v>125</v>
      </c>
      <c r="K520">
        <f t="shared" si="47"/>
        <v>2047</v>
      </c>
      <c r="L520" t="s">
        <v>110</v>
      </c>
    </row>
    <row r="521" spans="1:12" x14ac:dyDescent="0.3">
      <c r="A521" s="53">
        <f>DATE(D521,4,14)</f>
        <v>53431</v>
      </c>
      <c r="B521" s="54">
        <f t="shared" si="49"/>
        <v>53431</v>
      </c>
      <c r="C521" t="s">
        <v>114</v>
      </c>
      <c r="D521">
        <f t="shared" si="48"/>
        <v>2046</v>
      </c>
      <c r="E521" t="s">
        <v>115</v>
      </c>
      <c r="H521" s="53">
        <f>DATE(K521,11,2)</f>
        <v>53998</v>
      </c>
      <c r="I521" s="54">
        <f t="shared" si="50"/>
        <v>53998</v>
      </c>
      <c r="J521" t="s">
        <v>126</v>
      </c>
      <c r="K521">
        <f t="shared" si="47"/>
        <v>2047</v>
      </c>
      <c r="L521" t="s">
        <v>110</v>
      </c>
    </row>
    <row r="522" spans="1:12" x14ac:dyDescent="0.3">
      <c r="A522" s="53">
        <f>DATE(D522,4,21)</f>
        <v>53438</v>
      </c>
      <c r="B522" s="54">
        <f t="shared" si="49"/>
        <v>53438</v>
      </c>
      <c r="C522" t="s">
        <v>116</v>
      </c>
      <c r="D522">
        <f t="shared" si="48"/>
        <v>2046</v>
      </c>
      <c r="E522" t="s">
        <v>110</v>
      </c>
      <c r="H522" s="53">
        <f>DATE(K522,11,15)</f>
        <v>54011</v>
      </c>
      <c r="I522" s="54">
        <f t="shared" si="50"/>
        <v>54011</v>
      </c>
      <c r="J522" t="s">
        <v>127</v>
      </c>
      <c r="K522">
        <f t="shared" si="47"/>
        <v>2047</v>
      </c>
      <c r="L522" t="s">
        <v>110</v>
      </c>
    </row>
    <row r="523" spans="1:12" x14ac:dyDescent="0.3">
      <c r="A523" s="53">
        <f>DATE(D523,5,1)</f>
        <v>53448</v>
      </c>
      <c r="B523" s="54">
        <f t="shared" si="49"/>
        <v>53448</v>
      </c>
      <c r="C523" t="s">
        <v>117</v>
      </c>
      <c r="D523">
        <f t="shared" si="48"/>
        <v>2046</v>
      </c>
      <c r="E523" t="s">
        <v>110</v>
      </c>
      <c r="H523" s="53">
        <f>DATE(K523,11,20)</f>
        <v>54016</v>
      </c>
      <c r="I523" s="54">
        <f t="shared" si="50"/>
        <v>54016</v>
      </c>
      <c r="J523" t="s">
        <v>128</v>
      </c>
      <c r="K523">
        <f t="shared" si="47"/>
        <v>2047</v>
      </c>
      <c r="L523" t="s">
        <v>110</v>
      </c>
    </row>
    <row r="524" spans="1:12" x14ac:dyDescent="0.3">
      <c r="A524" s="53">
        <f>DATE(D524,5,1)+(14-WEEKDAY(DATE(D524,5,1),2))</f>
        <v>53460</v>
      </c>
      <c r="B524" s="54">
        <f t="shared" si="49"/>
        <v>53460</v>
      </c>
      <c r="C524" t="s">
        <v>118</v>
      </c>
      <c r="D524">
        <f t="shared" si="48"/>
        <v>2046</v>
      </c>
      <c r="E524" t="s">
        <v>110</v>
      </c>
      <c r="H524" s="53">
        <f>DATE(K524,12,25)</f>
        <v>54051</v>
      </c>
      <c r="I524" s="54">
        <f t="shared" si="50"/>
        <v>54051</v>
      </c>
      <c r="J524" t="s">
        <v>129</v>
      </c>
      <c r="K524">
        <f t="shared" si="47"/>
        <v>2047</v>
      </c>
      <c r="L524" t="s">
        <v>110</v>
      </c>
    </row>
    <row r="525" spans="1:12" x14ac:dyDescent="0.3">
      <c r="A525" s="53">
        <f>A520+60</f>
        <v>53471</v>
      </c>
      <c r="B525" s="54">
        <f t="shared" si="49"/>
        <v>53471</v>
      </c>
      <c r="C525" t="s">
        <v>119</v>
      </c>
      <c r="D525">
        <f t="shared" si="48"/>
        <v>2046</v>
      </c>
      <c r="E525" t="s">
        <v>110</v>
      </c>
      <c r="H525" s="53">
        <f>DATE(K525,1,1)</f>
        <v>54058</v>
      </c>
      <c r="I525" s="54">
        <f t="shared" si="50"/>
        <v>54058</v>
      </c>
      <c r="J525" t="s">
        <v>109</v>
      </c>
      <c r="K525">
        <f>K507+1</f>
        <v>2048</v>
      </c>
      <c r="L525" t="s">
        <v>110</v>
      </c>
    </row>
    <row r="526" spans="1:12" x14ac:dyDescent="0.3">
      <c r="A526" s="53">
        <f>DATE(D526,7,9)</f>
        <v>53517</v>
      </c>
      <c r="B526" s="54">
        <f t="shared" si="49"/>
        <v>53517</v>
      </c>
      <c r="C526" t="s">
        <v>120</v>
      </c>
      <c r="D526">
        <f t="shared" si="48"/>
        <v>2046</v>
      </c>
      <c r="E526" t="s">
        <v>121</v>
      </c>
      <c r="H526" s="53">
        <f>H529-48</f>
        <v>54105</v>
      </c>
      <c r="I526" s="54">
        <f t="shared" si="50"/>
        <v>54105</v>
      </c>
      <c r="J526" t="s">
        <v>111</v>
      </c>
      <c r="K526">
        <f t="shared" si="47"/>
        <v>2048</v>
      </c>
      <c r="L526" t="s">
        <v>110</v>
      </c>
    </row>
    <row r="527" spans="1:12" x14ac:dyDescent="0.3">
      <c r="A527" s="53">
        <f>DATE(D527,8,8)</f>
        <v>53547</v>
      </c>
      <c r="B527" s="54">
        <f t="shared" si="49"/>
        <v>53547</v>
      </c>
      <c r="C527" t="s">
        <v>122</v>
      </c>
      <c r="D527">
        <f t="shared" si="48"/>
        <v>2046</v>
      </c>
      <c r="E527" t="s">
        <v>115</v>
      </c>
      <c r="H527" s="53">
        <f>H529-47</f>
        <v>54106</v>
      </c>
      <c r="I527" s="54">
        <f t="shared" si="50"/>
        <v>54106</v>
      </c>
      <c r="J527" t="s">
        <v>111</v>
      </c>
      <c r="K527">
        <f t="shared" si="47"/>
        <v>2048</v>
      </c>
      <c r="L527" t="s">
        <v>110</v>
      </c>
    </row>
    <row r="528" spans="1:12" x14ac:dyDescent="0.3">
      <c r="A528" s="53">
        <f>DATE(D528,8,1)+(14-WEEKDAY(DATE(D528,8,1),2))</f>
        <v>53551</v>
      </c>
      <c r="B528" s="54">
        <f t="shared" si="49"/>
        <v>53551</v>
      </c>
      <c r="C528" t="s">
        <v>123</v>
      </c>
      <c r="D528">
        <f t="shared" si="48"/>
        <v>2046</v>
      </c>
      <c r="E528" t="s">
        <v>110</v>
      </c>
      <c r="H528" s="53">
        <f>H529-2</f>
        <v>54151</v>
      </c>
      <c r="I528" s="54">
        <f t="shared" si="50"/>
        <v>54151</v>
      </c>
      <c r="J528" t="s">
        <v>112</v>
      </c>
      <c r="K528">
        <f t="shared" si="47"/>
        <v>2048</v>
      </c>
      <c r="L528" t="s">
        <v>110</v>
      </c>
    </row>
    <row r="529" spans="1:12" x14ac:dyDescent="0.3">
      <c r="A529" s="53">
        <f>DATE(D529,9,7)</f>
        <v>53577</v>
      </c>
      <c r="B529" s="54">
        <f t="shared" si="49"/>
        <v>53577</v>
      </c>
      <c r="C529" t="s">
        <v>124</v>
      </c>
      <c r="D529">
        <f t="shared" si="48"/>
        <v>2046</v>
      </c>
      <c r="E529" t="s">
        <v>110</v>
      </c>
      <c r="H529" s="53">
        <f>FLOOR(DAY(MINUTE(K529/38)/2+56)&amp;"/5"&amp;"/"&amp;K529,7)-34</f>
        <v>54153</v>
      </c>
      <c r="I529" s="54">
        <f t="shared" si="50"/>
        <v>54153</v>
      </c>
      <c r="J529" t="s">
        <v>113</v>
      </c>
      <c r="K529">
        <f t="shared" si="47"/>
        <v>2048</v>
      </c>
      <c r="L529" t="s">
        <v>110</v>
      </c>
    </row>
    <row r="530" spans="1:12" x14ac:dyDescent="0.3">
      <c r="A530" s="53">
        <f>DATE(D530,10,12)</f>
        <v>53612</v>
      </c>
      <c r="B530" s="54">
        <f t="shared" si="49"/>
        <v>53612</v>
      </c>
      <c r="C530" t="s">
        <v>125</v>
      </c>
      <c r="D530">
        <f t="shared" si="48"/>
        <v>2046</v>
      </c>
      <c r="E530" t="s">
        <v>110</v>
      </c>
      <c r="H530" s="53">
        <f>DATE(K530,4,21)</f>
        <v>54169</v>
      </c>
      <c r="I530" s="54">
        <f t="shared" si="50"/>
        <v>54169</v>
      </c>
      <c r="J530" t="s">
        <v>116</v>
      </c>
      <c r="K530">
        <f t="shared" si="47"/>
        <v>2048</v>
      </c>
      <c r="L530" t="s">
        <v>110</v>
      </c>
    </row>
    <row r="531" spans="1:12" x14ac:dyDescent="0.3">
      <c r="A531" s="53">
        <f>DATE(D531,11,2)</f>
        <v>53633</v>
      </c>
      <c r="B531" s="54">
        <f t="shared" si="49"/>
        <v>53633</v>
      </c>
      <c r="C531" t="s">
        <v>126</v>
      </c>
      <c r="D531">
        <f t="shared" si="48"/>
        <v>2046</v>
      </c>
      <c r="E531" t="s">
        <v>110</v>
      </c>
      <c r="H531" s="53">
        <f>DATE(K531,5,1)</f>
        <v>54179</v>
      </c>
      <c r="I531" s="54">
        <f t="shared" si="50"/>
        <v>54179</v>
      </c>
      <c r="J531" t="s">
        <v>117</v>
      </c>
      <c r="K531">
        <f t="shared" si="47"/>
        <v>2048</v>
      </c>
      <c r="L531" t="s">
        <v>110</v>
      </c>
    </row>
    <row r="532" spans="1:12" x14ac:dyDescent="0.3">
      <c r="A532" s="53">
        <f>DATE(D532,11,15)</f>
        <v>53646</v>
      </c>
      <c r="B532" s="54">
        <f t="shared" si="49"/>
        <v>53646</v>
      </c>
      <c r="C532" t="s">
        <v>127</v>
      </c>
      <c r="D532">
        <f t="shared" si="48"/>
        <v>2046</v>
      </c>
      <c r="E532" t="s">
        <v>110</v>
      </c>
      <c r="H532" s="53">
        <f>DATE(K532,5,1)+(14-WEEKDAY(DATE(K532,5,1),2))</f>
        <v>54188</v>
      </c>
      <c r="I532" s="54">
        <f t="shared" si="50"/>
        <v>54188</v>
      </c>
      <c r="J532" t="s">
        <v>118</v>
      </c>
      <c r="K532">
        <f t="shared" si="47"/>
        <v>2048</v>
      </c>
      <c r="L532" t="s">
        <v>110</v>
      </c>
    </row>
    <row r="533" spans="1:12" x14ac:dyDescent="0.3">
      <c r="A533" s="53">
        <f>DATE(D533,11,20)</f>
        <v>53651</v>
      </c>
      <c r="B533" s="54">
        <f t="shared" si="49"/>
        <v>53651</v>
      </c>
      <c r="C533" t="s">
        <v>128</v>
      </c>
      <c r="D533">
        <f t="shared" si="48"/>
        <v>2046</v>
      </c>
      <c r="E533" t="s">
        <v>110</v>
      </c>
      <c r="H533" s="53">
        <f>H529+60</f>
        <v>54213</v>
      </c>
      <c r="I533" s="54">
        <f t="shared" si="50"/>
        <v>54213</v>
      </c>
      <c r="J533" t="s">
        <v>119</v>
      </c>
      <c r="K533">
        <f t="shared" si="47"/>
        <v>2048</v>
      </c>
      <c r="L533" t="s">
        <v>110</v>
      </c>
    </row>
    <row r="534" spans="1:12" x14ac:dyDescent="0.3">
      <c r="A534" s="53">
        <f>DATE(D534,12,25)</f>
        <v>53686</v>
      </c>
      <c r="B534" s="54">
        <f t="shared" si="49"/>
        <v>53686</v>
      </c>
      <c r="C534" t="s">
        <v>129</v>
      </c>
      <c r="D534">
        <f t="shared" si="48"/>
        <v>2046</v>
      </c>
      <c r="E534" t="s">
        <v>110</v>
      </c>
      <c r="H534" s="53">
        <f>DATE(K534,6,19)</f>
        <v>54228</v>
      </c>
      <c r="I534" s="54">
        <f t="shared" si="50"/>
        <v>54228</v>
      </c>
      <c r="J534" t="s">
        <v>114</v>
      </c>
      <c r="K534">
        <f t="shared" si="47"/>
        <v>2048</v>
      </c>
      <c r="L534" t="s">
        <v>115</v>
      </c>
    </row>
    <row r="535" spans="1:12" x14ac:dyDescent="0.3">
      <c r="A535" s="53">
        <f>DATE(D535,1,1)</f>
        <v>53693</v>
      </c>
      <c r="B535" s="54">
        <f t="shared" si="49"/>
        <v>53693</v>
      </c>
      <c r="C535" t="s">
        <v>109</v>
      </c>
      <c r="D535">
        <f>D516+1</f>
        <v>2047</v>
      </c>
      <c r="E535" t="s">
        <v>110</v>
      </c>
      <c r="H535" s="53">
        <f>DATE(K535,7,9)</f>
        <v>54248</v>
      </c>
      <c r="I535" s="54">
        <f t="shared" si="50"/>
        <v>54248</v>
      </c>
      <c r="J535" t="s">
        <v>120</v>
      </c>
      <c r="K535">
        <f t="shared" si="47"/>
        <v>2048</v>
      </c>
      <c r="L535" t="s">
        <v>121</v>
      </c>
    </row>
    <row r="536" spans="1:12" x14ac:dyDescent="0.3">
      <c r="A536" s="53">
        <f>A539-48</f>
        <v>53748</v>
      </c>
      <c r="B536" s="54">
        <f t="shared" si="49"/>
        <v>53748</v>
      </c>
      <c r="C536" t="s">
        <v>111</v>
      </c>
      <c r="D536">
        <f t="shared" si="48"/>
        <v>2047</v>
      </c>
      <c r="E536" t="s">
        <v>110</v>
      </c>
      <c r="H536" s="53">
        <f>DATE(K536,8,1)+(14-WEEKDAY(DATE(K536,8,1),2))</f>
        <v>54279</v>
      </c>
      <c r="I536" s="54">
        <f t="shared" si="50"/>
        <v>54279</v>
      </c>
      <c r="J536" t="s">
        <v>123</v>
      </c>
      <c r="K536">
        <f t="shared" ref="K536:K542" si="51">K518+1</f>
        <v>2048</v>
      </c>
      <c r="L536" t="s">
        <v>110</v>
      </c>
    </row>
    <row r="537" spans="1:12" x14ac:dyDescent="0.3">
      <c r="A537" s="53">
        <f>A539-47</f>
        <v>53749</v>
      </c>
      <c r="B537" s="54">
        <f t="shared" si="49"/>
        <v>53749</v>
      </c>
      <c r="C537" t="s">
        <v>111</v>
      </c>
      <c r="D537">
        <f t="shared" si="48"/>
        <v>2047</v>
      </c>
      <c r="E537" t="s">
        <v>110</v>
      </c>
      <c r="H537" s="53">
        <f>DATE(K537,9,7)</f>
        <v>54308</v>
      </c>
      <c r="I537" s="54">
        <f t="shared" si="50"/>
        <v>54308</v>
      </c>
      <c r="J537" t="s">
        <v>124</v>
      </c>
      <c r="K537">
        <f t="shared" si="51"/>
        <v>2048</v>
      </c>
      <c r="L537" t="s">
        <v>110</v>
      </c>
    </row>
    <row r="538" spans="1:12" x14ac:dyDescent="0.3">
      <c r="A538" s="53">
        <f>A539-2</f>
        <v>53794</v>
      </c>
      <c r="B538" s="54">
        <f t="shared" si="49"/>
        <v>53794</v>
      </c>
      <c r="C538" t="s">
        <v>112</v>
      </c>
      <c r="D538">
        <f t="shared" si="48"/>
        <v>2047</v>
      </c>
      <c r="E538" t="s">
        <v>110</v>
      </c>
      <c r="H538" s="53">
        <f>DATE(K538,10,12)</f>
        <v>54343</v>
      </c>
      <c r="I538" s="54">
        <f t="shared" si="50"/>
        <v>54343</v>
      </c>
      <c r="J538" t="s">
        <v>125</v>
      </c>
      <c r="K538">
        <f t="shared" si="51"/>
        <v>2048</v>
      </c>
      <c r="L538" t="s">
        <v>110</v>
      </c>
    </row>
    <row r="539" spans="1:12" x14ac:dyDescent="0.3">
      <c r="A539" s="53">
        <f>FLOOR(DAY(MINUTE(D539/38)/2+56)&amp;"/5"&amp;"/"&amp;D539,7)-34</f>
        <v>53796</v>
      </c>
      <c r="B539" s="54">
        <f t="shared" si="49"/>
        <v>53796</v>
      </c>
      <c r="C539" t="s">
        <v>113</v>
      </c>
      <c r="D539">
        <f t="shared" si="48"/>
        <v>2047</v>
      </c>
      <c r="E539" t="s">
        <v>110</v>
      </c>
      <c r="H539" s="53">
        <f>DATE(K539,11,2)</f>
        <v>54364</v>
      </c>
      <c r="I539" s="54">
        <f t="shared" si="50"/>
        <v>54364</v>
      </c>
      <c r="J539" t="s">
        <v>126</v>
      </c>
      <c r="K539">
        <f t="shared" si="51"/>
        <v>2048</v>
      </c>
      <c r="L539" t="s">
        <v>110</v>
      </c>
    </row>
    <row r="540" spans="1:12" x14ac:dyDescent="0.3">
      <c r="A540" s="53">
        <f>DATE(D540,4,14)</f>
        <v>53796</v>
      </c>
      <c r="B540" s="54">
        <f t="shared" si="49"/>
        <v>53796</v>
      </c>
      <c r="C540" t="s">
        <v>114</v>
      </c>
      <c r="D540">
        <f t="shared" si="48"/>
        <v>2047</v>
      </c>
      <c r="E540" t="s">
        <v>115</v>
      </c>
      <c r="H540" s="53">
        <f>DATE(K540,11,15)</f>
        <v>54377</v>
      </c>
      <c r="I540" s="54">
        <f t="shared" si="50"/>
        <v>54377</v>
      </c>
      <c r="J540" t="s">
        <v>127</v>
      </c>
      <c r="K540">
        <f t="shared" si="51"/>
        <v>2048</v>
      </c>
      <c r="L540" t="s">
        <v>110</v>
      </c>
    </row>
    <row r="541" spans="1:12" x14ac:dyDescent="0.3">
      <c r="A541" s="53">
        <f>DATE(D541,4,21)</f>
        <v>53803</v>
      </c>
      <c r="B541" s="54">
        <f t="shared" si="49"/>
        <v>53803</v>
      </c>
      <c r="C541" t="s">
        <v>116</v>
      </c>
      <c r="D541">
        <f t="shared" si="48"/>
        <v>2047</v>
      </c>
      <c r="E541" t="s">
        <v>110</v>
      </c>
      <c r="H541" s="53">
        <f>DATE(K541,11,20)</f>
        <v>54382</v>
      </c>
      <c r="I541" s="54">
        <f t="shared" si="50"/>
        <v>54382</v>
      </c>
      <c r="J541" t="s">
        <v>128</v>
      </c>
      <c r="K541">
        <f t="shared" si="51"/>
        <v>2048</v>
      </c>
      <c r="L541" t="s">
        <v>110</v>
      </c>
    </row>
    <row r="542" spans="1:12" x14ac:dyDescent="0.3">
      <c r="A542" s="53">
        <f>DATE(D542,5,1)</f>
        <v>53813</v>
      </c>
      <c r="B542" s="54">
        <f t="shared" si="49"/>
        <v>53813</v>
      </c>
      <c r="C542" t="s">
        <v>117</v>
      </c>
      <c r="D542">
        <f t="shared" si="48"/>
        <v>2047</v>
      </c>
      <c r="E542" t="s">
        <v>110</v>
      </c>
      <c r="H542" s="53">
        <f>DATE(K542,12,25)</f>
        <v>54417</v>
      </c>
      <c r="I542" s="54">
        <f t="shared" si="50"/>
        <v>54417</v>
      </c>
      <c r="J542" t="s">
        <v>129</v>
      </c>
      <c r="K542">
        <f t="shared" si="51"/>
        <v>2048</v>
      </c>
      <c r="L542" t="s">
        <v>110</v>
      </c>
    </row>
    <row r="543" spans="1:12" x14ac:dyDescent="0.3">
      <c r="A543" s="53">
        <f>DATE(D543,5,1)+(14-WEEKDAY(DATE(D543,5,1),2))</f>
        <v>53824</v>
      </c>
      <c r="B543" s="54">
        <f t="shared" si="49"/>
        <v>53824</v>
      </c>
      <c r="C543" t="s">
        <v>118</v>
      </c>
      <c r="D543">
        <f t="shared" ref="D543:D553" si="52">D524+1</f>
        <v>2047</v>
      </c>
      <c r="E543" t="s">
        <v>110</v>
      </c>
      <c r="H543" s="53">
        <f>DATE(K543,1,1)</f>
        <v>54424</v>
      </c>
      <c r="I543" s="54">
        <f t="shared" si="50"/>
        <v>54424</v>
      </c>
      <c r="J543" t="s">
        <v>109</v>
      </c>
      <c r="K543">
        <f>K525+1</f>
        <v>2049</v>
      </c>
      <c r="L543" t="s">
        <v>110</v>
      </c>
    </row>
    <row r="544" spans="1:12" x14ac:dyDescent="0.3">
      <c r="A544" s="53">
        <f>A539+60</f>
        <v>53856</v>
      </c>
      <c r="B544" s="54">
        <f t="shared" si="49"/>
        <v>53856</v>
      </c>
      <c r="C544" t="s">
        <v>119</v>
      </c>
      <c r="D544">
        <f t="shared" si="52"/>
        <v>2047</v>
      </c>
      <c r="E544" t="s">
        <v>110</v>
      </c>
      <c r="H544" s="53">
        <f>H547-48</f>
        <v>54483</v>
      </c>
      <c r="I544" s="54">
        <f t="shared" si="50"/>
        <v>54483</v>
      </c>
      <c r="J544" t="s">
        <v>111</v>
      </c>
      <c r="K544">
        <f t="shared" ref="K544:K560" si="53">K526+1</f>
        <v>2049</v>
      </c>
      <c r="L544" t="s">
        <v>110</v>
      </c>
    </row>
    <row r="545" spans="1:12" x14ac:dyDescent="0.3">
      <c r="A545" s="53">
        <f>DATE(D545,7,9)</f>
        <v>53882</v>
      </c>
      <c r="B545" s="54">
        <f t="shared" si="49"/>
        <v>53882</v>
      </c>
      <c r="C545" t="s">
        <v>120</v>
      </c>
      <c r="D545">
        <f t="shared" si="52"/>
        <v>2047</v>
      </c>
      <c r="E545" t="s">
        <v>121</v>
      </c>
      <c r="H545" s="53">
        <f>H547-47</f>
        <v>54484</v>
      </c>
      <c r="I545" s="54">
        <f t="shared" si="50"/>
        <v>54484</v>
      </c>
      <c r="J545" t="s">
        <v>111</v>
      </c>
      <c r="K545">
        <f t="shared" si="53"/>
        <v>2049</v>
      </c>
      <c r="L545" t="s">
        <v>110</v>
      </c>
    </row>
    <row r="546" spans="1:12" x14ac:dyDescent="0.3">
      <c r="A546" s="53">
        <f>DATE(D546,8,8)</f>
        <v>53912</v>
      </c>
      <c r="B546" s="54">
        <f t="shared" si="49"/>
        <v>53912</v>
      </c>
      <c r="C546" t="s">
        <v>122</v>
      </c>
      <c r="D546">
        <f t="shared" si="52"/>
        <v>2047</v>
      </c>
      <c r="E546" t="s">
        <v>115</v>
      </c>
      <c r="H546" s="53">
        <f>H547-2</f>
        <v>54529</v>
      </c>
      <c r="I546" s="54">
        <f t="shared" si="50"/>
        <v>54529</v>
      </c>
      <c r="J546" t="s">
        <v>112</v>
      </c>
      <c r="K546">
        <f t="shared" si="53"/>
        <v>2049</v>
      </c>
      <c r="L546" t="s">
        <v>110</v>
      </c>
    </row>
    <row r="547" spans="1:12" x14ac:dyDescent="0.3">
      <c r="A547" s="53">
        <f>DATE(D547,8,1)+(14-WEEKDAY(DATE(D547,8,1),2))</f>
        <v>53915</v>
      </c>
      <c r="B547" s="54">
        <f t="shared" si="49"/>
        <v>53915</v>
      </c>
      <c r="C547" t="s">
        <v>123</v>
      </c>
      <c r="D547">
        <f t="shared" si="52"/>
        <v>2047</v>
      </c>
      <c r="E547" t="s">
        <v>110</v>
      </c>
      <c r="H547" s="53">
        <f>FLOOR(DAY(MINUTE(K547/38)/2+56)&amp;"/5"&amp;"/"&amp;K547,7)-34</f>
        <v>54531</v>
      </c>
      <c r="I547" s="54">
        <f t="shared" si="50"/>
        <v>54531</v>
      </c>
      <c r="J547" t="s">
        <v>113</v>
      </c>
      <c r="K547">
        <f t="shared" si="53"/>
        <v>2049</v>
      </c>
      <c r="L547" t="s">
        <v>110</v>
      </c>
    </row>
    <row r="548" spans="1:12" x14ac:dyDescent="0.3">
      <c r="A548" s="53">
        <f>DATE(D548,9,7)</f>
        <v>53942</v>
      </c>
      <c r="B548" s="54">
        <f t="shared" si="49"/>
        <v>53942</v>
      </c>
      <c r="C548" t="s">
        <v>124</v>
      </c>
      <c r="D548">
        <f t="shared" si="52"/>
        <v>2047</v>
      </c>
      <c r="E548" t="s">
        <v>110</v>
      </c>
      <c r="H548" s="53">
        <f>DATE(K548,4,21)</f>
        <v>54534</v>
      </c>
      <c r="I548" s="54">
        <f t="shared" si="50"/>
        <v>54534</v>
      </c>
      <c r="J548" t="s">
        <v>116</v>
      </c>
      <c r="K548">
        <f t="shared" si="53"/>
        <v>2049</v>
      </c>
      <c r="L548" t="s">
        <v>110</v>
      </c>
    </row>
    <row r="549" spans="1:12" x14ac:dyDescent="0.3">
      <c r="A549" s="53">
        <f>DATE(D549,10,12)</f>
        <v>53977</v>
      </c>
      <c r="B549" s="54">
        <f t="shared" si="49"/>
        <v>53977</v>
      </c>
      <c r="C549" t="s">
        <v>125</v>
      </c>
      <c r="D549">
        <f t="shared" si="52"/>
        <v>2047</v>
      </c>
      <c r="E549" t="s">
        <v>110</v>
      </c>
      <c r="H549" s="53">
        <f>DATE(K549,5,1)</f>
        <v>54544</v>
      </c>
      <c r="I549" s="54">
        <f t="shared" si="50"/>
        <v>54544</v>
      </c>
      <c r="J549" t="s">
        <v>117</v>
      </c>
      <c r="K549">
        <f t="shared" si="53"/>
        <v>2049</v>
      </c>
      <c r="L549" t="s">
        <v>110</v>
      </c>
    </row>
    <row r="550" spans="1:12" x14ac:dyDescent="0.3">
      <c r="A550" s="53">
        <f>DATE(D550,11,2)</f>
        <v>53998</v>
      </c>
      <c r="B550" s="54">
        <f t="shared" si="49"/>
        <v>53998</v>
      </c>
      <c r="C550" t="s">
        <v>126</v>
      </c>
      <c r="D550">
        <f t="shared" si="52"/>
        <v>2047</v>
      </c>
      <c r="E550" t="s">
        <v>110</v>
      </c>
      <c r="H550" s="53">
        <f>DATE(K550,5,1)+(14-WEEKDAY(DATE(K550,5,1),2))</f>
        <v>54552</v>
      </c>
      <c r="I550" s="54">
        <f t="shared" si="50"/>
        <v>54552</v>
      </c>
      <c r="J550" t="s">
        <v>118</v>
      </c>
      <c r="K550">
        <f t="shared" si="53"/>
        <v>2049</v>
      </c>
      <c r="L550" t="s">
        <v>110</v>
      </c>
    </row>
    <row r="551" spans="1:12" x14ac:dyDescent="0.3">
      <c r="A551" s="53">
        <f>DATE(D551,11,15)</f>
        <v>54011</v>
      </c>
      <c r="B551" s="54">
        <f t="shared" si="49"/>
        <v>54011</v>
      </c>
      <c r="C551" t="s">
        <v>127</v>
      </c>
      <c r="D551">
        <f t="shared" si="52"/>
        <v>2047</v>
      </c>
      <c r="E551" t="s">
        <v>110</v>
      </c>
      <c r="H551" s="53">
        <f>H547+60</f>
        <v>54591</v>
      </c>
      <c r="I551" s="54">
        <f t="shared" si="50"/>
        <v>54591</v>
      </c>
      <c r="J551" t="s">
        <v>119</v>
      </c>
      <c r="K551">
        <f t="shared" si="53"/>
        <v>2049</v>
      </c>
      <c r="L551" t="s">
        <v>110</v>
      </c>
    </row>
    <row r="552" spans="1:12" x14ac:dyDescent="0.3">
      <c r="A552" s="53">
        <f>DATE(D552,11,20)</f>
        <v>54016</v>
      </c>
      <c r="B552" s="54">
        <f t="shared" si="49"/>
        <v>54016</v>
      </c>
      <c r="C552" t="s">
        <v>128</v>
      </c>
      <c r="D552">
        <f t="shared" si="52"/>
        <v>2047</v>
      </c>
      <c r="E552" t="s">
        <v>110</v>
      </c>
      <c r="H552" s="53">
        <f>DATE(K552,6,19)</f>
        <v>54593</v>
      </c>
      <c r="I552" s="54">
        <f t="shared" si="50"/>
        <v>54593</v>
      </c>
      <c r="J552" t="s">
        <v>114</v>
      </c>
      <c r="K552">
        <f t="shared" si="53"/>
        <v>2049</v>
      </c>
      <c r="L552" t="s">
        <v>115</v>
      </c>
    </row>
    <row r="553" spans="1:12" x14ac:dyDescent="0.3">
      <c r="A553" s="53">
        <f>DATE(D553,12,25)</f>
        <v>54051</v>
      </c>
      <c r="B553" s="54">
        <f t="shared" si="49"/>
        <v>54051</v>
      </c>
      <c r="C553" t="s">
        <v>129</v>
      </c>
      <c r="D553">
        <f t="shared" si="52"/>
        <v>2047</v>
      </c>
      <c r="E553" t="s">
        <v>110</v>
      </c>
      <c r="H553" s="53">
        <f>DATE(K553,7,9)</f>
        <v>54613</v>
      </c>
      <c r="I553" s="54">
        <f t="shared" si="50"/>
        <v>54613</v>
      </c>
      <c r="J553" t="s">
        <v>120</v>
      </c>
      <c r="K553">
        <f t="shared" si="53"/>
        <v>2049</v>
      </c>
      <c r="L553" t="s">
        <v>121</v>
      </c>
    </row>
    <row r="554" spans="1:12" x14ac:dyDescent="0.3">
      <c r="A554" s="53">
        <f>DATE(D554,1,1)</f>
        <v>54058</v>
      </c>
      <c r="B554" s="54">
        <f t="shared" si="49"/>
        <v>54058</v>
      </c>
      <c r="C554" t="s">
        <v>109</v>
      </c>
      <c r="D554">
        <f>D535+1</f>
        <v>2048</v>
      </c>
      <c r="E554" t="s">
        <v>110</v>
      </c>
      <c r="H554" s="53">
        <f>DATE(K554,8,1)+(14-WEEKDAY(DATE(K554,8,1),2))</f>
        <v>54643</v>
      </c>
      <c r="I554" s="54">
        <f t="shared" si="50"/>
        <v>54643</v>
      </c>
      <c r="J554" t="s">
        <v>123</v>
      </c>
      <c r="K554">
        <f t="shared" si="53"/>
        <v>2049</v>
      </c>
      <c r="L554" t="s">
        <v>110</v>
      </c>
    </row>
    <row r="555" spans="1:12" x14ac:dyDescent="0.3">
      <c r="A555" s="53">
        <f>A558-48</f>
        <v>54105</v>
      </c>
      <c r="B555" s="54">
        <f t="shared" si="49"/>
        <v>54105</v>
      </c>
      <c r="C555" t="s">
        <v>111</v>
      </c>
      <c r="D555">
        <f t="shared" ref="D555:D572" si="54">D536+1</f>
        <v>2048</v>
      </c>
      <c r="E555" t="s">
        <v>110</v>
      </c>
      <c r="H555" s="53">
        <f>DATE(K555,9,7)</f>
        <v>54673</v>
      </c>
      <c r="I555" s="54">
        <f t="shared" si="50"/>
        <v>54673</v>
      </c>
      <c r="J555" t="s">
        <v>124</v>
      </c>
      <c r="K555">
        <f t="shared" si="53"/>
        <v>2049</v>
      </c>
      <c r="L555" t="s">
        <v>110</v>
      </c>
    </row>
    <row r="556" spans="1:12" x14ac:dyDescent="0.3">
      <c r="A556" s="53">
        <f>A558-47</f>
        <v>54106</v>
      </c>
      <c r="B556" s="54">
        <f t="shared" si="49"/>
        <v>54106</v>
      </c>
      <c r="C556" t="s">
        <v>111</v>
      </c>
      <c r="D556">
        <f t="shared" si="54"/>
        <v>2048</v>
      </c>
      <c r="E556" t="s">
        <v>110</v>
      </c>
      <c r="H556" s="53">
        <f>DATE(K556,10,12)</f>
        <v>54708</v>
      </c>
      <c r="I556" s="54">
        <f t="shared" si="50"/>
        <v>54708</v>
      </c>
      <c r="J556" t="s">
        <v>125</v>
      </c>
      <c r="K556">
        <f t="shared" si="53"/>
        <v>2049</v>
      </c>
      <c r="L556" t="s">
        <v>110</v>
      </c>
    </row>
    <row r="557" spans="1:12" x14ac:dyDescent="0.3">
      <c r="A557" s="53">
        <f>A558-2</f>
        <v>54151</v>
      </c>
      <c r="B557" s="54">
        <f t="shared" si="49"/>
        <v>54151</v>
      </c>
      <c r="C557" t="s">
        <v>112</v>
      </c>
      <c r="D557">
        <f t="shared" si="54"/>
        <v>2048</v>
      </c>
      <c r="E557" t="s">
        <v>110</v>
      </c>
      <c r="H557" s="53">
        <f>DATE(K557,11,2)</f>
        <v>54729</v>
      </c>
      <c r="I557" s="54">
        <f t="shared" si="50"/>
        <v>54729</v>
      </c>
      <c r="J557" t="s">
        <v>126</v>
      </c>
      <c r="K557">
        <f t="shared" si="53"/>
        <v>2049</v>
      </c>
      <c r="L557" t="s">
        <v>110</v>
      </c>
    </row>
    <row r="558" spans="1:12" x14ac:dyDescent="0.3">
      <c r="A558" s="53">
        <f>FLOOR(DAY(MINUTE(D558/38)/2+56)&amp;"/5"&amp;"/"&amp;D558,7)-34</f>
        <v>54153</v>
      </c>
      <c r="B558" s="54">
        <f t="shared" si="49"/>
        <v>54153</v>
      </c>
      <c r="C558" t="s">
        <v>113</v>
      </c>
      <c r="D558">
        <f t="shared" si="54"/>
        <v>2048</v>
      </c>
      <c r="E558" t="s">
        <v>110</v>
      </c>
      <c r="H558" s="53">
        <f>DATE(K558,11,15)</f>
        <v>54742</v>
      </c>
      <c r="I558" s="54">
        <f t="shared" si="50"/>
        <v>54742</v>
      </c>
      <c r="J558" t="s">
        <v>127</v>
      </c>
      <c r="K558">
        <f t="shared" si="53"/>
        <v>2049</v>
      </c>
      <c r="L558" t="s">
        <v>110</v>
      </c>
    </row>
    <row r="559" spans="1:12" x14ac:dyDescent="0.3">
      <c r="A559" s="53">
        <f>DATE(D559,4,14)</f>
        <v>54162</v>
      </c>
      <c r="B559" s="54">
        <f t="shared" si="49"/>
        <v>54162</v>
      </c>
      <c r="C559" t="s">
        <v>114</v>
      </c>
      <c r="D559">
        <f t="shared" si="54"/>
        <v>2048</v>
      </c>
      <c r="E559" t="s">
        <v>115</v>
      </c>
      <c r="H559" s="53">
        <f>DATE(K559,11,20)</f>
        <v>54747</v>
      </c>
      <c r="I559" s="54">
        <f t="shared" si="50"/>
        <v>54747</v>
      </c>
      <c r="J559" t="s">
        <v>128</v>
      </c>
      <c r="K559">
        <f t="shared" si="53"/>
        <v>2049</v>
      </c>
      <c r="L559" t="s">
        <v>110</v>
      </c>
    </row>
    <row r="560" spans="1:12" x14ac:dyDescent="0.3">
      <c r="A560" s="53">
        <f>DATE(D560,4,21)</f>
        <v>54169</v>
      </c>
      <c r="B560" s="54">
        <f t="shared" si="49"/>
        <v>54169</v>
      </c>
      <c r="C560" t="s">
        <v>116</v>
      </c>
      <c r="D560">
        <f t="shared" si="54"/>
        <v>2048</v>
      </c>
      <c r="E560" t="s">
        <v>110</v>
      </c>
      <c r="H560" s="53">
        <f>DATE(K560,12,25)</f>
        <v>54782</v>
      </c>
      <c r="I560" s="54">
        <f t="shared" si="50"/>
        <v>54782</v>
      </c>
      <c r="J560" t="s">
        <v>129</v>
      </c>
      <c r="K560">
        <f t="shared" si="53"/>
        <v>2049</v>
      </c>
      <c r="L560" t="s">
        <v>110</v>
      </c>
    </row>
    <row r="561" spans="1:12" x14ac:dyDescent="0.3">
      <c r="A561" s="53">
        <f>DATE(D561,5,1)</f>
        <v>54179</v>
      </c>
      <c r="B561" s="54">
        <f t="shared" si="49"/>
        <v>54179</v>
      </c>
      <c r="C561" t="s">
        <v>117</v>
      </c>
      <c r="D561">
        <f t="shared" si="54"/>
        <v>2048</v>
      </c>
      <c r="E561" t="s">
        <v>110</v>
      </c>
      <c r="H561" s="53">
        <f>DATE(K561,1,1)</f>
        <v>54789</v>
      </c>
      <c r="I561" s="54">
        <f t="shared" si="50"/>
        <v>54789</v>
      </c>
      <c r="J561" t="s">
        <v>109</v>
      </c>
      <c r="K561">
        <f>K543+1</f>
        <v>2050</v>
      </c>
      <c r="L561" t="s">
        <v>110</v>
      </c>
    </row>
    <row r="562" spans="1:12" x14ac:dyDescent="0.3">
      <c r="A562" s="53">
        <f>DATE(D562,5,1)+(14-WEEKDAY(DATE(D562,5,1),2))</f>
        <v>54188</v>
      </c>
      <c r="B562" s="54">
        <f t="shared" si="49"/>
        <v>54188</v>
      </c>
      <c r="C562" t="s">
        <v>118</v>
      </c>
      <c r="D562">
        <f t="shared" si="54"/>
        <v>2048</v>
      </c>
      <c r="E562" t="s">
        <v>110</v>
      </c>
      <c r="H562" s="53">
        <f>H565-48</f>
        <v>54840</v>
      </c>
      <c r="I562" s="54">
        <f t="shared" si="50"/>
        <v>54840</v>
      </c>
      <c r="J562" t="s">
        <v>111</v>
      </c>
      <c r="K562">
        <f t="shared" ref="K562:K625" si="55">K544+1</f>
        <v>2050</v>
      </c>
      <c r="L562" t="s">
        <v>110</v>
      </c>
    </row>
    <row r="563" spans="1:12" x14ac:dyDescent="0.3">
      <c r="A563" s="53">
        <f>A558+60</f>
        <v>54213</v>
      </c>
      <c r="B563" s="54">
        <f t="shared" si="49"/>
        <v>54213</v>
      </c>
      <c r="C563" t="s">
        <v>119</v>
      </c>
      <c r="D563">
        <f t="shared" si="54"/>
        <v>2048</v>
      </c>
      <c r="E563" t="s">
        <v>110</v>
      </c>
      <c r="H563" s="53">
        <f>H565-47</f>
        <v>54841</v>
      </c>
      <c r="I563" s="54">
        <f t="shared" si="50"/>
        <v>54841</v>
      </c>
      <c r="J563" t="s">
        <v>111</v>
      </c>
      <c r="K563">
        <f t="shared" si="55"/>
        <v>2050</v>
      </c>
      <c r="L563" t="s">
        <v>110</v>
      </c>
    </row>
    <row r="564" spans="1:12" x14ac:dyDescent="0.3">
      <c r="A564" s="53">
        <f>DATE(D564,7,9)</f>
        <v>54248</v>
      </c>
      <c r="B564" s="54">
        <f t="shared" si="49"/>
        <v>54248</v>
      </c>
      <c r="C564" t="s">
        <v>120</v>
      </c>
      <c r="D564">
        <f t="shared" si="54"/>
        <v>2048</v>
      </c>
      <c r="E564" t="s">
        <v>121</v>
      </c>
      <c r="H564" s="53">
        <f>H565-2</f>
        <v>54886</v>
      </c>
      <c r="I564" s="54">
        <f t="shared" si="50"/>
        <v>54886</v>
      </c>
      <c r="J564" t="s">
        <v>112</v>
      </c>
      <c r="K564">
        <f t="shared" si="55"/>
        <v>2050</v>
      </c>
      <c r="L564" t="s">
        <v>110</v>
      </c>
    </row>
    <row r="565" spans="1:12" x14ac:dyDescent="0.3">
      <c r="A565" s="53">
        <f>DATE(D565,8,8)</f>
        <v>54278</v>
      </c>
      <c r="B565" s="54">
        <f t="shared" si="49"/>
        <v>54278</v>
      </c>
      <c r="C565" t="s">
        <v>122</v>
      </c>
      <c r="D565">
        <f t="shared" si="54"/>
        <v>2048</v>
      </c>
      <c r="E565" t="s">
        <v>115</v>
      </c>
      <c r="H565" s="53">
        <f>FLOOR(DAY(MINUTE(K565/38)/2+56)&amp;"/5"&amp;"/"&amp;K565,7)-34</f>
        <v>54888</v>
      </c>
      <c r="I565" s="54">
        <f t="shared" si="50"/>
        <v>54888</v>
      </c>
      <c r="J565" t="s">
        <v>113</v>
      </c>
      <c r="K565">
        <f t="shared" si="55"/>
        <v>2050</v>
      </c>
      <c r="L565" t="s">
        <v>110</v>
      </c>
    </row>
    <row r="566" spans="1:12" x14ac:dyDescent="0.3">
      <c r="A566" s="53">
        <f>DATE(D566,8,1)+(14-WEEKDAY(DATE(D566,8,1),2))</f>
        <v>54279</v>
      </c>
      <c r="B566" s="54">
        <f t="shared" si="49"/>
        <v>54279</v>
      </c>
      <c r="C566" t="s">
        <v>123</v>
      </c>
      <c r="D566">
        <f t="shared" si="54"/>
        <v>2048</v>
      </c>
      <c r="E566" t="s">
        <v>110</v>
      </c>
      <c r="H566" s="53">
        <f>DATE(K566,4,21)</f>
        <v>54899</v>
      </c>
      <c r="I566" s="54">
        <f t="shared" si="50"/>
        <v>54899</v>
      </c>
      <c r="J566" t="s">
        <v>116</v>
      </c>
      <c r="K566">
        <f t="shared" si="55"/>
        <v>2050</v>
      </c>
      <c r="L566" t="s">
        <v>110</v>
      </c>
    </row>
    <row r="567" spans="1:12" x14ac:dyDescent="0.3">
      <c r="A567" s="53">
        <f>DATE(D567,9,7)</f>
        <v>54308</v>
      </c>
      <c r="B567" s="54">
        <f t="shared" si="49"/>
        <v>54308</v>
      </c>
      <c r="C567" t="s">
        <v>124</v>
      </c>
      <c r="D567">
        <f t="shared" si="54"/>
        <v>2048</v>
      </c>
      <c r="E567" t="s">
        <v>110</v>
      </c>
      <c r="H567" s="53">
        <f>DATE(K567,5,1)</f>
        <v>54909</v>
      </c>
      <c r="I567" s="54">
        <f t="shared" si="50"/>
        <v>54909</v>
      </c>
      <c r="J567" t="s">
        <v>117</v>
      </c>
      <c r="K567">
        <f t="shared" si="55"/>
        <v>2050</v>
      </c>
      <c r="L567" t="s">
        <v>110</v>
      </c>
    </row>
    <row r="568" spans="1:12" x14ac:dyDescent="0.3">
      <c r="A568" s="53">
        <f>DATE(D568,10,12)</f>
        <v>54343</v>
      </c>
      <c r="B568" s="54">
        <f t="shared" si="49"/>
        <v>54343</v>
      </c>
      <c r="C568" t="s">
        <v>125</v>
      </c>
      <c r="D568">
        <f t="shared" si="54"/>
        <v>2048</v>
      </c>
      <c r="E568" t="s">
        <v>110</v>
      </c>
      <c r="H568" s="53">
        <f>DATE(K568,5,1)+(14-WEEKDAY(DATE(K568,5,1),2))</f>
        <v>54916</v>
      </c>
      <c r="I568" s="54">
        <f t="shared" si="50"/>
        <v>54916</v>
      </c>
      <c r="J568" t="s">
        <v>118</v>
      </c>
      <c r="K568">
        <f t="shared" si="55"/>
        <v>2050</v>
      </c>
      <c r="L568" t="s">
        <v>110</v>
      </c>
    </row>
    <row r="569" spans="1:12" x14ac:dyDescent="0.3">
      <c r="A569" s="53">
        <f>DATE(D569,11,2)</f>
        <v>54364</v>
      </c>
      <c r="B569" s="54">
        <f t="shared" si="49"/>
        <v>54364</v>
      </c>
      <c r="C569" t="s">
        <v>126</v>
      </c>
      <c r="D569">
        <f t="shared" si="54"/>
        <v>2048</v>
      </c>
      <c r="E569" t="s">
        <v>110</v>
      </c>
      <c r="H569" s="53">
        <f>H565+60</f>
        <v>54948</v>
      </c>
      <c r="I569" s="54">
        <f t="shared" si="50"/>
        <v>54948</v>
      </c>
      <c r="J569" t="s">
        <v>119</v>
      </c>
      <c r="K569">
        <f t="shared" si="55"/>
        <v>2050</v>
      </c>
      <c r="L569" t="s">
        <v>110</v>
      </c>
    </row>
    <row r="570" spans="1:12" x14ac:dyDescent="0.3">
      <c r="A570" s="53">
        <f>DATE(D570,11,15)</f>
        <v>54377</v>
      </c>
      <c r="B570" s="54">
        <f t="shared" si="49"/>
        <v>54377</v>
      </c>
      <c r="C570" t="s">
        <v>127</v>
      </c>
      <c r="D570">
        <f t="shared" si="54"/>
        <v>2048</v>
      </c>
      <c r="E570" t="s">
        <v>110</v>
      </c>
      <c r="H570" s="53">
        <f>DATE(K570,6,19)</f>
        <v>54958</v>
      </c>
      <c r="I570" s="54">
        <f t="shared" si="50"/>
        <v>54958</v>
      </c>
      <c r="J570" t="s">
        <v>114</v>
      </c>
      <c r="K570">
        <f t="shared" si="55"/>
        <v>2050</v>
      </c>
      <c r="L570" t="s">
        <v>115</v>
      </c>
    </row>
    <row r="571" spans="1:12" x14ac:dyDescent="0.3">
      <c r="A571" s="53">
        <f>DATE(D571,11,20)</f>
        <v>54382</v>
      </c>
      <c r="B571" s="54">
        <f t="shared" si="49"/>
        <v>54382</v>
      </c>
      <c r="C571" t="s">
        <v>128</v>
      </c>
      <c r="D571">
        <f t="shared" si="54"/>
        <v>2048</v>
      </c>
      <c r="E571" t="s">
        <v>110</v>
      </c>
      <c r="H571" s="53">
        <f>DATE(K571,7,9)</f>
        <v>54978</v>
      </c>
      <c r="I571" s="54">
        <f t="shared" si="50"/>
        <v>54978</v>
      </c>
      <c r="J571" t="s">
        <v>120</v>
      </c>
      <c r="K571">
        <f t="shared" si="55"/>
        <v>2050</v>
      </c>
      <c r="L571" t="s">
        <v>121</v>
      </c>
    </row>
    <row r="572" spans="1:12" x14ac:dyDescent="0.3">
      <c r="A572" s="53">
        <f>DATE(D572,12,25)</f>
        <v>54417</v>
      </c>
      <c r="B572" s="54">
        <f t="shared" si="49"/>
        <v>54417</v>
      </c>
      <c r="C572" t="s">
        <v>129</v>
      </c>
      <c r="D572">
        <f t="shared" si="54"/>
        <v>2048</v>
      </c>
      <c r="E572" t="s">
        <v>110</v>
      </c>
      <c r="H572" s="53">
        <f>DATE(K572,8,1)+(14-WEEKDAY(DATE(K572,8,1),2))</f>
        <v>55014</v>
      </c>
      <c r="I572" s="54">
        <f t="shared" si="50"/>
        <v>55014</v>
      </c>
      <c r="J572" t="s">
        <v>123</v>
      </c>
      <c r="K572">
        <f t="shared" si="55"/>
        <v>2050</v>
      </c>
      <c r="L572" t="s">
        <v>110</v>
      </c>
    </row>
    <row r="573" spans="1:12" x14ac:dyDescent="0.3">
      <c r="A573" s="53">
        <f>DATE(D573,1,1)</f>
        <v>54424</v>
      </c>
      <c r="B573" s="54">
        <f t="shared" si="49"/>
        <v>54424</v>
      </c>
      <c r="C573" t="s">
        <v>109</v>
      </c>
      <c r="D573">
        <f>D554+1</f>
        <v>2049</v>
      </c>
      <c r="E573" t="s">
        <v>110</v>
      </c>
      <c r="H573" s="53">
        <f>DATE(K573,9,7)</f>
        <v>55038</v>
      </c>
      <c r="I573" s="54">
        <f t="shared" si="50"/>
        <v>55038</v>
      </c>
      <c r="J573" t="s">
        <v>124</v>
      </c>
      <c r="K573">
        <f t="shared" si="55"/>
        <v>2050</v>
      </c>
      <c r="L573" t="s">
        <v>110</v>
      </c>
    </row>
    <row r="574" spans="1:12" x14ac:dyDescent="0.3">
      <c r="A574" s="53">
        <f>A577-48</f>
        <v>54483</v>
      </c>
      <c r="B574" s="54">
        <f t="shared" si="49"/>
        <v>54483</v>
      </c>
      <c r="C574" t="s">
        <v>111</v>
      </c>
      <c r="D574">
        <f t="shared" ref="D574:D591" si="56">D555+1</f>
        <v>2049</v>
      </c>
      <c r="E574" t="s">
        <v>110</v>
      </c>
      <c r="H574" s="53">
        <f>DATE(K574,10,12)</f>
        <v>55073</v>
      </c>
      <c r="I574" s="54">
        <f t="shared" si="50"/>
        <v>55073</v>
      </c>
      <c r="J574" t="s">
        <v>125</v>
      </c>
      <c r="K574">
        <f t="shared" si="55"/>
        <v>2050</v>
      </c>
      <c r="L574" t="s">
        <v>110</v>
      </c>
    </row>
    <row r="575" spans="1:12" x14ac:dyDescent="0.3">
      <c r="A575" s="53">
        <f>A577-47</f>
        <v>54484</v>
      </c>
      <c r="B575" s="54">
        <f t="shared" si="49"/>
        <v>54484</v>
      </c>
      <c r="C575" t="s">
        <v>111</v>
      </c>
      <c r="D575">
        <f t="shared" si="56"/>
        <v>2049</v>
      </c>
      <c r="E575" t="s">
        <v>110</v>
      </c>
      <c r="H575" s="53">
        <f>DATE(K575,11,2)</f>
        <v>55094</v>
      </c>
      <c r="I575" s="54">
        <f t="shared" si="50"/>
        <v>55094</v>
      </c>
      <c r="J575" t="s">
        <v>126</v>
      </c>
      <c r="K575">
        <f t="shared" si="55"/>
        <v>2050</v>
      </c>
      <c r="L575" t="s">
        <v>110</v>
      </c>
    </row>
    <row r="576" spans="1:12" x14ac:dyDescent="0.3">
      <c r="A576" s="53">
        <f>A577-2</f>
        <v>54529</v>
      </c>
      <c r="B576" s="54">
        <f t="shared" si="49"/>
        <v>54529</v>
      </c>
      <c r="C576" t="s">
        <v>112</v>
      </c>
      <c r="D576">
        <f t="shared" si="56"/>
        <v>2049</v>
      </c>
      <c r="E576" t="s">
        <v>110</v>
      </c>
      <c r="H576" s="53">
        <f>DATE(K576,11,15)</f>
        <v>55107</v>
      </c>
      <c r="I576" s="54">
        <f t="shared" si="50"/>
        <v>55107</v>
      </c>
      <c r="J576" t="s">
        <v>127</v>
      </c>
      <c r="K576">
        <f t="shared" si="55"/>
        <v>2050</v>
      </c>
      <c r="L576" t="s">
        <v>110</v>
      </c>
    </row>
    <row r="577" spans="1:12" x14ac:dyDescent="0.3">
      <c r="A577" s="53">
        <f>FLOOR(DAY(MINUTE(D577/38)/2+56)&amp;"/5"&amp;"/"&amp;D577,7)-34</f>
        <v>54531</v>
      </c>
      <c r="B577" s="54">
        <f t="shared" si="49"/>
        <v>54531</v>
      </c>
      <c r="C577" t="s">
        <v>113</v>
      </c>
      <c r="D577">
        <f t="shared" si="56"/>
        <v>2049</v>
      </c>
      <c r="E577" t="s">
        <v>110</v>
      </c>
      <c r="H577" s="53">
        <f>DATE(K577,11,20)</f>
        <v>55112</v>
      </c>
      <c r="I577" s="54">
        <f t="shared" si="50"/>
        <v>55112</v>
      </c>
      <c r="J577" t="s">
        <v>128</v>
      </c>
      <c r="K577">
        <f t="shared" si="55"/>
        <v>2050</v>
      </c>
      <c r="L577" t="s">
        <v>110</v>
      </c>
    </row>
    <row r="578" spans="1:12" x14ac:dyDescent="0.3">
      <c r="A578" s="53">
        <f>DATE(D578,4,14)</f>
        <v>54527</v>
      </c>
      <c r="B578" s="54">
        <f t="shared" si="49"/>
        <v>54527</v>
      </c>
      <c r="C578" t="s">
        <v>114</v>
      </c>
      <c r="D578">
        <f t="shared" si="56"/>
        <v>2049</v>
      </c>
      <c r="E578" t="s">
        <v>115</v>
      </c>
      <c r="H578" s="53">
        <f>DATE(K578,12,25)</f>
        <v>55147</v>
      </c>
      <c r="I578" s="54">
        <f t="shared" si="50"/>
        <v>55147</v>
      </c>
      <c r="J578" t="s">
        <v>129</v>
      </c>
      <c r="K578">
        <f t="shared" si="55"/>
        <v>2050</v>
      </c>
      <c r="L578" t="s">
        <v>110</v>
      </c>
    </row>
    <row r="579" spans="1:12" x14ac:dyDescent="0.3">
      <c r="A579" s="53">
        <f>DATE(D579,4,21)</f>
        <v>54534</v>
      </c>
      <c r="B579" s="54">
        <f t="shared" ref="B579:B642" si="57">A579</f>
        <v>54534</v>
      </c>
      <c r="C579" t="s">
        <v>116</v>
      </c>
      <c r="D579">
        <f t="shared" si="56"/>
        <v>2049</v>
      </c>
      <c r="E579" t="s">
        <v>110</v>
      </c>
      <c r="H579" s="53">
        <f>DATE(K579,1,1)</f>
        <v>55154</v>
      </c>
      <c r="I579" s="54">
        <f t="shared" si="50"/>
        <v>55154</v>
      </c>
      <c r="J579" t="s">
        <v>109</v>
      </c>
      <c r="K579">
        <f>K561+1</f>
        <v>2051</v>
      </c>
      <c r="L579" t="s">
        <v>110</v>
      </c>
    </row>
    <row r="580" spans="1:12" x14ac:dyDescent="0.3">
      <c r="A580" s="53">
        <f>DATE(D580,5,1)</f>
        <v>54544</v>
      </c>
      <c r="B580" s="54">
        <f t="shared" si="57"/>
        <v>54544</v>
      </c>
      <c r="C580" t="s">
        <v>117</v>
      </c>
      <c r="D580">
        <f t="shared" si="56"/>
        <v>2049</v>
      </c>
      <c r="E580" t="s">
        <v>110</v>
      </c>
      <c r="H580" s="53">
        <f>H583-48</f>
        <v>55197</v>
      </c>
      <c r="I580" s="54">
        <f t="shared" si="50"/>
        <v>55197</v>
      </c>
      <c r="J580" t="s">
        <v>111</v>
      </c>
      <c r="K580">
        <f t="shared" si="55"/>
        <v>2051</v>
      </c>
      <c r="L580" t="s">
        <v>110</v>
      </c>
    </row>
    <row r="581" spans="1:12" x14ac:dyDescent="0.3">
      <c r="A581" s="53">
        <f>DATE(D581,5,1)+(14-WEEKDAY(DATE(D581,5,1),2))</f>
        <v>54552</v>
      </c>
      <c r="B581" s="54">
        <f t="shared" si="57"/>
        <v>54552</v>
      </c>
      <c r="C581" t="s">
        <v>118</v>
      </c>
      <c r="D581">
        <f t="shared" si="56"/>
        <v>2049</v>
      </c>
      <c r="E581" t="s">
        <v>110</v>
      </c>
      <c r="H581" s="53">
        <f>H583-47</f>
        <v>55198</v>
      </c>
      <c r="I581" s="54">
        <f t="shared" si="50"/>
        <v>55198</v>
      </c>
      <c r="J581" t="s">
        <v>111</v>
      </c>
      <c r="K581">
        <f t="shared" si="55"/>
        <v>2051</v>
      </c>
      <c r="L581" t="s">
        <v>110</v>
      </c>
    </row>
    <row r="582" spans="1:12" x14ac:dyDescent="0.3">
      <c r="A582" s="53">
        <f>A577+60</f>
        <v>54591</v>
      </c>
      <c r="B582" s="54">
        <f t="shared" si="57"/>
        <v>54591</v>
      </c>
      <c r="C582" t="s">
        <v>119</v>
      </c>
      <c r="D582">
        <f t="shared" si="56"/>
        <v>2049</v>
      </c>
      <c r="E582" t="s">
        <v>110</v>
      </c>
      <c r="H582" s="53">
        <f>H583-2</f>
        <v>55243</v>
      </c>
      <c r="I582" s="54">
        <f t="shared" si="50"/>
        <v>55243</v>
      </c>
      <c r="J582" t="s">
        <v>112</v>
      </c>
      <c r="K582">
        <f t="shared" si="55"/>
        <v>2051</v>
      </c>
      <c r="L582" t="s">
        <v>110</v>
      </c>
    </row>
    <row r="583" spans="1:12" x14ac:dyDescent="0.3">
      <c r="A583" s="53">
        <f>DATE(D583,7,9)</f>
        <v>54613</v>
      </c>
      <c r="B583" s="54">
        <f t="shared" si="57"/>
        <v>54613</v>
      </c>
      <c r="C583" t="s">
        <v>120</v>
      </c>
      <c r="D583">
        <f t="shared" si="56"/>
        <v>2049</v>
      </c>
      <c r="E583" t="s">
        <v>121</v>
      </c>
      <c r="H583" s="53">
        <f>FLOOR(DAY(MINUTE(K583/38)/2+56)&amp;"/5"&amp;"/"&amp;K583,7)-34</f>
        <v>55245</v>
      </c>
      <c r="I583" s="54">
        <f t="shared" si="50"/>
        <v>55245</v>
      </c>
      <c r="J583" t="s">
        <v>113</v>
      </c>
      <c r="K583">
        <f t="shared" si="55"/>
        <v>2051</v>
      </c>
      <c r="L583" t="s">
        <v>110</v>
      </c>
    </row>
    <row r="584" spans="1:12" x14ac:dyDescent="0.3">
      <c r="A584" s="53">
        <f>DATE(D584,8,8)</f>
        <v>54643</v>
      </c>
      <c r="B584" s="54">
        <f t="shared" si="57"/>
        <v>54643</v>
      </c>
      <c r="C584" t="s">
        <v>122</v>
      </c>
      <c r="D584">
        <f t="shared" si="56"/>
        <v>2049</v>
      </c>
      <c r="E584" t="s">
        <v>115</v>
      </c>
      <c r="H584" s="53">
        <f>DATE(K584,4,21)</f>
        <v>55264</v>
      </c>
      <c r="I584" s="54">
        <f t="shared" ref="I584:I647" si="58">H584</f>
        <v>55264</v>
      </c>
      <c r="J584" t="s">
        <v>116</v>
      </c>
      <c r="K584">
        <f t="shared" si="55"/>
        <v>2051</v>
      </c>
      <c r="L584" t="s">
        <v>110</v>
      </c>
    </row>
    <row r="585" spans="1:12" x14ac:dyDescent="0.3">
      <c r="A585" s="53">
        <f>DATE(D585,8,1)+(14-WEEKDAY(DATE(D585,8,1),2))</f>
        <v>54643</v>
      </c>
      <c r="B585" s="54">
        <f t="shared" si="57"/>
        <v>54643</v>
      </c>
      <c r="C585" t="s">
        <v>123</v>
      </c>
      <c r="D585">
        <f t="shared" si="56"/>
        <v>2049</v>
      </c>
      <c r="E585" t="s">
        <v>110</v>
      </c>
      <c r="H585" s="53">
        <f>DATE(K585,5,1)</f>
        <v>55274</v>
      </c>
      <c r="I585" s="54">
        <f t="shared" si="58"/>
        <v>55274</v>
      </c>
      <c r="J585" t="s">
        <v>117</v>
      </c>
      <c r="K585">
        <f t="shared" si="55"/>
        <v>2051</v>
      </c>
      <c r="L585" t="s">
        <v>110</v>
      </c>
    </row>
    <row r="586" spans="1:12" x14ac:dyDescent="0.3">
      <c r="A586" s="53">
        <f>DATE(D586,9,7)</f>
        <v>54673</v>
      </c>
      <c r="B586" s="54">
        <f t="shared" si="57"/>
        <v>54673</v>
      </c>
      <c r="C586" t="s">
        <v>124</v>
      </c>
      <c r="D586">
        <f t="shared" si="56"/>
        <v>2049</v>
      </c>
      <c r="E586" t="s">
        <v>110</v>
      </c>
      <c r="H586" s="53">
        <f>DATE(K586,5,1)+(14-WEEKDAY(DATE(K586,5,1),2))</f>
        <v>55287</v>
      </c>
      <c r="I586" s="54">
        <f t="shared" si="58"/>
        <v>55287</v>
      </c>
      <c r="J586" t="s">
        <v>118</v>
      </c>
      <c r="K586">
        <f t="shared" si="55"/>
        <v>2051</v>
      </c>
      <c r="L586" t="s">
        <v>110</v>
      </c>
    </row>
    <row r="587" spans="1:12" x14ac:dyDescent="0.3">
      <c r="A587" s="53">
        <f>DATE(D587,10,12)</f>
        <v>54708</v>
      </c>
      <c r="B587" s="54">
        <f t="shared" si="57"/>
        <v>54708</v>
      </c>
      <c r="C587" t="s">
        <v>125</v>
      </c>
      <c r="D587">
        <f t="shared" si="56"/>
        <v>2049</v>
      </c>
      <c r="E587" t="s">
        <v>110</v>
      </c>
      <c r="H587" s="53">
        <f>H583+60</f>
        <v>55305</v>
      </c>
      <c r="I587" s="54">
        <f t="shared" si="58"/>
        <v>55305</v>
      </c>
      <c r="J587" t="s">
        <v>119</v>
      </c>
      <c r="K587">
        <f t="shared" si="55"/>
        <v>2051</v>
      </c>
      <c r="L587" t="s">
        <v>110</v>
      </c>
    </row>
    <row r="588" spans="1:12" x14ac:dyDescent="0.3">
      <c r="A588" s="53">
        <f>DATE(D588,11,2)</f>
        <v>54729</v>
      </c>
      <c r="B588" s="54">
        <f t="shared" si="57"/>
        <v>54729</v>
      </c>
      <c r="C588" t="s">
        <v>126</v>
      </c>
      <c r="D588">
        <f t="shared" si="56"/>
        <v>2049</v>
      </c>
      <c r="E588" t="s">
        <v>110</v>
      </c>
      <c r="H588" s="53">
        <f>DATE(K588,6,19)</f>
        <v>55323</v>
      </c>
      <c r="I588" s="54">
        <f t="shared" si="58"/>
        <v>55323</v>
      </c>
      <c r="J588" t="s">
        <v>114</v>
      </c>
      <c r="K588">
        <f t="shared" si="55"/>
        <v>2051</v>
      </c>
      <c r="L588" t="s">
        <v>115</v>
      </c>
    </row>
    <row r="589" spans="1:12" x14ac:dyDescent="0.3">
      <c r="A589" s="53">
        <f>DATE(D589,11,15)</f>
        <v>54742</v>
      </c>
      <c r="B589" s="54">
        <f t="shared" si="57"/>
        <v>54742</v>
      </c>
      <c r="C589" t="s">
        <v>127</v>
      </c>
      <c r="D589">
        <f t="shared" si="56"/>
        <v>2049</v>
      </c>
      <c r="E589" t="s">
        <v>110</v>
      </c>
      <c r="H589" s="53">
        <f>DATE(K589,7,9)</f>
        <v>55343</v>
      </c>
      <c r="I589" s="54">
        <f t="shared" si="58"/>
        <v>55343</v>
      </c>
      <c r="J589" t="s">
        <v>120</v>
      </c>
      <c r="K589">
        <f t="shared" si="55"/>
        <v>2051</v>
      </c>
      <c r="L589" t="s">
        <v>121</v>
      </c>
    </row>
    <row r="590" spans="1:12" x14ac:dyDescent="0.3">
      <c r="A590" s="53">
        <f>DATE(D590,11,20)</f>
        <v>54747</v>
      </c>
      <c r="B590" s="54">
        <f t="shared" si="57"/>
        <v>54747</v>
      </c>
      <c r="C590" t="s">
        <v>128</v>
      </c>
      <c r="D590">
        <f t="shared" si="56"/>
        <v>2049</v>
      </c>
      <c r="E590" t="s">
        <v>110</v>
      </c>
      <c r="H590" s="53">
        <f>DATE(K590,8,1)+(14-WEEKDAY(DATE(K590,8,1),2))</f>
        <v>55378</v>
      </c>
      <c r="I590" s="54">
        <f t="shared" si="58"/>
        <v>55378</v>
      </c>
      <c r="J590" t="s">
        <v>123</v>
      </c>
      <c r="K590">
        <f t="shared" si="55"/>
        <v>2051</v>
      </c>
      <c r="L590" t="s">
        <v>110</v>
      </c>
    </row>
    <row r="591" spans="1:12" x14ac:dyDescent="0.3">
      <c r="A591" s="53">
        <f>DATE(D591,12,25)</f>
        <v>54782</v>
      </c>
      <c r="B591" s="54">
        <f t="shared" si="57"/>
        <v>54782</v>
      </c>
      <c r="C591" t="s">
        <v>129</v>
      </c>
      <c r="D591">
        <f t="shared" si="56"/>
        <v>2049</v>
      </c>
      <c r="E591" t="s">
        <v>110</v>
      </c>
      <c r="H591" s="53">
        <f>DATE(K591,9,7)</f>
        <v>55403</v>
      </c>
      <c r="I591" s="54">
        <f t="shared" si="58"/>
        <v>55403</v>
      </c>
      <c r="J591" t="s">
        <v>124</v>
      </c>
      <c r="K591">
        <f t="shared" si="55"/>
        <v>2051</v>
      </c>
      <c r="L591" t="s">
        <v>110</v>
      </c>
    </row>
    <row r="592" spans="1:12" x14ac:dyDescent="0.3">
      <c r="A592" s="53">
        <f>DATE(D592,1,1)</f>
        <v>54789</v>
      </c>
      <c r="B592" s="54">
        <f t="shared" si="57"/>
        <v>54789</v>
      </c>
      <c r="C592" t="s">
        <v>109</v>
      </c>
      <c r="D592">
        <f>D573+1</f>
        <v>2050</v>
      </c>
      <c r="E592" t="s">
        <v>110</v>
      </c>
      <c r="H592" s="53">
        <f>DATE(K592,10,12)</f>
        <v>55438</v>
      </c>
      <c r="I592" s="54">
        <f t="shared" si="58"/>
        <v>55438</v>
      </c>
      <c r="J592" t="s">
        <v>125</v>
      </c>
      <c r="K592">
        <f t="shared" si="55"/>
        <v>2051</v>
      </c>
      <c r="L592" t="s">
        <v>110</v>
      </c>
    </row>
    <row r="593" spans="1:12" x14ac:dyDescent="0.3">
      <c r="A593" s="53">
        <f>A596-48</f>
        <v>54840</v>
      </c>
      <c r="B593" s="54">
        <f t="shared" si="57"/>
        <v>54840</v>
      </c>
      <c r="C593" t="s">
        <v>111</v>
      </c>
      <c r="D593">
        <f t="shared" ref="D593:D656" si="59">D574+1</f>
        <v>2050</v>
      </c>
      <c r="E593" t="s">
        <v>110</v>
      </c>
      <c r="H593" s="53">
        <f>DATE(K593,11,2)</f>
        <v>55459</v>
      </c>
      <c r="I593" s="54">
        <f t="shared" si="58"/>
        <v>55459</v>
      </c>
      <c r="J593" t="s">
        <v>126</v>
      </c>
      <c r="K593">
        <f t="shared" si="55"/>
        <v>2051</v>
      </c>
      <c r="L593" t="s">
        <v>110</v>
      </c>
    </row>
    <row r="594" spans="1:12" x14ac:dyDescent="0.3">
      <c r="A594" s="53">
        <f>A596-47</f>
        <v>54841</v>
      </c>
      <c r="B594" s="54">
        <f t="shared" si="57"/>
        <v>54841</v>
      </c>
      <c r="C594" t="s">
        <v>111</v>
      </c>
      <c r="D594">
        <f t="shared" si="59"/>
        <v>2050</v>
      </c>
      <c r="E594" t="s">
        <v>110</v>
      </c>
      <c r="H594" s="53">
        <f>DATE(K594,11,15)</f>
        <v>55472</v>
      </c>
      <c r="I594" s="54">
        <f t="shared" si="58"/>
        <v>55472</v>
      </c>
      <c r="J594" t="s">
        <v>127</v>
      </c>
      <c r="K594">
        <f t="shared" si="55"/>
        <v>2051</v>
      </c>
      <c r="L594" t="s">
        <v>110</v>
      </c>
    </row>
    <row r="595" spans="1:12" x14ac:dyDescent="0.3">
      <c r="A595" s="53">
        <f>A596-2</f>
        <v>54886</v>
      </c>
      <c r="B595" s="54">
        <f t="shared" si="57"/>
        <v>54886</v>
      </c>
      <c r="C595" t="s">
        <v>112</v>
      </c>
      <c r="D595">
        <f t="shared" si="59"/>
        <v>2050</v>
      </c>
      <c r="E595" t="s">
        <v>110</v>
      </c>
      <c r="H595" s="53">
        <f>DATE(K595,11,20)</f>
        <v>55477</v>
      </c>
      <c r="I595" s="54">
        <f t="shared" si="58"/>
        <v>55477</v>
      </c>
      <c r="J595" t="s">
        <v>128</v>
      </c>
      <c r="K595">
        <f t="shared" si="55"/>
        <v>2051</v>
      </c>
      <c r="L595" t="s">
        <v>110</v>
      </c>
    </row>
    <row r="596" spans="1:12" x14ac:dyDescent="0.3">
      <c r="A596" s="53">
        <f>FLOOR(DAY(MINUTE(D596/38)/2+56)&amp;"/5"&amp;"/"&amp;D596,7)-34</f>
        <v>54888</v>
      </c>
      <c r="B596" s="54">
        <f t="shared" si="57"/>
        <v>54888</v>
      </c>
      <c r="C596" t="s">
        <v>113</v>
      </c>
      <c r="D596">
        <f t="shared" si="59"/>
        <v>2050</v>
      </c>
      <c r="E596" t="s">
        <v>110</v>
      </c>
      <c r="H596" s="53">
        <f>DATE(K596,12,25)</f>
        <v>55512</v>
      </c>
      <c r="I596" s="54">
        <f t="shared" si="58"/>
        <v>55512</v>
      </c>
      <c r="J596" t="s">
        <v>129</v>
      </c>
      <c r="K596">
        <f t="shared" si="55"/>
        <v>2051</v>
      </c>
      <c r="L596" t="s">
        <v>110</v>
      </c>
    </row>
    <row r="597" spans="1:12" x14ac:dyDescent="0.3">
      <c r="A597" s="53">
        <f>DATE(D597,4,14)</f>
        <v>54892</v>
      </c>
      <c r="B597" s="54">
        <f t="shared" si="57"/>
        <v>54892</v>
      </c>
      <c r="C597" t="s">
        <v>114</v>
      </c>
      <c r="D597">
        <f t="shared" si="59"/>
        <v>2050</v>
      </c>
      <c r="E597" t="s">
        <v>115</v>
      </c>
      <c r="H597" s="53">
        <f>DATE(K597,1,1)</f>
        <v>55519</v>
      </c>
      <c r="I597" s="54">
        <f t="shared" si="58"/>
        <v>55519</v>
      </c>
      <c r="J597" t="s">
        <v>109</v>
      </c>
      <c r="K597">
        <f>K579+1</f>
        <v>2052</v>
      </c>
      <c r="L597" t="s">
        <v>110</v>
      </c>
    </row>
    <row r="598" spans="1:12" x14ac:dyDescent="0.3">
      <c r="A598" s="53">
        <f>DATE(D598,4,21)</f>
        <v>54899</v>
      </c>
      <c r="B598" s="54">
        <f t="shared" si="57"/>
        <v>54899</v>
      </c>
      <c r="C598" t="s">
        <v>116</v>
      </c>
      <c r="D598">
        <f t="shared" si="59"/>
        <v>2050</v>
      </c>
      <c r="E598" t="s">
        <v>110</v>
      </c>
      <c r="H598" s="53">
        <f>H601-48</f>
        <v>55582</v>
      </c>
      <c r="I598" s="54">
        <f t="shared" si="58"/>
        <v>55582</v>
      </c>
      <c r="J598" t="s">
        <v>111</v>
      </c>
      <c r="K598">
        <f t="shared" si="55"/>
        <v>2052</v>
      </c>
      <c r="L598" t="s">
        <v>110</v>
      </c>
    </row>
    <row r="599" spans="1:12" x14ac:dyDescent="0.3">
      <c r="A599" s="53">
        <f>DATE(D599,5,1)</f>
        <v>54909</v>
      </c>
      <c r="B599" s="54">
        <f t="shared" si="57"/>
        <v>54909</v>
      </c>
      <c r="C599" t="s">
        <v>117</v>
      </c>
      <c r="D599">
        <f t="shared" si="59"/>
        <v>2050</v>
      </c>
      <c r="E599" t="s">
        <v>110</v>
      </c>
      <c r="H599" s="53">
        <f>H601-47</f>
        <v>55583</v>
      </c>
      <c r="I599" s="54">
        <f t="shared" si="58"/>
        <v>55583</v>
      </c>
      <c r="J599" t="s">
        <v>111</v>
      </c>
      <c r="K599">
        <f t="shared" si="55"/>
        <v>2052</v>
      </c>
      <c r="L599" t="s">
        <v>110</v>
      </c>
    </row>
    <row r="600" spans="1:12" x14ac:dyDescent="0.3">
      <c r="A600" s="53">
        <f>DATE(D600,5,1)+(14-WEEKDAY(DATE(D600,5,1),2))</f>
        <v>54916</v>
      </c>
      <c r="B600" s="54">
        <f t="shared" si="57"/>
        <v>54916</v>
      </c>
      <c r="C600" t="s">
        <v>118</v>
      </c>
      <c r="D600">
        <f t="shared" si="59"/>
        <v>2050</v>
      </c>
      <c r="E600" t="s">
        <v>110</v>
      </c>
      <c r="H600" s="53">
        <f>H601-2</f>
        <v>55628</v>
      </c>
      <c r="I600" s="54">
        <f t="shared" si="58"/>
        <v>55628</v>
      </c>
      <c r="J600" t="s">
        <v>112</v>
      </c>
      <c r="K600">
        <f t="shared" si="55"/>
        <v>2052</v>
      </c>
      <c r="L600" t="s">
        <v>110</v>
      </c>
    </row>
    <row r="601" spans="1:12" x14ac:dyDescent="0.3">
      <c r="A601" s="53">
        <f>A596+60</f>
        <v>54948</v>
      </c>
      <c r="B601" s="54">
        <f t="shared" si="57"/>
        <v>54948</v>
      </c>
      <c r="C601" t="s">
        <v>119</v>
      </c>
      <c r="D601">
        <f t="shared" si="59"/>
        <v>2050</v>
      </c>
      <c r="E601" t="s">
        <v>110</v>
      </c>
      <c r="H601" s="53">
        <f>FLOOR(DAY(MINUTE(K601/38)/2+56)&amp;"/5"&amp;"/"&amp;K601,7)-34</f>
        <v>55630</v>
      </c>
      <c r="I601" s="54">
        <f t="shared" si="58"/>
        <v>55630</v>
      </c>
      <c r="J601" t="s">
        <v>113</v>
      </c>
      <c r="K601">
        <f t="shared" si="55"/>
        <v>2052</v>
      </c>
      <c r="L601" t="s">
        <v>110</v>
      </c>
    </row>
    <row r="602" spans="1:12" x14ac:dyDescent="0.3">
      <c r="A602" s="53">
        <f>DATE(D602,7,9)</f>
        <v>54978</v>
      </c>
      <c r="B602" s="54">
        <f t="shared" si="57"/>
        <v>54978</v>
      </c>
      <c r="C602" t="s">
        <v>120</v>
      </c>
      <c r="D602">
        <f t="shared" si="59"/>
        <v>2050</v>
      </c>
      <c r="E602" t="s">
        <v>121</v>
      </c>
      <c r="H602" s="53">
        <f>DATE(K602,4,21)</f>
        <v>55630</v>
      </c>
      <c r="I602" s="54">
        <f t="shared" si="58"/>
        <v>55630</v>
      </c>
      <c r="J602" t="s">
        <v>116</v>
      </c>
      <c r="K602">
        <f t="shared" si="55"/>
        <v>2052</v>
      </c>
      <c r="L602" t="s">
        <v>110</v>
      </c>
    </row>
    <row r="603" spans="1:12" x14ac:dyDescent="0.3">
      <c r="A603" s="53">
        <f>DATE(D603,8,8)</f>
        <v>55008</v>
      </c>
      <c r="B603" s="54">
        <f t="shared" si="57"/>
        <v>55008</v>
      </c>
      <c r="C603" t="s">
        <v>122</v>
      </c>
      <c r="D603">
        <f t="shared" si="59"/>
        <v>2050</v>
      </c>
      <c r="E603" t="s">
        <v>115</v>
      </c>
      <c r="H603" s="53">
        <f>DATE(K603,5,1)</f>
        <v>55640</v>
      </c>
      <c r="I603" s="54">
        <f t="shared" si="58"/>
        <v>55640</v>
      </c>
      <c r="J603" t="s">
        <v>117</v>
      </c>
      <c r="K603">
        <f t="shared" si="55"/>
        <v>2052</v>
      </c>
      <c r="L603" t="s">
        <v>110</v>
      </c>
    </row>
    <row r="604" spans="1:12" x14ac:dyDescent="0.3">
      <c r="A604" s="53">
        <f>DATE(D604,8,1)+(14-WEEKDAY(DATE(D604,8,1),2))</f>
        <v>55014</v>
      </c>
      <c r="B604" s="54">
        <f t="shared" si="57"/>
        <v>55014</v>
      </c>
      <c r="C604" t="s">
        <v>123</v>
      </c>
      <c r="D604">
        <f t="shared" si="59"/>
        <v>2050</v>
      </c>
      <c r="E604" t="s">
        <v>110</v>
      </c>
      <c r="H604" s="53">
        <f>DATE(K604,5,1)+(14-WEEKDAY(DATE(K604,5,1),2))</f>
        <v>55651</v>
      </c>
      <c r="I604" s="54">
        <f t="shared" si="58"/>
        <v>55651</v>
      </c>
      <c r="J604" t="s">
        <v>118</v>
      </c>
      <c r="K604">
        <f t="shared" si="55"/>
        <v>2052</v>
      </c>
      <c r="L604" t="s">
        <v>110</v>
      </c>
    </row>
    <row r="605" spans="1:12" x14ac:dyDescent="0.3">
      <c r="A605" s="53">
        <f>DATE(D605,9,7)</f>
        <v>55038</v>
      </c>
      <c r="B605" s="54">
        <f t="shared" si="57"/>
        <v>55038</v>
      </c>
      <c r="C605" t="s">
        <v>124</v>
      </c>
      <c r="D605">
        <f t="shared" si="59"/>
        <v>2050</v>
      </c>
      <c r="E605" t="s">
        <v>110</v>
      </c>
      <c r="H605" s="53">
        <f>H601+60</f>
        <v>55690</v>
      </c>
      <c r="I605" s="54">
        <f t="shared" si="58"/>
        <v>55690</v>
      </c>
      <c r="J605" t="s">
        <v>119</v>
      </c>
      <c r="K605">
        <f t="shared" si="55"/>
        <v>2052</v>
      </c>
      <c r="L605" t="s">
        <v>110</v>
      </c>
    </row>
    <row r="606" spans="1:12" x14ac:dyDescent="0.3">
      <c r="A606" s="53">
        <f>DATE(D606,10,12)</f>
        <v>55073</v>
      </c>
      <c r="B606" s="54">
        <f t="shared" si="57"/>
        <v>55073</v>
      </c>
      <c r="C606" t="s">
        <v>125</v>
      </c>
      <c r="D606">
        <f t="shared" si="59"/>
        <v>2050</v>
      </c>
      <c r="E606" t="s">
        <v>110</v>
      </c>
      <c r="H606" s="53">
        <f>DATE(K606,6,19)</f>
        <v>55689</v>
      </c>
      <c r="I606" s="54">
        <f t="shared" si="58"/>
        <v>55689</v>
      </c>
      <c r="J606" t="s">
        <v>114</v>
      </c>
      <c r="K606">
        <f t="shared" si="55"/>
        <v>2052</v>
      </c>
      <c r="L606" t="s">
        <v>115</v>
      </c>
    </row>
    <row r="607" spans="1:12" x14ac:dyDescent="0.3">
      <c r="A607" s="53">
        <f>DATE(D607,11,2)</f>
        <v>55094</v>
      </c>
      <c r="B607" s="54">
        <f t="shared" si="57"/>
        <v>55094</v>
      </c>
      <c r="C607" t="s">
        <v>126</v>
      </c>
      <c r="D607">
        <f t="shared" si="59"/>
        <v>2050</v>
      </c>
      <c r="E607" t="s">
        <v>110</v>
      </c>
      <c r="H607" s="53">
        <f>DATE(K607,7,9)</f>
        <v>55709</v>
      </c>
      <c r="I607" s="54">
        <f t="shared" si="58"/>
        <v>55709</v>
      </c>
      <c r="J607" t="s">
        <v>120</v>
      </c>
      <c r="K607">
        <f t="shared" si="55"/>
        <v>2052</v>
      </c>
      <c r="L607" t="s">
        <v>121</v>
      </c>
    </row>
    <row r="608" spans="1:12" x14ac:dyDescent="0.3">
      <c r="A608" s="53">
        <f>DATE(D608,11,15)</f>
        <v>55107</v>
      </c>
      <c r="B608" s="54">
        <f t="shared" si="57"/>
        <v>55107</v>
      </c>
      <c r="C608" t="s">
        <v>127</v>
      </c>
      <c r="D608">
        <f t="shared" si="59"/>
        <v>2050</v>
      </c>
      <c r="E608" t="s">
        <v>110</v>
      </c>
      <c r="H608" s="53">
        <f>DATE(K608,8,1)+(14-WEEKDAY(DATE(K608,8,1),2))</f>
        <v>55742</v>
      </c>
      <c r="I608" s="54">
        <f t="shared" si="58"/>
        <v>55742</v>
      </c>
      <c r="J608" t="s">
        <v>123</v>
      </c>
      <c r="K608">
        <f t="shared" si="55"/>
        <v>2052</v>
      </c>
      <c r="L608" t="s">
        <v>110</v>
      </c>
    </row>
    <row r="609" spans="1:12" x14ac:dyDescent="0.3">
      <c r="A609" s="53">
        <f>DATE(D609,11,20)</f>
        <v>55112</v>
      </c>
      <c r="B609" s="54">
        <f t="shared" si="57"/>
        <v>55112</v>
      </c>
      <c r="C609" t="s">
        <v>128</v>
      </c>
      <c r="D609">
        <f t="shared" si="59"/>
        <v>2050</v>
      </c>
      <c r="E609" t="s">
        <v>110</v>
      </c>
      <c r="H609" s="53">
        <f>DATE(K609,9,7)</f>
        <v>55769</v>
      </c>
      <c r="I609" s="54">
        <f t="shared" si="58"/>
        <v>55769</v>
      </c>
      <c r="J609" t="s">
        <v>124</v>
      </c>
      <c r="K609">
        <f t="shared" si="55"/>
        <v>2052</v>
      </c>
      <c r="L609" t="s">
        <v>110</v>
      </c>
    </row>
    <row r="610" spans="1:12" x14ac:dyDescent="0.3">
      <c r="A610" s="53">
        <f>DATE(D610,12,25)</f>
        <v>55147</v>
      </c>
      <c r="B610" s="54">
        <f t="shared" si="57"/>
        <v>55147</v>
      </c>
      <c r="C610" t="s">
        <v>129</v>
      </c>
      <c r="D610">
        <f t="shared" si="59"/>
        <v>2050</v>
      </c>
      <c r="E610" t="s">
        <v>110</v>
      </c>
      <c r="H610" s="53">
        <f>DATE(K610,10,12)</f>
        <v>55804</v>
      </c>
      <c r="I610" s="54">
        <f t="shared" si="58"/>
        <v>55804</v>
      </c>
      <c r="J610" t="s">
        <v>125</v>
      </c>
      <c r="K610">
        <f t="shared" si="55"/>
        <v>2052</v>
      </c>
      <c r="L610" t="s">
        <v>110</v>
      </c>
    </row>
    <row r="611" spans="1:12" x14ac:dyDescent="0.3">
      <c r="A611" s="53">
        <f>DATE(D611,1,1)</f>
        <v>55154</v>
      </c>
      <c r="B611" s="54">
        <f t="shared" si="57"/>
        <v>55154</v>
      </c>
      <c r="C611" t="s">
        <v>109</v>
      </c>
      <c r="D611">
        <f>D592+1</f>
        <v>2051</v>
      </c>
      <c r="E611" t="s">
        <v>110</v>
      </c>
      <c r="H611" s="53">
        <f>DATE(K611,11,2)</f>
        <v>55825</v>
      </c>
      <c r="I611" s="54">
        <f t="shared" si="58"/>
        <v>55825</v>
      </c>
      <c r="J611" t="s">
        <v>126</v>
      </c>
      <c r="K611">
        <f t="shared" si="55"/>
        <v>2052</v>
      </c>
      <c r="L611" t="s">
        <v>110</v>
      </c>
    </row>
    <row r="612" spans="1:12" x14ac:dyDescent="0.3">
      <c r="A612" s="53">
        <f>A615-48</f>
        <v>55197</v>
      </c>
      <c r="B612" s="54">
        <f t="shared" si="57"/>
        <v>55197</v>
      </c>
      <c r="C612" t="s">
        <v>111</v>
      </c>
      <c r="D612">
        <f t="shared" si="59"/>
        <v>2051</v>
      </c>
      <c r="E612" t="s">
        <v>110</v>
      </c>
      <c r="H612" s="53">
        <f>DATE(K612,11,15)</f>
        <v>55838</v>
      </c>
      <c r="I612" s="54">
        <f t="shared" si="58"/>
        <v>55838</v>
      </c>
      <c r="J612" t="s">
        <v>127</v>
      </c>
      <c r="K612">
        <f t="shared" si="55"/>
        <v>2052</v>
      </c>
      <c r="L612" t="s">
        <v>110</v>
      </c>
    </row>
    <row r="613" spans="1:12" x14ac:dyDescent="0.3">
      <c r="A613" s="53">
        <f>A615-47</f>
        <v>55198</v>
      </c>
      <c r="B613" s="54">
        <f t="shared" si="57"/>
        <v>55198</v>
      </c>
      <c r="C613" t="s">
        <v>111</v>
      </c>
      <c r="D613">
        <f t="shared" si="59"/>
        <v>2051</v>
      </c>
      <c r="E613" t="s">
        <v>110</v>
      </c>
      <c r="H613" s="53">
        <f>DATE(K613,11,20)</f>
        <v>55843</v>
      </c>
      <c r="I613" s="54">
        <f t="shared" si="58"/>
        <v>55843</v>
      </c>
      <c r="J613" t="s">
        <v>128</v>
      </c>
      <c r="K613">
        <f t="shared" si="55"/>
        <v>2052</v>
      </c>
      <c r="L613" t="s">
        <v>110</v>
      </c>
    </row>
    <row r="614" spans="1:12" x14ac:dyDescent="0.3">
      <c r="A614" s="53">
        <f>A615-2</f>
        <v>55243</v>
      </c>
      <c r="B614" s="54">
        <f t="shared" si="57"/>
        <v>55243</v>
      </c>
      <c r="C614" t="s">
        <v>112</v>
      </c>
      <c r="D614">
        <f t="shared" si="59"/>
        <v>2051</v>
      </c>
      <c r="E614" t="s">
        <v>110</v>
      </c>
      <c r="H614" s="53">
        <f>DATE(K614,12,25)</f>
        <v>55878</v>
      </c>
      <c r="I614" s="54">
        <f t="shared" si="58"/>
        <v>55878</v>
      </c>
      <c r="J614" t="s">
        <v>129</v>
      </c>
      <c r="K614">
        <f t="shared" si="55"/>
        <v>2052</v>
      </c>
      <c r="L614" t="s">
        <v>110</v>
      </c>
    </row>
    <row r="615" spans="1:12" x14ac:dyDescent="0.3">
      <c r="A615" s="53">
        <f>FLOOR(DAY(MINUTE(D615/38)/2+56)&amp;"/5"&amp;"/"&amp;D615,7)-34</f>
        <v>55245</v>
      </c>
      <c r="B615" s="54">
        <f t="shared" si="57"/>
        <v>55245</v>
      </c>
      <c r="C615" t="s">
        <v>113</v>
      </c>
      <c r="D615">
        <f t="shared" si="59"/>
        <v>2051</v>
      </c>
      <c r="E615" t="s">
        <v>110</v>
      </c>
      <c r="H615" s="53">
        <f>DATE(K615,1,1)</f>
        <v>55885</v>
      </c>
      <c r="I615" s="54">
        <f t="shared" si="58"/>
        <v>55885</v>
      </c>
      <c r="J615" t="s">
        <v>109</v>
      </c>
      <c r="K615">
        <f>K597+1</f>
        <v>2053</v>
      </c>
      <c r="L615" t="s">
        <v>110</v>
      </c>
    </row>
    <row r="616" spans="1:12" x14ac:dyDescent="0.3">
      <c r="A616" s="53">
        <f>DATE(D616,4,14)</f>
        <v>55257</v>
      </c>
      <c r="B616" s="54">
        <f t="shared" si="57"/>
        <v>55257</v>
      </c>
      <c r="C616" t="s">
        <v>114</v>
      </c>
      <c r="D616">
        <f t="shared" si="59"/>
        <v>2051</v>
      </c>
      <c r="E616" t="s">
        <v>115</v>
      </c>
      <c r="H616" s="53">
        <f>H619-48</f>
        <v>55932</v>
      </c>
      <c r="I616" s="54">
        <f t="shared" si="58"/>
        <v>55932</v>
      </c>
      <c r="J616" t="s">
        <v>111</v>
      </c>
      <c r="K616">
        <f t="shared" si="55"/>
        <v>2053</v>
      </c>
      <c r="L616" t="s">
        <v>110</v>
      </c>
    </row>
    <row r="617" spans="1:12" x14ac:dyDescent="0.3">
      <c r="A617" s="53">
        <f>DATE(D617,4,21)</f>
        <v>55264</v>
      </c>
      <c r="B617" s="54">
        <f t="shared" si="57"/>
        <v>55264</v>
      </c>
      <c r="C617" t="s">
        <v>116</v>
      </c>
      <c r="D617">
        <f t="shared" si="59"/>
        <v>2051</v>
      </c>
      <c r="E617" t="s">
        <v>110</v>
      </c>
      <c r="H617" s="53">
        <f>H619-47</f>
        <v>55933</v>
      </c>
      <c r="I617" s="54">
        <f t="shared" si="58"/>
        <v>55933</v>
      </c>
      <c r="J617" t="s">
        <v>111</v>
      </c>
      <c r="K617">
        <f t="shared" si="55"/>
        <v>2053</v>
      </c>
      <c r="L617" t="s">
        <v>110</v>
      </c>
    </row>
    <row r="618" spans="1:12" x14ac:dyDescent="0.3">
      <c r="A618" s="53">
        <f>DATE(D618,5,1)</f>
        <v>55274</v>
      </c>
      <c r="B618" s="54">
        <f t="shared" si="57"/>
        <v>55274</v>
      </c>
      <c r="C618" t="s">
        <v>117</v>
      </c>
      <c r="D618">
        <f t="shared" si="59"/>
        <v>2051</v>
      </c>
      <c r="E618" t="s">
        <v>110</v>
      </c>
      <c r="H618" s="53">
        <f>H619-2</f>
        <v>55978</v>
      </c>
      <c r="I618" s="54">
        <f t="shared" si="58"/>
        <v>55978</v>
      </c>
      <c r="J618" t="s">
        <v>112</v>
      </c>
      <c r="K618">
        <f t="shared" si="55"/>
        <v>2053</v>
      </c>
      <c r="L618" t="s">
        <v>110</v>
      </c>
    </row>
    <row r="619" spans="1:12" x14ac:dyDescent="0.3">
      <c r="A619" s="53">
        <f>DATE(D619,5,1)+(14-WEEKDAY(DATE(D619,5,1),2))</f>
        <v>55287</v>
      </c>
      <c r="B619" s="54">
        <f t="shared" si="57"/>
        <v>55287</v>
      </c>
      <c r="C619" t="s">
        <v>118</v>
      </c>
      <c r="D619">
        <f t="shared" si="59"/>
        <v>2051</v>
      </c>
      <c r="E619" t="s">
        <v>110</v>
      </c>
      <c r="H619" s="53">
        <f>FLOOR(DAY(MINUTE(K619/38)/2+56)&amp;"/5"&amp;"/"&amp;K619,7)-34</f>
        <v>55980</v>
      </c>
      <c r="I619" s="54">
        <f t="shared" si="58"/>
        <v>55980</v>
      </c>
      <c r="J619" t="s">
        <v>113</v>
      </c>
      <c r="K619">
        <f t="shared" si="55"/>
        <v>2053</v>
      </c>
      <c r="L619" t="s">
        <v>110</v>
      </c>
    </row>
    <row r="620" spans="1:12" x14ac:dyDescent="0.3">
      <c r="A620" s="53">
        <f>A615+60</f>
        <v>55305</v>
      </c>
      <c r="B620" s="54">
        <f t="shared" si="57"/>
        <v>55305</v>
      </c>
      <c r="C620" t="s">
        <v>119</v>
      </c>
      <c r="D620">
        <f t="shared" si="59"/>
        <v>2051</v>
      </c>
      <c r="E620" t="s">
        <v>110</v>
      </c>
      <c r="H620" s="53">
        <f>DATE(K620,4,21)</f>
        <v>55995</v>
      </c>
      <c r="I620" s="54">
        <f t="shared" si="58"/>
        <v>55995</v>
      </c>
      <c r="J620" t="s">
        <v>116</v>
      </c>
      <c r="K620">
        <f t="shared" si="55"/>
        <v>2053</v>
      </c>
      <c r="L620" t="s">
        <v>110</v>
      </c>
    </row>
    <row r="621" spans="1:12" x14ac:dyDescent="0.3">
      <c r="A621" s="53">
        <f>DATE(D621,7,9)</f>
        <v>55343</v>
      </c>
      <c r="B621" s="54">
        <f t="shared" si="57"/>
        <v>55343</v>
      </c>
      <c r="C621" t="s">
        <v>120</v>
      </c>
      <c r="D621">
        <f t="shared" si="59"/>
        <v>2051</v>
      </c>
      <c r="E621" t="s">
        <v>121</v>
      </c>
      <c r="H621" s="53">
        <f>DATE(K621,5,1)</f>
        <v>56005</v>
      </c>
      <c r="I621" s="54">
        <f t="shared" si="58"/>
        <v>56005</v>
      </c>
      <c r="J621" t="s">
        <v>117</v>
      </c>
      <c r="K621">
        <f t="shared" si="55"/>
        <v>2053</v>
      </c>
      <c r="L621" t="s">
        <v>110</v>
      </c>
    </row>
    <row r="622" spans="1:12" x14ac:dyDescent="0.3">
      <c r="A622" s="53">
        <f>DATE(D622,8,8)</f>
        <v>55373</v>
      </c>
      <c r="B622" s="54">
        <f t="shared" si="57"/>
        <v>55373</v>
      </c>
      <c r="C622" t="s">
        <v>122</v>
      </c>
      <c r="D622">
        <f t="shared" si="59"/>
        <v>2051</v>
      </c>
      <c r="E622" t="s">
        <v>115</v>
      </c>
      <c r="H622" s="53">
        <f>DATE(K622,5,1)+(14-WEEKDAY(DATE(K622,5,1),2))</f>
        <v>56015</v>
      </c>
      <c r="I622" s="54">
        <f t="shared" si="58"/>
        <v>56015</v>
      </c>
      <c r="J622" t="s">
        <v>118</v>
      </c>
      <c r="K622">
        <f t="shared" si="55"/>
        <v>2053</v>
      </c>
      <c r="L622" t="s">
        <v>110</v>
      </c>
    </row>
    <row r="623" spans="1:12" x14ac:dyDescent="0.3">
      <c r="A623" s="53">
        <f>DATE(D623,8,1)+(14-WEEKDAY(DATE(D623,8,1),2))</f>
        <v>55378</v>
      </c>
      <c r="B623" s="54">
        <f t="shared" si="57"/>
        <v>55378</v>
      </c>
      <c r="C623" t="s">
        <v>123</v>
      </c>
      <c r="D623">
        <f t="shared" si="59"/>
        <v>2051</v>
      </c>
      <c r="E623" t="s">
        <v>110</v>
      </c>
      <c r="H623" s="53">
        <f>H619+60</f>
        <v>56040</v>
      </c>
      <c r="I623" s="54">
        <f t="shared" si="58"/>
        <v>56040</v>
      </c>
      <c r="J623" t="s">
        <v>119</v>
      </c>
      <c r="K623">
        <f t="shared" si="55"/>
        <v>2053</v>
      </c>
      <c r="L623" t="s">
        <v>110</v>
      </c>
    </row>
    <row r="624" spans="1:12" x14ac:dyDescent="0.3">
      <c r="A624" s="53">
        <f>DATE(D624,9,7)</f>
        <v>55403</v>
      </c>
      <c r="B624" s="54">
        <f t="shared" si="57"/>
        <v>55403</v>
      </c>
      <c r="C624" t="s">
        <v>124</v>
      </c>
      <c r="D624">
        <f t="shared" si="59"/>
        <v>2051</v>
      </c>
      <c r="E624" t="s">
        <v>110</v>
      </c>
      <c r="H624" s="53">
        <f>DATE(K624,6,19)</f>
        <v>56054</v>
      </c>
      <c r="I624" s="54">
        <f t="shared" si="58"/>
        <v>56054</v>
      </c>
      <c r="J624" t="s">
        <v>114</v>
      </c>
      <c r="K624">
        <f t="shared" si="55"/>
        <v>2053</v>
      </c>
      <c r="L624" t="s">
        <v>115</v>
      </c>
    </row>
    <row r="625" spans="1:12" x14ac:dyDescent="0.3">
      <c r="A625" s="53">
        <f>DATE(D625,10,12)</f>
        <v>55438</v>
      </c>
      <c r="B625" s="54">
        <f t="shared" si="57"/>
        <v>55438</v>
      </c>
      <c r="C625" t="s">
        <v>125</v>
      </c>
      <c r="D625">
        <f t="shared" si="59"/>
        <v>2051</v>
      </c>
      <c r="E625" t="s">
        <v>110</v>
      </c>
      <c r="H625" s="53">
        <f>DATE(K625,7,9)</f>
        <v>56074</v>
      </c>
      <c r="I625" s="54">
        <f t="shared" si="58"/>
        <v>56074</v>
      </c>
      <c r="J625" t="s">
        <v>120</v>
      </c>
      <c r="K625">
        <f t="shared" si="55"/>
        <v>2053</v>
      </c>
      <c r="L625" t="s">
        <v>121</v>
      </c>
    </row>
    <row r="626" spans="1:12" x14ac:dyDescent="0.3">
      <c r="A626" s="53">
        <f>DATE(D626,11,2)</f>
        <v>55459</v>
      </c>
      <c r="B626" s="54">
        <f t="shared" si="57"/>
        <v>55459</v>
      </c>
      <c r="C626" t="s">
        <v>126</v>
      </c>
      <c r="D626">
        <f t="shared" si="59"/>
        <v>2051</v>
      </c>
      <c r="E626" t="s">
        <v>110</v>
      </c>
      <c r="H626" s="53">
        <f>DATE(K626,8,1)+(14-WEEKDAY(DATE(K626,8,1),2))</f>
        <v>56106</v>
      </c>
      <c r="I626" s="54">
        <f t="shared" si="58"/>
        <v>56106</v>
      </c>
      <c r="J626" t="s">
        <v>123</v>
      </c>
      <c r="K626">
        <f t="shared" ref="K626:K632" si="60">K608+1</f>
        <v>2053</v>
      </c>
      <c r="L626" t="s">
        <v>110</v>
      </c>
    </row>
    <row r="627" spans="1:12" x14ac:dyDescent="0.3">
      <c r="A627" s="53">
        <f>DATE(D627,11,15)</f>
        <v>55472</v>
      </c>
      <c r="B627" s="54">
        <f t="shared" si="57"/>
        <v>55472</v>
      </c>
      <c r="C627" t="s">
        <v>127</v>
      </c>
      <c r="D627">
        <f t="shared" si="59"/>
        <v>2051</v>
      </c>
      <c r="E627" t="s">
        <v>110</v>
      </c>
      <c r="H627" s="53">
        <f>DATE(K627,9,7)</f>
        <v>56134</v>
      </c>
      <c r="I627" s="54">
        <f t="shared" si="58"/>
        <v>56134</v>
      </c>
      <c r="J627" t="s">
        <v>124</v>
      </c>
      <c r="K627">
        <f t="shared" si="60"/>
        <v>2053</v>
      </c>
      <c r="L627" t="s">
        <v>110</v>
      </c>
    </row>
    <row r="628" spans="1:12" x14ac:dyDescent="0.3">
      <c r="A628" s="53">
        <f>DATE(D628,11,20)</f>
        <v>55477</v>
      </c>
      <c r="B628" s="54">
        <f t="shared" si="57"/>
        <v>55477</v>
      </c>
      <c r="C628" t="s">
        <v>128</v>
      </c>
      <c r="D628">
        <f t="shared" si="59"/>
        <v>2051</v>
      </c>
      <c r="E628" t="s">
        <v>110</v>
      </c>
      <c r="H628" s="53">
        <f>DATE(K628,10,12)</f>
        <v>56169</v>
      </c>
      <c r="I628" s="54">
        <f t="shared" si="58"/>
        <v>56169</v>
      </c>
      <c r="J628" t="s">
        <v>125</v>
      </c>
      <c r="K628">
        <f t="shared" si="60"/>
        <v>2053</v>
      </c>
      <c r="L628" t="s">
        <v>110</v>
      </c>
    </row>
    <row r="629" spans="1:12" x14ac:dyDescent="0.3">
      <c r="A629" s="53">
        <f>DATE(D629,12,25)</f>
        <v>55512</v>
      </c>
      <c r="B629" s="54">
        <f t="shared" si="57"/>
        <v>55512</v>
      </c>
      <c r="C629" t="s">
        <v>129</v>
      </c>
      <c r="D629">
        <f t="shared" si="59"/>
        <v>2051</v>
      </c>
      <c r="E629" t="s">
        <v>110</v>
      </c>
      <c r="H629" s="53">
        <f>DATE(K629,11,2)</f>
        <v>56190</v>
      </c>
      <c r="I629" s="54">
        <f t="shared" si="58"/>
        <v>56190</v>
      </c>
      <c r="J629" t="s">
        <v>126</v>
      </c>
      <c r="K629">
        <f t="shared" si="60"/>
        <v>2053</v>
      </c>
      <c r="L629" t="s">
        <v>110</v>
      </c>
    </row>
    <row r="630" spans="1:12" x14ac:dyDescent="0.3">
      <c r="A630" s="53">
        <f>DATE(D630,1,1)</f>
        <v>55519</v>
      </c>
      <c r="B630" s="54">
        <f t="shared" si="57"/>
        <v>55519</v>
      </c>
      <c r="C630" t="s">
        <v>109</v>
      </c>
      <c r="D630">
        <f>D611+1</f>
        <v>2052</v>
      </c>
      <c r="E630" t="s">
        <v>110</v>
      </c>
      <c r="H630" s="53">
        <f>DATE(K630,11,15)</f>
        <v>56203</v>
      </c>
      <c r="I630" s="54">
        <f t="shared" si="58"/>
        <v>56203</v>
      </c>
      <c r="J630" t="s">
        <v>127</v>
      </c>
      <c r="K630">
        <f t="shared" si="60"/>
        <v>2053</v>
      </c>
      <c r="L630" t="s">
        <v>110</v>
      </c>
    </row>
    <row r="631" spans="1:12" x14ac:dyDescent="0.3">
      <c r="A631" s="53">
        <f>A634-48</f>
        <v>55582</v>
      </c>
      <c r="B631" s="54">
        <f t="shared" si="57"/>
        <v>55582</v>
      </c>
      <c r="C631" t="s">
        <v>111</v>
      </c>
      <c r="D631">
        <f t="shared" si="59"/>
        <v>2052</v>
      </c>
      <c r="E631" t="s">
        <v>110</v>
      </c>
      <c r="H631" s="53">
        <f>DATE(K631,11,20)</f>
        <v>56208</v>
      </c>
      <c r="I631" s="54">
        <f t="shared" si="58"/>
        <v>56208</v>
      </c>
      <c r="J631" t="s">
        <v>128</v>
      </c>
      <c r="K631">
        <f t="shared" si="60"/>
        <v>2053</v>
      </c>
      <c r="L631" t="s">
        <v>110</v>
      </c>
    </row>
    <row r="632" spans="1:12" x14ac:dyDescent="0.3">
      <c r="A632" s="53">
        <f>A634-47</f>
        <v>55583</v>
      </c>
      <c r="B632" s="54">
        <f t="shared" si="57"/>
        <v>55583</v>
      </c>
      <c r="C632" t="s">
        <v>111</v>
      </c>
      <c r="D632">
        <f t="shared" si="59"/>
        <v>2052</v>
      </c>
      <c r="E632" t="s">
        <v>110</v>
      </c>
      <c r="H632" s="53">
        <f>DATE(K632,12,25)</f>
        <v>56243</v>
      </c>
      <c r="I632" s="54">
        <f t="shared" si="58"/>
        <v>56243</v>
      </c>
      <c r="J632" t="s">
        <v>129</v>
      </c>
      <c r="K632">
        <f t="shared" si="60"/>
        <v>2053</v>
      </c>
      <c r="L632" t="s">
        <v>110</v>
      </c>
    </row>
    <row r="633" spans="1:12" x14ac:dyDescent="0.3">
      <c r="A633" s="53">
        <f>A634-2</f>
        <v>55628</v>
      </c>
      <c r="B633" s="54">
        <f t="shared" si="57"/>
        <v>55628</v>
      </c>
      <c r="C633" t="s">
        <v>112</v>
      </c>
      <c r="D633">
        <f t="shared" si="59"/>
        <v>2052</v>
      </c>
      <c r="E633" t="s">
        <v>110</v>
      </c>
      <c r="H633" s="53">
        <f>DATE(K633,1,1)</f>
        <v>56250</v>
      </c>
      <c r="I633" s="54">
        <f t="shared" si="58"/>
        <v>56250</v>
      </c>
      <c r="J633" t="s">
        <v>109</v>
      </c>
      <c r="K633">
        <f>K615+1</f>
        <v>2054</v>
      </c>
      <c r="L633" t="s">
        <v>110</v>
      </c>
    </row>
    <row r="634" spans="1:12" x14ac:dyDescent="0.3">
      <c r="A634" s="53">
        <f>FLOOR(DAY(MINUTE(D634/38)/2+56)&amp;"/5"&amp;"/"&amp;D634,7)-34</f>
        <v>55630</v>
      </c>
      <c r="B634" s="54">
        <f t="shared" si="57"/>
        <v>55630</v>
      </c>
      <c r="C634" t="s">
        <v>113</v>
      </c>
      <c r="D634">
        <f t="shared" si="59"/>
        <v>2052</v>
      </c>
      <c r="E634" t="s">
        <v>110</v>
      </c>
      <c r="H634" s="53">
        <f>H637-48</f>
        <v>56289</v>
      </c>
      <c r="I634" s="54">
        <f t="shared" si="58"/>
        <v>56289</v>
      </c>
      <c r="J634" t="s">
        <v>111</v>
      </c>
      <c r="K634">
        <f t="shared" ref="K634:K650" si="61">K616+1</f>
        <v>2054</v>
      </c>
      <c r="L634" t="s">
        <v>110</v>
      </c>
    </row>
    <row r="635" spans="1:12" x14ac:dyDescent="0.3">
      <c r="A635" s="53">
        <f>DATE(D635,4,14)</f>
        <v>55623</v>
      </c>
      <c r="B635" s="54">
        <f t="shared" si="57"/>
        <v>55623</v>
      </c>
      <c r="C635" t="s">
        <v>114</v>
      </c>
      <c r="D635">
        <f t="shared" si="59"/>
        <v>2052</v>
      </c>
      <c r="E635" t="s">
        <v>115</v>
      </c>
      <c r="H635" s="53">
        <f>H637-47</f>
        <v>56290</v>
      </c>
      <c r="I635" s="54">
        <f t="shared" si="58"/>
        <v>56290</v>
      </c>
      <c r="J635" t="s">
        <v>111</v>
      </c>
      <c r="K635">
        <f t="shared" si="61"/>
        <v>2054</v>
      </c>
      <c r="L635" t="s">
        <v>110</v>
      </c>
    </row>
    <row r="636" spans="1:12" x14ac:dyDescent="0.3">
      <c r="A636" s="53">
        <f>DATE(D636,4,21)</f>
        <v>55630</v>
      </c>
      <c r="B636" s="54">
        <f t="shared" si="57"/>
        <v>55630</v>
      </c>
      <c r="C636" t="s">
        <v>116</v>
      </c>
      <c r="D636">
        <f t="shared" si="59"/>
        <v>2052</v>
      </c>
      <c r="E636" t="s">
        <v>110</v>
      </c>
      <c r="H636" s="53">
        <f>H637-2</f>
        <v>56335</v>
      </c>
      <c r="I636" s="54">
        <f t="shared" si="58"/>
        <v>56335</v>
      </c>
      <c r="J636" t="s">
        <v>112</v>
      </c>
      <c r="K636">
        <f t="shared" si="61"/>
        <v>2054</v>
      </c>
      <c r="L636" t="s">
        <v>110</v>
      </c>
    </row>
    <row r="637" spans="1:12" x14ac:dyDescent="0.3">
      <c r="A637" s="53">
        <f>DATE(D637,5,1)</f>
        <v>55640</v>
      </c>
      <c r="B637" s="54">
        <f t="shared" si="57"/>
        <v>55640</v>
      </c>
      <c r="C637" t="s">
        <v>117</v>
      </c>
      <c r="D637">
        <f t="shared" si="59"/>
        <v>2052</v>
      </c>
      <c r="E637" t="s">
        <v>110</v>
      </c>
      <c r="H637" s="53">
        <f>FLOOR(DAY(MINUTE(K637/38)/2+56)&amp;"/5"&amp;"/"&amp;K637,7)-34</f>
        <v>56337</v>
      </c>
      <c r="I637" s="54">
        <f t="shared" si="58"/>
        <v>56337</v>
      </c>
      <c r="J637" t="s">
        <v>113</v>
      </c>
      <c r="K637">
        <f t="shared" si="61"/>
        <v>2054</v>
      </c>
      <c r="L637" t="s">
        <v>110</v>
      </c>
    </row>
    <row r="638" spans="1:12" x14ac:dyDescent="0.3">
      <c r="A638" s="53">
        <f>DATE(D638,5,1)+(14-WEEKDAY(DATE(D638,5,1),2))</f>
        <v>55651</v>
      </c>
      <c r="B638" s="54">
        <f t="shared" si="57"/>
        <v>55651</v>
      </c>
      <c r="C638" t="s">
        <v>118</v>
      </c>
      <c r="D638">
        <f t="shared" si="59"/>
        <v>2052</v>
      </c>
      <c r="E638" t="s">
        <v>110</v>
      </c>
      <c r="H638" s="53">
        <f>DATE(K638,4,21)</f>
        <v>56360</v>
      </c>
      <c r="I638" s="54">
        <f t="shared" si="58"/>
        <v>56360</v>
      </c>
      <c r="J638" t="s">
        <v>116</v>
      </c>
      <c r="K638">
        <f t="shared" si="61"/>
        <v>2054</v>
      </c>
      <c r="L638" t="s">
        <v>110</v>
      </c>
    </row>
    <row r="639" spans="1:12" x14ac:dyDescent="0.3">
      <c r="A639" s="53">
        <f>A634+60</f>
        <v>55690</v>
      </c>
      <c r="B639" s="54">
        <f t="shared" si="57"/>
        <v>55690</v>
      </c>
      <c r="C639" t="s">
        <v>119</v>
      </c>
      <c r="D639">
        <f t="shared" si="59"/>
        <v>2052</v>
      </c>
      <c r="E639" t="s">
        <v>110</v>
      </c>
      <c r="H639" s="53">
        <f>DATE(K639,5,1)</f>
        <v>56370</v>
      </c>
      <c r="I639" s="54">
        <f t="shared" si="58"/>
        <v>56370</v>
      </c>
      <c r="J639" t="s">
        <v>117</v>
      </c>
      <c r="K639">
        <f t="shared" si="61"/>
        <v>2054</v>
      </c>
      <c r="L639" t="s">
        <v>110</v>
      </c>
    </row>
    <row r="640" spans="1:12" x14ac:dyDescent="0.3">
      <c r="A640" s="53">
        <f>DATE(D640,7,9)</f>
        <v>55709</v>
      </c>
      <c r="B640" s="54">
        <f t="shared" si="57"/>
        <v>55709</v>
      </c>
      <c r="C640" t="s">
        <v>120</v>
      </c>
      <c r="D640">
        <f t="shared" si="59"/>
        <v>2052</v>
      </c>
      <c r="E640" t="s">
        <v>121</v>
      </c>
      <c r="H640" s="53">
        <f>DATE(K640,5,1)+(14-WEEKDAY(DATE(K640,5,1),2))</f>
        <v>56379</v>
      </c>
      <c r="I640" s="54">
        <f t="shared" si="58"/>
        <v>56379</v>
      </c>
      <c r="J640" t="s">
        <v>118</v>
      </c>
      <c r="K640">
        <f t="shared" si="61"/>
        <v>2054</v>
      </c>
      <c r="L640" t="s">
        <v>110</v>
      </c>
    </row>
    <row r="641" spans="1:12" x14ac:dyDescent="0.3">
      <c r="A641" s="53">
        <f>DATE(D641,8,8)</f>
        <v>55739</v>
      </c>
      <c r="B641" s="54">
        <f t="shared" si="57"/>
        <v>55739</v>
      </c>
      <c r="C641" t="s">
        <v>122</v>
      </c>
      <c r="D641">
        <f t="shared" si="59"/>
        <v>2052</v>
      </c>
      <c r="E641" t="s">
        <v>115</v>
      </c>
      <c r="H641" s="53">
        <f>H637+60</f>
        <v>56397</v>
      </c>
      <c r="I641" s="54">
        <f t="shared" si="58"/>
        <v>56397</v>
      </c>
      <c r="J641" t="s">
        <v>119</v>
      </c>
      <c r="K641">
        <f t="shared" si="61"/>
        <v>2054</v>
      </c>
      <c r="L641" t="s">
        <v>110</v>
      </c>
    </row>
    <row r="642" spans="1:12" x14ac:dyDescent="0.3">
      <c r="A642" s="53">
        <f>DATE(D642,8,1)+(14-WEEKDAY(DATE(D642,8,1),2))</f>
        <v>55742</v>
      </c>
      <c r="B642" s="54">
        <f t="shared" si="57"/>
        <v>55742</v>
      </c>
      <c r="C642" t="s">
        <v>123</v>
      </c>
      <c r="D642">
        <f t="shared" si="59"/>
        <v>2052</v>
      </c>
      <c r="E642" t="s">
        <v>110</v>
      </c>
      <c r="H642" s="53">
        <f>DATE(K642,6,19)</f>
        <v>56419</v>
      </c>
      <c r="I642" s="54">
        <f t="shared" si="58"/>
        <v>56419</v>
      </c>
      <c r="J642" t="s">
        <v>114</v>
      </c>
      <c r="K642">
        <f t="shared" si="61"/>
        <v>2054</v>
      </c>
      <c r="L642" t="s">
        <v>115</v>
      </c>
    </row>
    <row r="643" spans="1:12" x14ac:dyDescent="0.3">
      <c r="A643" s="53">
        <f>DATE(D643,9,7)</f>
        <v>55769</v>
      </c>
      <c r="B643" s="54">
        <f t="shared" ref="B643:B706" si="62">A643</f>
        <v>55769</v>
      </c>
      <c r="C643" t="s">
        <v>124</v>
      </c>
      <c r="D643">
        <f t="shared" si="59"/>
        <v>2052</v>
      </c>
      <c r="E643" t="s">
        <v>110</v>
      </c>
      <c r="H643" s="53">
        <f>DATE(K643,7,9)</f>
        <v>56439</v>
      </c>
      <c r="I643" s="54">
        <f t="shared" si="58"/>
        <v>56439</v>
      </c>
      <c r="J643" t="s">
        <v>120</v>
      </c>
      <c r="K643">
        <f t="shared" si="61"/>
        <v>2054</v>
      </c>
      <c r="L643" t="s">
        <v>121</v>
      </c>
    </row>
    <row r="644" spans="1:12" x14ac:dyDescent="0.3">
      <c r="A644" s="53">
        <f>DATE(D644,10,12)</f>
        <v>55804</v>
      </c>
      <c r="B644" s="54">
        <f t="shared" si="62"/>
        <v>55804</v>
      </c>
      <c r="C644" t="s">
        <v>125</v>
      </c>
      <c r="D644">
        <f t="shared" si="59"/>
        <v>2052</v>
      </c>
      <c r="E644" t="s">
        <v>110</v>
      </c>
      <c r="H644" s="53">
        <f>DATE(K644,8,1)+(14-WEEKDAY(DATE(K644,8,1),2))</f>
        <v>56470</v>
      </c>
      <c r="I644" s="54">
        <f t="shared" si="58"/>
        <v>56470</v>
      </c>
      <c r="J644" t="s">
        <v>123</v>
      </c>
      <c r="K644">
        <f t="shared" si="61"/>
        <v>2054</v>
      </c>
      <c r="L644" t="s">
        <v>110</v>
      </c>
    </row>
    <row r="645" spans="1:12" x14ac:dyDescent="0.3">
      <c r="A645" s="53">
        <f>DATE(D645,11,2)</f>
        <v>55825</v>
      </c>
      <c r="B645" s="54">
        <f t="shared" si="62"/>
        <v>55825</v>
      </c>
      <c r="C645" t="s">
        <v>126</v>
      </c>
      <c r="D645">
        <f t="shared" si="59"/>
        <v>2052</v>
      </c>
      <c r="E645" t="s">
        <v>110</v>
      </c>
      <c r="H645" s="53">
        <f>DATE(K645,9,7)</f>
        <v>56499</v>
      </c>
      <c r="I645" s="54">
        <f t="shared" si="58"/>
        <v>56499</v>
      </c>
      <c r="J645" t="s">
        <v>124</v>
      </c>
      <c r="K645">
        <f t="shared" si="61"/>
        <v>2054</v>
      </c>
      <c r="L645" t="s">
        <v>110</v>
      </c>
    </row>
    <row r="646" spans="1:12" x14ac:dyDescent="0.3">
      <c r="A646" s="53">
        <f>DATE(D646,11,15)</f>
        <v>55838</v>
      </c>
      <c r="B646" s="54">
        <f t="shared" si="62"/>
        <v>55838</v>
      </c>
      <c r="C646" t="s">
        <v>127</v>
      </c>
      <c r="D646">
        <f t="shared" si="59"/>
        <v>2052</v>
      </c>
      <c r="E646" t="s">
        <v>110</v>
      </c>
      <c r="H646" s="53">
        <f>DATE(K646,10,12)</f>
        <v>56534</v>
      </c>
      <c r="I646" s="54">
        <f t="shared" si="58"/>
        <v>56534</v>
      </c>
      <c r="J646" t="s">
        <v>125</v>
      </c>
      <c r="K646">
        <f t="shared" si="61"/>
        <v>2054</v>
      </c>
      <c r="L646" t="s">
        <v>110</v>
      </c>
    </row>
    <row r="647" spans="1:12" x14ac:dyDescent="0.3">
      <c r="A647" s="53">
        <f>DATE(D647,11,20)</f>
        <v>55843</v>
      </c>
      <c r="B647" s="54">
        <f t="shared" si="62"/>
        <v>55843</v>
      </c>
      <c r="C647" t="s">
        <v>128</v>
      </c>
      <c r="D647">
        <f t="shared" si="59"/>
        <v>2052</v>
      </c>
      <c r="E647" t="s">
        <v>110</v>
      </c>
      <c r="H647" s="53">
        <f>DATE(K647,11,2)</f>
        <v>56555</v>
      </c>
      <c r="I647" s="54">
        <f t="shared" si="58"/>
        <v>56555</v>
      </c>
      <c r="J647" t="s">
        <v>126</v>
      </c>
      <c r="K647">
        <f t="shared" si="61"/>
        <v>2054</v>
      </c>
      <c r="L647" t="s">
        <v>110</v>
      </c>
    </row>
    <row r="648" spans="1:12" x14ac:dyDescent="0.3">
      <c r="A648" s="53">
        <f>DATE(D648,12,25)</f>
        <v>55878</v>
      </c>
      <c r="B648" s="54">
        <f t="shared" si="62"/>
        <v>55878</v>
      </c>
      <c r="C648" t="s">
        <v>129</v>
      </c>
      <c r="D648">
        <f t="shared" si="59"/>
        <v>2052</v>
      </c>
      <c r="E648" t="s">
        <v>110</v>
      </c>
      <c r="H648" s="53">
        <f>DATE(K648,11,15)</f>
        <v>56568</v>
      </c>
      <c r="I648" s="54">
        <f t="shared" ref="I648:I711" si="63">H648</f>
        <v>56568</v>
      </c>
      <c r="J648" t="s">
        <v>127</v>
      </c>
      <c r="K648">
        <f t="shared" si="61"/>
        <v>2054</v>
      </c>
      <c r="L648" t="s">
        <v>110</v>
      </c>
    </row>
    <row r="649" spans="1:12" x14ac:dyDescent="0.3">
      <c r="A649" s="53">
        <f>DATE(D649,1,1)</f>
        <v>55885</v>
      </c>
      <c r="B649" s="54">
        <f t="shared" si="62"/>
        <v>55885</v>
      </c>
      <c r="C649" t="s">
        <v>109</v>
      </c>
      <c r="D649">
        <f>D630+1</f>
        <v>2053</v>
      </c>
      <c r="E649" t="s">
        <v>110</v>
      </c>
      <c r="H649" s="53">
        <f>DATE(K649,11,20)</f>
        <v>56573</v>
      </c>
      <c r="I649" s="54">
        <f t="shared" si="63"/>
        <v>56573</v>
      </c>
      <c r="J649" t="s">
        <v>128</v>
      </c>
      <c r="K649">
        <f t="shared" si="61"/>
        <v>2054</v>
      </c>
      <c r="L649" t="s">
        <v>110</v>
      </c>
    </row>
    <row r="650" spans="1:12" x14ac:dyDescent="0.3">
      <c r="A650" s="53">
        <f>A653-48</f>
        <v>55932</v>
      </c>
      <c r="B650" s="54">
        <f t="shared" si="62"/>
        <v>55932</v>
      </c>
      <c r="C650" t="s">
        <v>111</v>
      </c>
      <c r="D650">
        <f t="shared" si="59"/>
        <v>2053</v>
      </c>
      <c r="E650" t="s">
        <v>110</v>
      </c>
      <c r="H650" s="53">
        <f>DATE(K650,12,25)</f>
        <v>56608</v>
      </c>
      <c r="I650" s="54">
        <f t="shared" si="63"/>
        <v>56608</v>
      </c>
      <c r="J650" t="s">
        <v>129</v>
      </c>
      <c r="K650">
        <f t="shared" si="61"/>
        <v>2054</v>
      </c>
      <c r="L650" t="s">
        <v>110</v>
      </c>
    </row>
    <row r="651" spans="1:12" x14ac:dyDescent="0.3">
      <c r="A651" s="53">
        <f>A653-47</f>
        <v>55933</v>
      </c>
      <c r="B651" s="54">
        <f t="shared" si="62"/>
        <v>55933</v>
      </c>
      <c r="C651" t="s">
        <v>111</v>
      </c>
      <c r="D651">
        <f t="shared" si="59"/>
        <v>2053</v>
      </c>
      <c r="E651" t="s">
        <v>110</v>
      </c>
      <c r="H651" s="53">
        <f>DATE(K651,1,1)</f>
        <v>56615</v>
      </c>
      <c r="I651" s="54">
        <f t="shared" si="63"/>
        <v>56615</v>
      </c>
      <c r="J651" t="s">
        <v>109</v>
      </c>
      <c r="K651">
        <f>K633+1</f>
        <v>2055</v>
      </c>
      <c r="L651" t="s">
        <v>110</v>
      </c>
    </row>
    <row r="652" spans="1:12" x14ac:dyDescent="0.3">
      <c r="A652" s="53">
        <f>A653-2</f>
        <v>55978</v>
      </c>
      <c r="B652" s="54">
        <f t="shared" si="62"/>
        <v>55978</v>
      </c>
      <c r="C652" t="s">
        <v>112</v>
      </c>
      <c r="D652">
        <f t="shared" si="59"/>
        <v>2053</v>
      </c>
      <c r="E652" t="s">
        <v>110</v>
      </c>
      <c r="H652" s="53">
        <f>H655-48</f>
        <v>56674</v>
      </c>
      <c r="I652" s="54">
        <f t="shared" si="63"/>
        <v>56674</v>
      </c>
      <c r="J652" t="s">
        <v>111</v>
      </c>
      <c r="K652">
        <f t="shared" ref="K652:K715" si="64">K634+1</f>
        <v>2055</v>
      </c>
      <c r="L652" t="s">
        <v>110</v>
      </c>
    </row>
    <row r="653" spans="1:12" x14ac:dyDescent="0.3">
      <c r="A653" s="53">
        <f>FLOOR(DAY(MINUTE(D653/38)/2+56)&amp;"/5"&amp;"/"&amp;D653,7)-34</f>
        <v>55980</v>
      </c>
      <c r="B653" s="54">
        <f t="shared" si="62"/>
        <v>55980</v>
      </c>
      <c r="C653" t="s">
        <v>113</v>
      </c>
      <c r="D653">
        <f t="shared" si="59"/>
        <v>2053</v>
      </c>
      <c r="E653" t="s">
        <v>110</v>
      </c>
      <c r="H653" s="53">
        <f>H655-47</f>
        <v>56675</v>
      </c>
      <c r="I653" s="54">
        <f t="shared" si="63"/>
        <v>56675</v>
      </c>
      <c r="J653" t="s">
        <v>111</v>
      </c>
      <c r="K653">
        <f t="shared" si="64"/>
        <v>2055</v>
      </c>
      <c r="L653" t="s">
        <v>110</v>
      </c>
    </row>
    <row r="654" spans="1:12" x14ac:dyDescent="0.3">
      <c r="A654" s="53">
        <f>DATE(D654,4,14)</f>
        <v>55988</v>
      </c>
      <c r="B654" s="54">
        <f t="shared" si="62"/>
        <v>55988</v>
      </c>
      <c r="C654" t="s">
        <v>114</v>
      </c>
      <c r="D654">
        <f t="shared" si="59"/>
        <v>2053</v>
      </c>
      <c r="E654" t="s">
        <v>115</v>
      </c>
      <c r="H654" s="53">
        <f>H655-2</f>
        <v>56720</v>
      </c>
      <c r="I654" s="54">
        <f t="shared" si="63"/>
        <v>56720</v>
      </c>
      <c r="J654" t="s">
        <v>112</v>
      </c>
      <c r="K654">
        <f t="shared" si="64"/>
        <v>2055</v>
      </c>
      <c r="L654" t="s">
        <v>110</v>
      </c>
    </row>
    <row r="655" spans="1:12" x14ac:dyDescent="0.3">
      <c r="A655" s="53">
        <f>DATE(D655,4,21)</f>
        <v>55995</v>
      </c>
      <c r="B655" s="54">
        <f t="shared" si="62"/>
        <v>55995</v>
      </c>
      <c r="C655" t="s">
        <v>116</v>
      </c>
      <c r="D655">
        <f t="shared" si="59"/>
        <v>2053</v>
      </c>
      <c r="E655" t="s">
        <v>110</v>
      </c>
      <c r="H655" s="53">
        <f>FLOOR(DAY(MINUTE(K655/38)/2+56)&amp;"/5"&amp;"/"&amp;K655,7)-34</f>
        <v>56722</v>
      </c>
      <c r="I655" s="54">
        <f t="shared" si="63"/>
        <v>56722</v>
      </c>
      <c r="J655" t="s">
        <v>113</v>
      </c>
      <c r="K655">
        <f t="shared" si="64"/>
        <v>2055</v>
      </c>
      <c r="L655" t="s">
        <v>110</v>
      </c>
    </row>
    <row r="656" spans="1:12" x14ac:dyDescent="0.3">
      <c r="A656" s="53">
        <f>DATE(D656,5,1)</f>
        <v>56005</v>
      </c>
      <c r="B656" s="54">
        <f t="shared" si="62"/>
        <v>56005</v>
      </c>
      <c r="C656" t="s">
        <v>117</v>
      </c>
      <c r="D656">
        <f t="shared" si="59"/>
        <v>2053</v>
      </c>
      <c r="E656" t="s">
        <v>110</v>
      </c>
      <c r="H656" s="53">
        <f>DATE(K656,4,21)</f>
        <v>56725</v>
      </c>
      <c r="I656" s="54">
        <f t="shared" si="63"/>
        <v>56725</v>
      </c>
      <c r="J656" t="s">
        <v>116</v>
      </c>
      <c r="K656">
        <f t="shared" si="64"/>
        <v>2055</v>
      </c>
      <c r="L656" t="s">
        <v>110</v>
      </c>
    </row>
    <row r="657" spans="1:12" x14ac:dyDescent="0.3">
      <c r="A657" s="53">
        <f>DATE(D657,5,1)+(14-WEEKDAY(DATE(D657,5,1),2))</f>
        <v>56015</v>
      </c>
      <c r="B657" s="54">
        <f t="shared" si="62"/>
        <v>56015</v>
      </c>
      <c r="C657" t="s">
        <v>118</v>
      </c>
      <c r="D657">
        <f t="shared" ref="D657:D667" si="65">D638+1</f>
        <v>2053</v>
      </c>
      <c r="E657" t="s">
        <v>110</v>
      </c>
      <c r="H657" s="53">
        <f>DATE(K657,5,1)</f>
        <v>56735</v>
      </c>
      <c r="I657" s="54">
        <f t="shared" si="63"/>
        <v>56735</v>
      </c>
      <c r="J657" t="s">
        <v>117</v>
      </c>
      <c r="K657">
        <f t="shared" si="64"/>
        <v>2055</v>
      </c>
      <c r="L657" t="s">
        <v>110</v>
      </c>
    </row>
    <row r="658" spans="1:12" x14ac:dyDescent="0.3">
      <c r="A658" s="53">
        <f>A653+60</f>
        <v>56040</v>
      </c>
      <c r="B658" s="54">
        <f t="shared" si="62"/>
        <v>56040</v>
      </c>
      <c r="C658" t="s">
        <v>119</v>
      </c>
      <c r="D658">
        <f t="shared" si="65"/>
        <v>2053</v>
      </c>
      <c r="E658" t="s">
        <v>110</v>
      </c>
      <c r="H658" s="53">
        <f>DATE(K658,5,1)+(14-WEEKDAY(DATE(K658,5,1),2))</f>
        <v>56743</v>
      </c>
      <c r="I658" s="54">
        <f t="shared" si="63"/>
        <v>56743</v>
      </c>
      <c r="J658" t="s">
        <v>118</v>
      </c>
      <c r="K658">
        <f t="shared" si="64"/>
        <v>2055</v>
      </c>
      <c r="L658" t="s">
        <v>110</v>
      </c>
    </row>
    <row r="659" spans="1:12" x14ac:dyDescent="0.3">
      <c r="A659" s="53">
        <f>DATE(D659,7,9)</f>
        <v>56074</v>
      </c>
      <c r="B659" s="54">
        <f t="shared" si="62"/>
        <v>56074</v>
      </c>
      <c r="C659" t="s">
        <v>120</v>
      </c>
      <c r="D659">
        <f t="shared" si="65"/>
        <v>2053</v>
      </c>
      <c r="E659" t="s">
        <v>121</v>
      </c>
      <c r="H659" s="53">
        <f>H655+60</f>
        <v>56782</v>
      </c>
      <c r="I659" s="54">
        <f t="shared" si="63"/>
        <v>56782</v>
      </c>
      <c r="J659" t="s">
        <v>119</v>
      </c>
      <c r="K659">
        <f t="shared" si="64"/>
        <v>2055</v>
      </c>
      <c r="L659" t="s">
        <v>110</v>
      </c>
    </row>
    <row r="660" spans="1:12" x14ac:dyDescent="0.3">
      <c r="A660" s="53">
        <f>DATE(D660,8,8)</f>
        <v>56104</v>
      </c>
      <c r="B660" s="54">
        <f t="shared" si="62"/>
        <v>56104</v>
      </c>
      <c r="C660" t="s">
        <v>122</v>
      </c>
      <c r="D660">
        <f t="shared" si="65"/>
        <v>2053</v>
      </c>
      <c r="E660" t="s">
        <v>115</v>
      </c>
      <c r="H660" s="53">
        <f>DATE(K660,6,19)</f>
        <v>56784</v>
      </c>
      <c r="I660" s="54">
        <f t="shared" si="63"/>
        <v>56784</v>
      </c>
      <c r="J660" t="s">
        <v>114</v>
      </c>
      <c r="K660">
        <f t="shared" si="64"/>
        <v>2055</v>
      </c>
      <c r="L660" t="s">
        <v>115</v>
      </c>
    </row>
    <row r="661" spans="1:12" x14ac:dyDescent="0.3">
      <c r="A661" s="53">
        <f>DATE(D661,8,1)+(14-WEEKDAY(DATE(D661,8,1),2))</f>
        <v>56106</v>
      </c>
      <c r="B661" s="54">
        <f t="shared" si="62"/>
        <v>56106</v>
      </c>
      <c r="C661" t="s">
        <v>123</v>
      </c>
      <c r="D661">
        <f t="shared" si="65"/>
        <v>2053</v>
      </c>
      <c r="E661" t="s">
        <v>110</v>
      </c>
      <c r="H661" s="53">
        <f>DATE(K661,7,9)</f>
        <v>56804</v>
      </c>
      <c r="I661" s="54">
        <f t="shared" si="63"/>
        <v>56804</v>
      </c>
      <c r="J661" t="s">
        <v>120</v>
      </c>
      <c r="K661">
        <f t="shared" si="64"/>
        <v>2055</v>
      </c>
      <c r="L661" t="s">
        <v>121</v>
      </c>
    </row>
    <row r="662" spans="1:12" x14ac:dyDescent="0.3">
      <c r="A662" s="53">
        <f>DATE(D662,9,7)</f>
        <v>56134</v>
      </c>
      <c r="B662" s="54">
        <f t="shared" si="62"/>
        <v>56134</v>
      </c>
      <c r="C662" t="s">
        <v>124</v>
      </c>
      <c r="D662">
        <f t="shared" si="65"/>
        <v>2053</v>
      </c>
      <c r="E662" t="s">
        <v>110</v>
      </c>
      <c r="H662" s="53">
        <f>DATE(K662,8,1)+(14-WEEKDAY(DATE(K662,8,1),2))</f>
        <v>56834</v>
      </c>
      <c r="I662" s="54">
        <f t="shared" si="63"/>
        <v>56834</v>
      </c>
      <c r="J662" t="s">
        <v>123</v>
      </c>
      <c r="K662">
        <f t="shared" si="64"/>
        <v>2055</v>
      </c>
      <c r="L662" t="s">
        <v>110</v>
      </c>
    </row>
    <row r="663" spans="1:12" x14ac:dyDescent="0.3">
      <c r="A663" s="53">
        <f>DATE(D663,10,12)</f>
        <v>56169</v>
      </c>
      <c r="B663" s="54">
        <f t="shared" si="62"/>
        <v>56169</v>
      </c>
      <c r="C663" t="s">
        <v>125</v>
      </c>
      <c r="D663">
        <f t="shared" si="65"/>
        <v>2053</v>
      </c>
      <c r="E663" t="s">
        <v>110</v>
      </c>
      <c r="H663" s="53">
        <f>DATE(K663,9,7)</f>
        <v>56864</v>
      </c>
      <c r="I663" s="54">
        <f t="shared" si="63"/>
        <v>56864</v>
      </c>
      <c r="J663" t="s">
        <v>124</v>
      </c>
      <c r="K663">
        <f t="shared" si="64"/>
        <v>2055</v>
      </c>
      <c r="L663" t="s">
        <v>110</v>
      </c>
    </row>
    <row r="664" spans="1:12" x14ac:dyDescent="0.3">
      <c r="A664" s="53">
        <f>DATE(D664,11,2)</f>
        <v>56190</v>
      </c>
      <c r="B664" s="54">
        <f t="shared" si="62"/>
        <v>56190</v>
      </c>
      <c r="C664" t="s">
        <v>126</v>
      </c>
      <c r="D664">
        <f t="shared" si="65"/>
        <v>2053</v>
      </c>
      <c r="E664" t="s">
        <v>110</v>
      </c>
      <c r="H664" s="53">
        <f>DATE(K664,10,12)</f>
        <v>56899</v>
      </c>
      <c r="I664" s="54">
        <f t="shared" si="63"/>
        <v>56899</v>
      </c>
      <c r="J664" t="s">
        <v>125</v>
      </c>
      <c r="K664">
        <f t="shared" si="64"/>
        <v>2055</v>
      </c>
      <c r="L664" t="s">
        <v>110</v>
      </c>
    </row>
    <row r="665" spans="1:12" x14ac:dyDescent="0.3">
      <c r="A665" s="53">
        <f>DATE(D665,11,15)</f>
        <v>56203</v>
      </c>
      <c r="B665" s="54">
        <f t="shared" si="62"/>
        <v>56203</v>
      </c>
      <c r="C665" t="s">
        <v>127</v>
      </c>
      <c r="D665">
        <f t="shared" si="65"/>
        <v>2053</v>
      </c>
      <c r="E665" t="s">
        <v>110</v>
      </c>
      <c r="H665" s="53">
        <f>DATE(K665,11,2)</f>
        <v>56920</v>
      </c>
      <c r="I665" s="54">
        <f t="shared" si="63"/>
        <v>56920</v>
      </c>
      <c r="J665" t="s">
        <v>126</v>
      </c>
      <c r="K665">
        <f t="shared" si="64"/>
        <v>2055</v>
      </c>
      <c r="L665" t="s">
        <v>110</v>
      </c>
    </row>
    <row r="666" spans="1:12" x14ac:dyDescent="0.3">
      <c r="A666" s="53">
        <f>DATE(D666,11,20)</f>
        <v>56208</v>
      </c>
      <c r="B666" s="54">
        <f t="shared" si="62"/>
        <v>56208</v>
      </c>
      <c r="C666" t="s">
        <v>128</v>
      </c>
      <c r="D666">
        <f t="shared" si="65"/>
        <v>2053</v>
      </c>
      <c r="E666" t="s">
        <v>110</v>
      </c>
      <c r="H666" s="53">
        <f>DATE(K666,11,15)</f>
        <v>56933</v>
      </c>
      <c r="I666" s="54">
        <f t="shared" si="63"/>
        <v>56933</v>
      </c>
      <c r="J666" t="s">
        <v>127</v>
      </c>
      <c r="K666">
        <f t="shared" si="64"/>
        <v>2055</v>
      </c>
      <c r="L666" t="s">
        <v>110</v>
      </c>
    </row>
    <row r="667" spans="1:12" x14ac:dyDescent="0.3">
      <c r="A667" s="53">
        <f>DATE(D667,12,25)</f>
        <v>56243</v>
      </c>
      <c r="B667" s="54">
        <f t="shared" si="62"/>
        <v>56243</v>
      </c>
      <c r="C667" t="s">
        <v>129</v>
      </c>
      <c r="D667">
        <f t="shared" si="65"/>
        <v>2053</v>
      </c>
      <c r="E667" t="s">
        <v>110</v>
      </c>
      <c r="H667" s="53">
        <f>DATE(K667,11,20)</f>
        <v>56938</v>
      </c>
      <c r="I667" s="54">
        <f t="shared" si="63"/>
        <v>56938</v>
      </c>
      <c r="J667" t="s">
        <v>128</v>
      </c>
      <c r="K667">
        <f t="shared" si="64"/>
        <v>2055</v>
      </c>
      <c r="L667" t="s">
        <v>110</v>
      </c>
    </row>
    <row r="668" spans="1:12" x14ac:dyDescent="0.3">
      <c r="A668" s="53">
        <f>DATE(D668,1,1)</f>
        <v>56250</v>
      </c>
      <c r="B668" s="54">
        <f t="shared" si="62"/>
        <v>56250</v>
      </c>
      <c r="C668" t="s">
        <v>109</v>
      </c>
      <c r="D668">
        <f>D649+1</f>
        <v>2054</v>
      </c>
      <c r="E668" t="s">
        <v>110</v>
      </c>
      <c r="H668" s="53">
        <f>DATE(K668,12,25)</f>
        <v>56973</v>
      </c>
      <c r="I668" s="54">
        <f t="shared" si="63"/>
        <v>56973</v>
      </c>
      <c r="J668" t="s">
        <v>129</v>
      </c>
      <c r="K668">
        <f t="shared" si="64"/>
        <v>2055</v>
      </c>
      <c r="L668" t="s">
        <v>110</v>
      </c>
    </row>
    <row r="669" spans="1:12" x14ac:dyDescent="0.3">
      <c r="A669" s="53">
        <f>A672-48</f>
        <v>56289</v>
      </c>
      <c r="B669" s="54">
        <f t="shared" si="62"/>
        <v>56289</v>
      </c>
      <c r="C669" t="s">
        <v>111</v>
      </c>
      <c r="D669">
        <f t="shared" ref="D669:D686" si="66">D650+1</f>
        <v>2054</v>
      </c>
      <c r="E669" t="s">
        <v>110</v>
      </c>
      <c r="H669" s="53">
        <f>DATE(K669,1,1)</f>
        <v>56980</v>
      </c>
      <c r="I669" s="54">
        <f t="shared" si="63"/>
        <v>56980</v>
      </c>
      <c r="J669" t="s">
        <v>109</v>
      </c>
      <c r="K669">
        <f>K651+1</f>
        <v>2056</v>
      </c>
      <c r="L669" t="s">
        <v>110</v>
      </c>
    </row>
    <row r="670" spans="1:12" x14ac:dyDescent="0.3">
      <c r="A670" s="53">
        <f>A672-47</f>
        <v>56290</v>
      </c>
      <c r="B670" s="54">
        <f t="shared" si="62"/>
        <v>56290</v>
      </c>
      <c r="C670" t="s">
        <v>111</v>
      </c>
      <c r="D670">
        <f t="shared" si="66"/>
        <v>2054</v>
      </c>
      <c r="E670" t="s">
        <v>110</v>
      </c>
      <c r="H670" s="53">
        <f>H673-48</f>
        <v>57024</v>
      </c>
      <c r="I670" s="54">
        <f t="shared" si="63"/>
        <v>57024</v>
      </c>
      <c r="J670" t="s">
        <v>111</v>
      </c>
      <c r="K670">
        <f t="shared" si="64"/>
        <v>2056</v>
      </c>
      <c r="L670" t="s">
        <v>110</v>
      </c>
    </row>
    <row r="671" spans="1:12" x14ac:dyDescent="0.3">
      <c r="A671" s="53">
        <f>A672-2</f>
        <v>56335</v>
      </c>
      <c r="B671" s="54">
        <f t="shared" si="62"/>
        <v>56335</v>
      </c>
      <c r="C671" t="s">
        <v>112</v>
      </c>
      <c r="D671">
        <f t="shared" si="66"/>
        <v>2054</v>
      </c>
      <c r="E671" t="s">
        <v>110</v>
      </c>
      <c r="H671" s="53">
        <f>H673-47</f>
        <v>57025</v>
      </c>
      <c r="I671" s="54">
        <f t="shared" si="63"/>
        <v>57025</v>
      </c>
      <c r="J671" t="s">
        <v>111</v>
      </c>
      <c r="K671">
        <f t="shared" si="64"/>
        <v>2056</v>
      </c>
      <c r="L671" t="s">
        <v>110</v>
      </c>
    </row>
    <row r="672" spans="1:12" x14ac:dyDescent="0.3">
      <c r="A672" s="53">
        <f>FLOOR(DAY(MINUTE(D672/38)/2+56)&amp;"/5"&amp;"/"&amp;D672,7)-34</f>
        <v>56337</v>
      </c>
      <c r="B672" s="54">
        <f t="shared" si="62"/>
        <v>56337</v>
      </c>
      <c r="C672" t="s">
        <v>113</v>
      </c>
      <c r="D672">
        <f t="shared" si="66"/>
        <v>2054</v>
      </c>
      <c r="E672" t="s">
        <v>110</v>
      </c>
      <c r="H672" s="53">
        <f>H673-2</f>
        <v>57070</v>
      </c>
      <c r="I672" s="54">
        <f t="shared" si="63"/>
        <v>57070</v>
      </c>
      <c r="J672" t="s">
        <v>112</v>
      </c>
      <c r="K672">
        <f t="shared" si="64"/>
        <v>2056</v>
      </c>
      <c r="L672" t="s">
        <v>110</v>
      </c>
    </row>
    <row r="673" spans="1:12" x14ac:dyDescent="0.3">
      <c r="A673" s="53">
        <f>DATE(D673,4,14)</f>
        <v>56353</v>
      </c>
      <c r="B673" s="54">
        <f t="shared" si="62"/>
        <v>56353</v>
      </c>
      <c r="C673" t="s">
        <v>114</v>
      </c>
      <c r="D673">
        <f t="shared" si="66"/>
        <v>2054</v>
      </c>
      <c r="E673" t="s">
        <v>115</v>
      </c>
      <c r="H673" s="53">
        <f>FLOOR(DAY(MINUTE(K673/38)/2+56)&amp;"/5"&amp;"/"&amp;K673,7)-34</f>
        <v>57072</v>
      </c>
      <c r="I673" s="54">
        <f t="shared" si="63"/>
        <v>57072</v>
      </c>
      <c r="J673" t="s">
        <v>113</v>
      </c>
      <c r="K673">
        <f t="shared" si="64"/>
        <v>2056</v>
      </c>
      <c r="L673" t="s">
        <v>110</v>
      </c>
    </row>
    <row r="674" spans="1:12" x14ac:dyDescent="0.3">
      <c r="A674" s="53">
        <f>DATE(D674,4,21)</f>
        <v>56360</v>
      </c>
      <c r="B674" s="54">
        <f t="shared" si="62"/>
        <v>56360</v>
      </c>
      <c r="C674" t="s">
        <v>116</v>
      </c>
      <c r="D674">
        <f t="shared" si="66"/>
        <v>2054</v>
      </c>
      <c r="E674" t="s">
        <v>110</v>
      </c>
      <c r="H674" s="53">
        <f>DATE(K674,4,21)</f>
        <v>57091</v>
      </c>
      <c r="I674" s="54">
        <f t="shared" si="63"/>
        <v>57091</v>
      </c>
      <c r="J674" t="s">
        <v>116</v>
      </c>
      <c r="K674">
        <f t="shared" si="64"/>
        <v>2056</v>
      </c>
      <c r="L674" t="s">
        <v>110</v>
      </c>
    </row>
    <row r="675" spans="1:12" x14ac:dyDescent="0.3">
      <c r="A675" s="53">
        <f>DATE(D675,5,1)</f>
        <v>56370</v>
      </c>
      <c r="B675" s="54">
        <f t="shared" si="62"/>
        <v>56370</v>
      </c>
      <c r="C675" t="s">
        <v>117</v>
      </c>
      <c r="D675">
        <f t="shared" si="66"/>
        <v>2054</v>
      </c>
      <c r="E675" t="s">
        <v>110</v>
      </c>
      <c r="H675" s="53">
        <f>DATE(K675,5,1)</f>
        <v>57101</v>
      </c>
      <c r="I675" s="54">
        <f t="shared" si="63"/>
        <v>57101</v>
      </c>
      <c r="J675" t="s">
        <v>117</v>
      </c>
      <c r="K675">
        <f t="shared" si="64"/>
        <v>2056</v>
      </c>
      <c r="L675" t="s">
        <v>110</v>
      </c>
    </row>
    <row r="676" spans="1:12" x14ac:dyDescent="0.3">
      <c r="A676" s="53">
        <f>DATE(D676,5,1)+(14-WEEKDAY(DATE(D676,5,1),2))</f>
        <v>56379</v>
      </c>
      <c r="B676" s="54">
        <f t="shared" si="62"/>
        <v>56379</v>
      </c>
      <c r="C676" t="s">
        <v>118</v>
      </c>
      <c r="D676">
        <f t="shared" si="66"/>
        <v>2054</v>
      </c>
      <c r="E676" t="s">
        <v>110</v>
      </c>
      <c r="H676" s="53">
        <f>DATE(K676,5,1)+(14-WEEKDAY(DATE(K676,5,1),2))</f>
        <v>57114</v>
      </c>
      <c r="I676" s="54">
        <f t="shared" si="63"/>
        <v>57114</v>
      </c>
      <c r="J676" t="s">
        <v>118</v>
      </c>
      <c r="K676">
        <f t="shared" si="64"/>
        <v>2056</v>
      </c>
      <c r="L676" t="s">
        <v>110</v>
      </c>
    </row>
    <row r="677" spans="1:12" x14ac:dyDescent="0.3">
      <c r="A677" s="53">
        <f>A672+60</f>
        <v>56397</v>
      </c>
      <c r="B677" s="54">
        <f t="shared" si="62"/>
        <v>56397</v>
      </c>
      <c r="C677" t="s">
        <v>119</v>
      </c>
      <c r="D677">
        <f t="shared" si="66"/>
        <v>2054</v>
      </c>
      <c r="E677" t="s">
        <v>110</v>
      </c>
      <c r="H677" s="53">
        <f>H673+60</f>
        <v>57132</v>
      </c>
      <c r="I677" s="54">
        <f t="shared" si="63"/>
        <v>57132</v>
      </c>
      <c r="J677" t="s">
        <v>119</v>
      </c>
      <c r="K677">
        <f t="shared" si="64"/>
        <v>2056</v>
      </c>
      <c r="L677" t="s">
        <v>110</v>
      </c>
    </row>
    <row r="678" spans="1:12" x14ac:dyDescent="0.3">
      <c r="A678" s="53">
        <f>DATE(D678,7,9)</f>
        <v>56439</v>
      </c>
      <c r="B678" s="54">
        <f t="shared" si="62"/>
        <v>56439</v>
      </c>
      <c r="C678" t="s">
        <v>120</v>
      </c>
      <c r="D678">
        <f t="shared" si="66"/>
        <v>2054</v>
      </c>
      <c r="E678" t="s">
        <v>121</v>
      </c>
      <c r="H678" s="53">
        <f>DATE(K678,6,19)</f>
        <v>57150</v>
      </c>
      <c r="I678" s="54">
        <f t="shared" si="63"/>
        <v>57150</v>
      </c>
      <c r="J678" t="s">
        <v>114</v>
      </c>
      <c r="K678">
        <f t="shared" si="64"/>
        <v>2056</v>
      </c>
      <c r="L678" t="s">
        <v>115</v>
      </c>
    </row>
    <row r="679" spans="1:12" x14ac:dyDescent="0.3">
      <c r="A679" s="53">
        <f>DATE(D679,8,8)</f>
        <v>56469</v>
      </c>
      <c r="B679" s="54">
        <f t="shared" si="62"/>
        <v>56469</v>
      </c>
      <c r="C679" t="s">
        <v>122</v>
      </c>
      <c r="D679">
        <f t="shared" si="66"/>
        <v>2054</v>
      </c>
      <c r="E679" t="s">
        <v>115</v>
      </c>
      <c r="H679" s="53">
        <f>DATE(K679,7,9)</f>
        <v>57170</v>
      </c>
      <c r="I679" s="54">
        <f t="shared" si="63"/>
        <v>57170</v>
      </c>
      <c r="J679" t="s">
        <v>120</v>
      </c>
      <c r="K679">
        <f t="shared" si="64"/>
        <v>2056</v>
      </c>
      <c r="L679" t="s">
        <v>121</v>
      </c>
    </row>
    <row r="680" spans="1:12" x14ac:dyDescent="0.3">
      <c r="A680" s="53">
        <f>DATE(D680,8,1)+(14-WEEKDAY(DATE(D680,8,1),2))</f>
        <v>56470</v>
      </c>
      <c r="B680" s="54">
        <f t="shared" si="62"/>
        <v>56470</v>
      </c>
      <c r="C680" t="s">
        <v>123</v>
      </c>
      <c r="D680">
        <f t="shared" si="66"/>
        <v>2054</v>
      </c>
      <c r="E680" t="s">
        <v>110</v>
      </c>
      <c r="H680" s="53">
        <f>DATE(K680,8,1)+(14-WEEKDAY(DATE(K680,8,1),2))</f>
        <v>57205</v>
      </c>
      <c r="I680" s="54">
        <f t="shared" si="63"/>
        <v>57205</v>
      </c>
      <c r="J680" t="s">
        <v>123</v>
      </c>
      <c r="K680">
        <f t="shared" si="64"/>
        <v>2056</v>
      </c>
      <c r="L680" t="s">
        <v>110</v>
      </c>
    </row>
    <row r="681" spans="1:12" x14ac:dyDescent="0.3">
      <c r="A681" s="53">
        <f>DATE(D681,9,7)</f>
        <v>56499</v>
      </c>
      <c r="B681" s="54">
        <f t="shared" si="62"/>
        <v>56499</v>
      </c>
      <c r="C681" t="s">
        <v>124</v>
      </c>
      <c r="D681">
        <f t="shared" si="66"/>
        <v>2054</v>
      </c>
      <c r="E681" t="s">
        <v>110</v>
      </c>
      <c r="H681" s="53">
        <f>DATE(K681,9,7)</f>
        <v>57230</v>
      </c>
      <c r="I681" s="54">
        <f t="shared" si="63"/>
        <v>57230</v>
      </c>
      <c r="J681" t="s">
        <v>124</v>
      </c>
      <c r="K681">
        <f t="shared" si="64"/>
        <v>2056</v>
      </c>
      <c r="L681" t="s">
        <v>110</v>
      </c>
    </row>
    <row r="682" spans="1:12" x14ac:dyDescent="0.3">
      <c r="A682" s="53">
        <f>DATE(D682,10,12)</f>
        <v>56534</v>
      </c>
      <c r="B682" s="54">
        <f t="shared" si="62"/>
        <v>56534</v>
      </c>
      <c r="C682" t="s">
        <v>125</v>
      </c>
      <c r="D682">
        <f t="shared" si="66"/>
        <v>2054</v>
      </c>
      <c r="E682" t="s">
        <v>110</v>
      </c>
      <c r="H682" s="53">
        <f>DATE(K682,10,12)</f>
        <v>57265</v>
      </c>
      <c r="I682" s="54">
        <f t="shared" si="63"/>
        <v>57265</v>
      </c>
      <c r="J682" t="s">
        <v>125</v>
      </c>
      <c r="K682">
        <f t="shared" si="64"/>
        <v>2056</v>
      </c>
      <c r="L682" t="s">
        <v>110</v>
      </c>
    </row>
    <row r="683" spans="1:12" x14ac:dyDescent="0.3">
      <c r="A683" s="53">
        <f>DATE(D683,11,2)</f>
        <v>56555</v>
      </c>
      <c r="B683" s="54">
        <f t="shared" si="62"/>
        <v>56555</v>
      </c>
      <c r="C683" t="s">
        <v>126</v>
      </c>
      <c r="D683">
        <f t="shared" si="66"/>
        <v>2054</v>
      </c>
      <c r="E683" t="s">
        <v>110</v>
      </c>
      <c r="H683" s="53">
        <f>DATE(K683,11,2)</f>
        <v>57286</v>
      </c>
      <c r="I683" s="54">
        <f t="shared" si="63"/>
        <v>57286</v>
      </c>
      <c r="J683" t="s">
        <v>126</v>
      </c>
      <c r="K683">
        <f t="shared" si="64"/>
        <v>2056</v>
      </c>
      <c r="L683" t="s">
        <v>110</v>
      </c>
    </row>
    <row r="684" spans="1:12" x14ac:dyDescent="0.3">
      <c r="A684" s="53">
        <f>DATE(D684,11,15)</f>
        <v>56568</v>
      </c>
      <c r="B684" s="54">
        <f t="shared" si="62"/>
        <v>56568</v>
      </c>
      <c r="C684" t="s">
        <v>127</v>
      </c>
      <c r="D684">
        <f t="shared" si="66"/>
        <v>2054</v>
      </c>
      <c r="E684" t="s">
        <v>110</v>
      </c>
      <c r="H684" s="53">
        <f>DATE(K684,11,15)</f>
        <v>57299</v>
      </c>
      <c r="I684" s="54">
        <f t="shared" si="63"/>
        <v>57299</v>
      </c>
      <c r="J684" t="s">
        <v>127</v>
      </c>
      <c r="K684">
        <f t="shared" si="64"/>
        <v>2056</v>
      </c>
      <c r="L684" t="s">
        <v>110</v>
      </c>
    </row>
    <row r="685" spans="1:12" x14ac:dyDescent="0.3">
      <c r="A685" s="53">
        <f>DATE(D685,11,20)</f>
        <v>56573</v>
      </c>
      <c r="B685" s="54">
        <f t="shared" si="62"/>
        <v>56573</v>
      </c>
      <c r="C685" t="s">
        <v>128</v>
      </c>
      <c r="D685">
        <f t="shared" si="66"/>
        <v>2054</v>
      </c>
      <c r="E685" t="s">
        <v>110</v>
      </c>
      <c r="H685" s="53">
        <f>DATE(K685,11,20)</f>
        <v>57304</v>
      </c>
      <c r="I685" s="54">
        <f t="shared" si="63"/>
        <v>57304</v>
      </c>
      <c r="J685" t="s">
        <v>128</v>
      </c>
      <c r="K685">
        <f t="shared" si="64"/>
        <v>2056</v>
      </c>
      <c r="L685" t="s">
        <v>110</v>
      </c>
    </row>
    <row r="686" spans="1:12" x14ac:dyDescent="0.3">
      <c r="A686" s="53">
        <f>DATE(D686,12,25)</f>
        <v>56608</v>
      </c>
      <c r="B686" s="54">
        <f t="shared" si="62"/>
        <v>56608</v>
      </c>
      <c r="C686" t="s">
        <v>129</v>
      </c>
      <c r="D686">
        <f t="shared" si="66"/>
        <v>2054</v>
      </c>
      <c r="E686" t="s">
        <v>110</v>
      </c>
      <c r="H686" s="53">
        <f>DATE(K686,12,25)</f>
        <v>57339</v>
      </c>
      <c r="I686" s="54">
        <f t="shared" si="63"/>
        <v>57339</v>
      </c>
      <c r="J686" t="s">
        <v>129</v>
      </c>
      <c r="K686">
        <f t="shared" si="64"/>
        <v>2056</v>
      </c>
      <c r="L686" t="s">
        <v>110</v>
      </c>
    </row>
    <row r="687" spans="1:12" x14ac:dyDescent="0.3">
      <c r="A687" s="53">
        <f>DATE(D687,1,1)</f>
        <v>56615</v>
      </c>
      <c r="B687" s="54">
        <f t="shared" si="62"/>
        <v>56615</v>
      </c>
      <c r="C687" t="s">
        <v>109</v>
      </c>
      <c r="D687">
        <f>D668+1</f>
        <v>2055</v>
      </c>
      <c r="E687" t="s">
        <v>110</v>
      </c>
      <c r="H687" s="53">
        <f>DATE(K687,1,1)</f>
        <v>57346</v>
      </c>
      <c r="I687" s="54">
        <f t="shared" si="63"/>
        <v>57346</v>
      </c>
      <c r="J687" t="s">
        <v>109</v>
      </c>
      <c r="K687">
        <f>K669+1</f>
        <v>2057</v>
      </c>
      <c r="L687" t="s">
        <v>110</v>
      </c>
    </row>
    <row r="688" spans="1:12" x14ac:dyDescent="0.3">
      <c r="A688" s="53">
        <f>A691-48</f>
        <v>56674</v>
      </c>
      <c r="B688" s="54">
        <f t="shared" si="62"/>
        <v>56674</v>
      </c>
      <c r="C688" t="s">
        <v>111</v>
      </c>
      <c r="D688">
        <f t="shared" ref="D688:D705" si="67">D669+1</f>
        <v>2055</v>
      </c>
      <c r="E688" t="s">
        <v>110</v>
      </c>
      <c r="H688" s="53">
        <f>H691-48</f>
        <v>57409</v>
      </c>
      <c r="I688" s="54">
        <f t="shared" si="63"/>
        <v>57409</v>
      </c>
      <c r="J688" t="s">
        <v>111</v>
      </c>
      <c r="K688">
        <f t="shared" si="64"/>
        <v>2057</v>
      </c>
      <c r="L688" t="s">
        <v>110</v>
      </c>
    </row>
    <row r="689" spans="1:12" x14ac:dyDescent="0.3">
      <c r="A689" s="53">
        <f>A691-47</f>
        <v>56675</v>
      </c>
      <c r="B689" s="54">
        <f t="shared" si="62"/>
        <v>56675</v>
      </c>
      <c r="C689" t="s">
        <v>111</v>
      </c>
      <c r="D689">
        <f t="shared" si="67"/>
        <v>2055</v>
      </c>
      <c r="E689" t="s">
        <v>110</v>
      </c>
      <c r="H689" s="53">
        <f>H691-47</f>
        <v>57410</v>
      </c>
      <c r="I689" s="54">
        <f t="shared" si="63"/>
        <v>57410</v>
      </c>
      <c r="J689" t="s">
        <v>111</v>
      </c>
      <c r="K689">
        <f t="shared" si="64"/>
        <v>2057</v>
      </c>
      <c r="L689" t="s">
        <v>110</v>
      </c>
    </row>
    <row r="690" spans="1:12" x14ac:dyDescent="0.3">
      <c r="A690" s="53">
        <f>A691-2</f>
        <v>56720</v>
      </c>
      <c r="B690" s="54">
        <f t="shared" si="62"/>
        <v>56720</v>
      </c>
      <c r="C690" t="s">
        <v>112</v>
      </c>
      <c r="D690">
        <f t="shared" si="67"/>
        <v>2055</v>
      </c>
      <c r="E690" t="s">
        <v>110</v>
      </c>
      <c r="H690" s="53">
        <f>H691-2</f>
        <v>57455</v>
      </c>
      <c r="I690" s="54">
        <f t="shared" si="63"/>
        <v>57455</v>
      </c>
      <c r="J690" t="s">
        <v>112</v>
      </c>
      <c r="K690">
        <f t="shared" si="64"/>
        <v>2057</v>
      </c>
      <c r="L690" t="s">
        <v>110</v>
      </c>
    </row>
    <row r="691" spans="1:12" x14ac:dyDescent="0.3">
      <c r="A691" s="53">
        <f>FLOOR(DAY(MINUTE(D691/38)/2+56)&amp;"/5"&amp;"/"&amp;D691,7)-34</f>
        <v>56722</v>
      </c>
      <c r="B691" s="54">
        <f t="shared" si="62"/>
        <v>56722</v>
      </c>
      <c r="C691" t="s">
        <v>113</v>
      </c>
      <c r="D691">
        <f t="shared" si="67"/>
        <v>2055</v>
      </c>
      <c r="E691" t="s">
        <v>110</v>
      </c>
      <c r="H691" s="53">
        <f>FLOOR(DAY(MINUTE(K691/38)/2+56)&amp;"/5"&amp;"/"&amp;K691,7)-34</f>
        <v>57457</v>
      </c>
      <c r="I691" s="54">
        <f t="shared" si="63"/>
        <v>57457</v>
      </c>
      <c r="J691" t="s">
        <v>113</v>
      </c>
      <c r="K691">
        <f t="shared" si="64"/>
        <v>2057</v>
      </c>
      <c r="L691" t="s">
        <v>110</v>
      </c>
    </row>
    <row r="692" spans="1:12" x14ac:dyDescent="0.3">
      <c r="A692" s="53">
        <f>DATE(D692,4,14)</f>
        <v>56718</v>
      </c>
      <c r="B692" s="54">
        <f t="shared" si="62"/>
        <v>56718</v>
      </c>
      <c r="C692" t="s">
        <v>114</v>
      </c>
      <c r="D692">
        <f t="shared" si="67"/>
        <v>2055</v>
      </c>
      <c r="E692" t="s">
        <v>115</v>
      </c>
      <c r="H692" s="53">
        <f>DATE(K692,4,21)</f>
        <v>57456</v>
      </c>
      <c r="I692" s="54">
        <f t="shared" si="63"/>
        <v>57456</v>
      </c>
      <c r="J692" t="s">
        <v>116</v>
      </c>
      <c r="K692">
        <f t="shared" si="64"/>
        <v>2057</v>
      </c>
      <c r="L692" t="s">
        <v>110</v>
      </c>
    </row>
    <row r="693" spans="1:12" x14ac:dyDescent="0.3">
      <c r="A693" s="53">
        <f>DATE(D693,4,21)</f>
        <v>56725</v>
      </c>
      <c r="B693" s="54">
        <f t="shared" si="62"/>
        <v>56725</v>
      </c>
      <c r="C693" t="s">
        <v>116</v>
      </c>
      <c r="D693">
        <f t="shared" si="67"/>
        <v>2055</v>
      </c>
      <c r="E693" t="s">
        <v>110</v>
      </c>
      <c r="H693" s="53">
        <f>DATE(K693,5,1)</f>
        <v>57466</v>
      </c>
      <c r="I693" s="54">
        <f t="shared" si="63"/>
        <v>57466</v>
      </c>
      <c r="J693" t="s">
        <v>117</v>
      </c>
      <c r="K693">
        <f t="shared" si="64"/>
        <v>2057</v>
      </c>
      <c r="L693" t="s">
        <v>110</v>
      </c>
    </row>
    <row r="694" spans="1:12" x14ac:dyDescent="0.3">
      <c r="A694" s="53">
        <f>DATE(D694,5,1)</f>
        <v>56735</v>
      </c>
      <c r="B694" s="54">
        <f t="shared" si="62"/>
        <v>56735</v>
      </c>
      <c r="C694" t="s">
        <v>117</v>
      </c>
      <c r="D694">
        <f t="shared" si="67"/>
        <v>2055</v>
      </c>
      <c r="E694" t="s">
        <v>110</v>
      </c>
      <c r="H694" s="53">
        <f>DATE(K694,5,1)+(14-WEEKDAY(DATE(K694,5,1),2))</f>
        <v>57478</v>
      </c>
      <c r="I694" s="54">
        <f t="shared" si="63"/>
        <v>57478</v>
      </c>
      <c r="J694" t="s">
        <v>118</v>
      </c>
      <c r="K694">
        <f t="shared" si="64"/>
        <v>2057</v>
      </c>
      <c r="L694" t="s">
        <v>110</v>
      </c>
    </row>
    <row r="695" spans="1:12" x14ac:dyDescent="0.3">
      <c r="A695" s="53">
        <f>DATE(D695,5,1)+(14-WEEKDAY(DATE(D695,5,1),2))</f>
        <v>56743</v>
      </c>
      <c r="B695" s="54">
        <f t="shared" si="62"/>
        <v>56743</v>
      </c>
      <c r="C695" t="s">
        <v>118</v>
      </c>
      <c r="D695">
        <f t="shared" si="67"/>
        <v>2055</v>
      </c>
      <c r="E695" t="s">
        <v>110</v>
      </c>
      <c r="H695" s="53">
        <f>H691+60</f>
        <v>57517</v>
      </c>
      <c r="I695" s="54">
        <f t="shared" si="63"/>
        <v>57517</v>
      </c>
      <c r="J695" t="s">
        <v>119</v>
      </c>
      <c r="K695">
        <f t="shared" si="64"/>
        <v>2057</v>
      </c>
      <c r="L695" t="s">
        <v>110</v>
      </c>
    </row>
    <row r="696" spans="1:12" x14ac:dyDescent="0.3">
      <c r="A696" s="53">
        <f>A691+60</f>
        <v>56782</v>
      </c>
      <c r="B696" s="54">
        <f t="shared" si="62"/>
        <v>56782</v>
      </c>
      <c r="C696" t="s">
        <v>119</v>
      </c>
      <c r="D696">
        <f t="shared" si="67"/>
        <v>2055</v>
      </c>
      <c r="E696" t="s">
        <v>110</v>
      </c>
      <c r="H696" s="53">
        <f>DATE(K696,6,19)</f>
        <v>57515</v>
      </c>
      <c r="I696" s="54">
        <f t="shared" si="63"/>
        <v>57515</v>
      </c>
      <c r="J696" t="s">
        <v>114</v>
      </c>
      <c r="K696">
        <f t="shared" si="64"/>
        <v>2057</v>
      </c>
      <c r="L696" t="s">
        <v>115</v>
      </c>
    </row>
    <row r="697" spans="1:12" x14ac:dyDescent="0.3">
      <c r="A697" s="53">
        <f>DATE(D697,7,9)</f>
        <v>56804</v>
      </c>
      <c r="B697" s="54">
        <f t="shared" si="62"/>
        <v>56804</v>
      </c>
      <c r="C697" t="s">
        <v>120</v>
      </c>
      <c r="D697">
        <f t="shared" si="67"/>
        <v>2055</v>
      </c>
      <c r="E697" t="s">
        <v>121</v>
      </c>
      <c r="H697" s="53">
        <f>DATE(K697,7,9)</f>
        <v>57535</v>
      </c>
      <c r="I697" s="54">
        <f t="shared" si="63"/>
        <v>57535</v>
      </c>
      <c r="J697" t="s">
        <v>120</v>
      </c>
      <c r="K697">
        <f t="shared" si="64"/>
        <v>2057</v>
      </c>
      <c r="L697" t="s">
        <v>121</v>
      </c>
    </row>
    <row r="698" spans="1:12" x14ac:dyDescent="0.3">
      <c r="A698" s="53">
        <f>DATE(D698,8,8)</f>
        <v>56834</v>
      </c>
      <c r="B698" s="54">
        <f t="shared" si="62"/>
        <v>56834</v>
      </c>
      <c r="C698" t="s">
        <v>122</v>
      </c>
      <c r="D698">
        <f t="shared" si="67"/>
        <v>2055</v>
      </c>
      <c r="E698" t="s">
        <v>115</v>
      </c>
      <c r="H698" s="53">
        <f>DATE(K698,8,1)+(14-WEEKDAY(DATE(K698,8,1),2))</f>
        <v>57569</v>
      </c>
      <c r="I698" s="54">
        <f t="shared" si="63"/>
        <v>57569</v>
      </c>
      <c r="J698" t="s">
        <v>123</v>
      </c>
      <c r="K698">
        <f t="shared" si="64"/>
        <v>2057</v>
      </c>
      <c r="L698" t="s">
        <v>110</v>
      </c>
    </row>
    <row r="699" spans="1:12" x14ac:dyDescent="0.3">
      <c r="A699" s="53">
        <f>DATE(D699,8,1)+(14-WEEKDAY(DATE(D699,8,1),2))</f>
        <v>56834</v>
      </c>
      <c r="B699" s="54">
        <f t="shared" si="62"/>
        <v>56834</v>
      </c>
      <c r="C699" t="s">
        <v>123</v>
      </c>
      <c r="D699">
        <f t="shared" si="67"/>
        <v>2055</v>
      </c>
      <c r="E699" t="s">
        <v>110</v>
      </c>
      <c r="H699" s="53">
        <f>DATE(K699,9,7)</f>
        <v>57595</v>
      </c>
      <c r="I699" s="54">
        <f t="shared" si="63"/>
        <v>57595</v>
      </c>
      <c r="J699" t="s">
        <v>124</v>
      </c>
      <c r="K699">
        <f t="shared" si="64"/>
        <v>2057</v>
      </c>
      <c r="L699" t="s">
        <v>110</v>
      </c>
    </row>
    <row r="700" spans="1:12" x14ac:dyDescent="0.3">
      <c r="A700" s="53">
        <f>DATE(D700,9,7)</f>
        <v>56864</v>
      </c>
      <c r="B700" s="54">
        <f t="shared" si="62"/>
        <v>56864</v>
      </c>
      <c r="C700" t="s">
        <v>124</v>
      </c>
      <c r="D700">
        <f t="shared" si="67"/>
        <v>2055</v>
      </c>
      <c r="E700" t="s">
        <v>110</v>
      </c>
      <c r="H700" s="53">
        <f>DATE(K700,10,12)</f>
        <v>57630</v>
      </c>
      <c r="I700" s="54">
        <f t="shared" si="63"/>
        <v>57630</v>
      </c>
      <c r="J700" t="s">
        <v>125</v>
      </c>
      <c r="K700">
        <f t="shared" si="64"/>
        <v>2057</v>
      </c>
      <c r="L700" t="s">
        <v>110</v>
      </c>
    </row>
    <row r="701" spans="1:12" x14ac:dyDescent="0.3">
      <c r="A701" s="53">
        <f>DATE(D701,10,12)</f>
        <v>56899</v>
      </c>
      <c r="B701" s="54">
        <f t="shared" si="62"/>
        <v>56899</v>
      </c>
      <c r="C701" t="s">
        <v>125</v>
      </c>
      <c r="D701">
        <f t="shared" si="67"/>
        <v>2055</v>
      </c>
      <c r="E701" t="s">
        <v>110</v>
      </c>
      <c r="H701" s="53">
        <f>DATE(K701,11,2)</f>
        <v>57651</v>
      </c>
      <c r="I701" s="54">
        <f t="shared" si="63"/>
        <v>57651</v>
      </c>
      <c r="J701" t="s">
        <v>126</v>
      </c>
      <c r="K701">
        <f t="shared" si="64"/>
        <v>2057</v>
      </c>
      <c r="L701" t="s">
        <v>110</v>
      </c>
    </row>
    <row r="702" spans="1:12" x14ac:dyDescent="0.3">
      <c r="A702" s="53">
        <f>DATE(D702,11,2)</f>
        <v>56920</v>
      </c>
      <c r="B702" s="54">
        <f t="shared" si="62"/>
        <v>56920</v>
      </c>
      <c r="C702" t="s">
        <v>126</v>
      </c>
      <c r="D702">
        <f t="shared" si="67"/>
        <v>2055</v>
      </c>
      <c r="E702" t="s">
        <v>110</v>
      </c>
      <c r="H702" s="53">
        <f>DATE(K702,11,15)</f>
        <v>57664</v>
      </c>
      <c r="I702" s="54">
        <f t="shared" si="63"/>
        <v>57664</v>
      </c>
      <c r="J702" t="s">
        <v>127</v>
      </c>
      <c r="K702">
        <f t="shared" si="64"/>
        <v>2057</v>
      </c>
      <c r="L702" t="s">
        <v>110</v>
      </c>
    </row>
    <row r="703" spans="1:12" x14ac:dyDescent="0.3">
      <c r="A703" s="53">
        <f>DATE(D703,11,15)</f>
        <v>56933</v>
      </c>
      <c r="B703" s="54">
        <f t="shared" si="62"/>
        <v>56933</v>
      </c>
      <c r="C703" t="s">
        <v>127</v>
      </c>
      <c r="D703">
        <f t="shared" si="67"/>
        <v>2055</v>
      </c>
      <c r="E703" t="s">
        <v>110</v>
      </c>
      <c r="H703" s="53">
        <f>DATE(K703,11,20)</f>
        <v>57669</v>
      </c>
      <c r="I703" s="54">
        <f t="shared" si="63"/>
        <v>57669</v>
      </c>
      <c r="J703" t="s">
        <v>128</v>
      </c>
      <c r="K703">
        <f t="shared" si="64"/>
        <v>2057</v>
      </c>
      <c r="L703" t="s">
        <v>110</v>
      </c>
    </row>
    <row r="704" spans="1:12" x14ac:dyDescent="0.3">
      <c r="A704" s="53">
        <f>DATE(D704,11,20)</f>
        <v>56938</v>
      </c>
      <c r="B704" s="54">
        <f t="shared" si="62"/>
        <v>56938</v>
      </c>
      <c r="C704" t="s">
        <v>128</v>
      </c>
      <c r="D704">
        <f t="shared" si="67"/>
        <v>2055</v>
      </c>
      <c r="E704" t="s">
        <v>110</v>
      </c>
      <c r="H704" s="53">
        <f>DATE(K704,12,25)</f>
        <v>57704</v>
      </c>
      <c r="I704" s="54">
        <f t="shared" si="63"/>
        <v>57704</v>
      </c>
      <c r="J704" t="s">
        <v>129</v>
      </c>
      <c r="K704">
        <f t="shared" si="64"/>
        <v>2057</v>
      </c>
      <c r="L704" t="s">
        <v>110</v>
      </c>
    </row>
    <row r="705" spans="1:12" x14ac:dyDescent="0.3">
      <c r="A705" s="53">
        <f>DATE(D705,12,25)</f>
        <v>56973</v>
      </c>
      <c r="B705" s="54">
        <f t="shared" si="62"/>
        <v>56973</v>
      </c>
      <c r="C705" t="s">
        <v>129</v>
      </c>
      <c r="D705">
        <f t="shared" si="67"/>
        <v>2055</v>
      </c>
      <c r="E705" t="s">
        <v>110</v>
      </c>
      <c r="H705" s="53">
        <f>DATE(K705,1,1)</f>
        <v>57711</v>
      </c>
      <c r="I705" s="54">
        <f t="shared" si="63"/>
        <v>57711</v>
      </c>
      <c r="J705" t="s">
        <v>109</v>
      </c>
      <c r="K705">
        <f>K687+1</f>
        <v>2058</v>
      </c>
      <c r="L705" t="s">
        <v>110</v>
      </c>
    </row>
    <row r="706" spans="1:12" x14ac:dyDescent="0.3">
      <c r="A706" s="53">
        <f>DATE(D706,1,1)</f>
        <v>56980</v>
      </c>
      <c r="B706" s="54">
        <f t="shared" si="62"/>
        <v>56980</v>
      </c>
      <c r="C706" t="s">
        <v>109</v>
      </c>
      <c r="D706">
        <f>D687+1</f>
        <v>2056</v>
      </c>
      <c r="E706" t="s">
        <v>110</v>
      </c>
      <c r="H706" s="53">
        <f>H709-48</f>
        <v>57766</v>
      </c>
      <c r="I706" s="54">
        <f t="shared" si="63"/>
        <v>57766</v>
      </c>
      <c r="J706" t="s">
        <v>111</v>
      </c>
      <c r="K706">
        <f t="shared" si="64"/>
        <v>2058</v>
      </c>
      <c r="L706" t="s">
        <v>110</v>
      </c>
    </row>
    <row r="707" spans="1:12" x14ac:dyDescent="0.3">
      <c r="A707" s="53">
        <f>A710-48</f>
        <v>57024</v>
      </c>
      <c r="B707" s="54">
        <f t="shared" ref="B707:B770" si="68">A707</f>
        <v>57024</v>
      </c>
      <c r="C707" t="s">
        <v>111</v>
      </c>
      <c r="D707">
        <f t="shared" ref="D707:D770" si="69">D688+1</f>
        <v>2056</v>
      </c>
      <c r="E707" t="s">
        <v>110</v>
      </c>
      <c r="H707" s="53">
        <f>H709-47</f>
        <v>57767</v>
      </c>
      <c r="I707" s="54">
        <f t="shared" si="63"/>
        <v>57767</v>
      </c>
      <c r="J707" t="s">
        <v>111</v>
      </c>
      <c r="K707">
        <f t="shared" si="64"/>
        <v>2058</v>
      </c>
      <c r="L707" t="s">
        <v>110</v>
      </c>
    </row>
    <row r="708" spans="1:12" x14ac:dyDescent="0.3">
      <c r="A708" s="53">
        <f>A710-47</f>
        <v>57025</v>
      </c>
      <c r="B708" s="54">
        <f t="shared" si="68"/>
        <v>57025</v>
      </c>
      <c r="C708" t="s">
        <v>111</v>
      </c>
      <c r="D708">
        <f t="shared" si="69"/>
        <v>2056</v>
      </c>
      <c r="E708" t="s">
        <v>110</v>
      </c>
      <c r="H708" s="53">
        <f>H709-2</f>
        <v>57812</v>
      </c>
      <c r="I708" s="54">
        <f t="shared" si="63"/>
        <v>57812</v>
      </c>
      <c r="J708" t="s">
        <v>112</v>
      </c>
      <c r="K708">
        <f t="shared" si="64"/>
        <v>2058</v>
      </c>
      <c r="L708" t="s">
        <v>110</v>
      </c>
    </row>
    <row r="709" spans="1:12" x14ac:dyDescent="0.3">
      <c r="A709" s="53">
        <f>A710-2</f>
        <v>57070</v>
      </c>
      <c r="B709" s="54">
        <f t="shared" si="68"/>
        <v>57070</v>
      </c>
      <c r="C709" t="s">
        <v>112</v>
      </c>
      <c r="D709">
        <f t="shared" si="69"/>
        <v>2056</v>
      </c>
      <c r="E709" t="s">
        <v>110</v>
      </c>
      <c r="H709" s="53">
        <f>FLOOR(DAY(MINUTE(K709/38)/2+56)&amp;"/5"&amp;"/"&amp;K709,7)-34</f>
        <v>57814</v>
      </c>
      <c r="I709" s="54">
        <f t="shared" si="63"/>
        <v>57814</v>
      </c>
      <c r="J709" t="s">
        <v>113</v>
      </c>
      <c r="K709">
        <f t="shared" si="64"/>
        <v>2058</v>
      </c>
      <c r="L709" t="s">
        <v>110</v>
      </c>
    </row>
    <row r="710" spans="1:12" x14ac:dyDescent="0.3">
      <c r="A710" s="53">
        <f>FLOOR(DAY(MINUTE(D710/38)/2+56)&amp;"/5"&amp;"/"&amp;D710,7)-34</f>
        <v>57072</v>
      </c>
      <c r="B710" s="54">
        <f t="shared" si="68"/>
        <v>57072</v>
      </c>
      <c r="C710" t="s">
        <v>113</v>
      </c>
      <c r="D710">
        <f t="shared" si="69"/>
        <v>2056</v>
      </c>
      <c r="E710" t="s">
        <v>110</v>
      </c>
      <c r="H710" s="53">
        <f>DATE(K710,4,21)</f>
        <v>57821</v>
      </c>
      <c r="I710" s="54">
        <f t="shared" si="63"/>
        <v>57821</v>
      </c>
      <c r="J710" t="s">
        <v>116</v>
      </c>
      <c r="K710">
        <f t="shared" si="64"/>
        <v>2058</v>
      </c>
      <c r="L710" t="s">
        <v>110</v>
      </c>
    </row>
    <row r="711" spans="1:12" x14ac:dyDescent="0.3">
      <c r="A711" s="53">
        <f>DATE(D711,4,14)</f>
        <v>57084</v>
      </c>
      <c r="B711" s="54">
        <f t="shared" si="68"/>
        <v>57084</v>
      </c>
      <c r="C711" t="s">
        <v>114</v>
      </c>
      <c r="D711">
        <f t="shared" si="69"/>
        <v>2056</v>
      </c>
      <c r="E711" t="s">
        <v>115</v>
      </c>
      <c r="H711" s="53">
        <f>DATE(K711,5,1)</f>
        <v>57831</v>
      </c>
      <c r="I711" s="54">
        <f t="shared" si="63"/>
        <v>57831</v>
      </c>
      <c r="J711" t="s">
        <v>117</v>
      </c>
      <c r="K711">
        <f t="shared" si="64"/>
        <v>2058</v>
      </c>
      <c r="L711" t="s">
        <v>110</v>
      </c>
    </row>
    <row r="712" spans="1:12" x14ac:dyDescent="0.3">
      <c r="A712" s="53">
        <f>DATE(D712,4,21)</f>
        <v>57091</v>
      </c>
      <c r="B712" s="54">
        <f t="shared" si="68"/>
        <v>57091</v>
      </c>
      <c r="C712" t="s">
        <v>116</v>
      </c>
      <c r="D712">
        <f t="shared" si="69"/>
        <v>2056</v>
      </c>
      <c r="E712" t="s">
        <v>110</v>
      </c>
      <c r="H712" s="53">
        <f>DATE(K712,5,1)+(14-WEEKDAY(DATE(K712,5,1),2))</f>
        <v>57842</v>
      </c>
      <c r="I712" s="54">
        <f t="shared" ref="I712:I775" si="70">H712</f>
        <v>57842</v>
      </c>
      <c r="J712" t="s">
        <v>118</v>
      </c>
      <c r="K712">
        <f t="shared" si="64"/>
        <v>2058</v>
      </c>
      <c r="L712" t="s">
        <v>110</v>
      </c>
    </row>
    <row r="713" spans="1:12" x14ac:dyDescent="0.3">
      <c r="A713" s="53">
        <f>DATE(D713,5,1)</f>
        <v>57101</v>
      </c>
      <c r="B713" s="54">
        <f t="shared" si="68"/>
        <v>57101</v>
      </c>
      <c r="C713" t="s">
        <v>117</v>
      </c>
      <c r="D713">
        <f t="shared" si="69"/>
        <v>2056</v>
      </c>
      <c r="E713" t="s">
        <v>110</v>
      </c>
      <c r="H713" s="53">
        <f>H709+60</f>
        <v>57874</v>
      </c>
      <c r="I713" s="54">
        <f t="shared" si="70"/>
        <v>57874</v>
      </c>
      <c r="J713" t="s">
        <v>119</v>
      </c>
      <c r="K713">
        <f t="shared" si="64"/>
        <v>2058</v>
      </c>
      <c r="L713" t="s">
        <v>110</v>
      </c>
    </row>
    <row r="714" spans="1:12" x14ac:dyDescent="0.3">
      <c r="A714" s="53">
        <f>DATE(D714,5,1)+(14-WEEKDAY(DATE(D714,5,1),2))</f>
        <v>57114</v>
      </c>
      <c r="B714" s="54">
        <f t="shared" si="68"/>
        <v>57114</v>
      </c>
      <c r="C714" t="s">
        <v>118</v>
      </c>
      <c r="D714">
        <f t="shared" si="69"/>
        <v>2056</v>
      </c>
      <c r="E714" t="s">
        <v>110</v>
      </c>
      <c r="H714" s="53">
        <f>DATE(K714,6,19)</f>
        <v>57880</v>
      </c>
      <c r="I714" s="54">
        <f t="shared" si="70"/>
        <v>57880</v>
      </c>
      <c r="J714" t="s">
        <v>114</v>
      </c>
      <c r="K714">
        <f t="shared" si="64"/>
        <v>2058</v>
      </c>
      <c r="L714" t="s">
        <v>115</v>
      </c>
    </row>
    <row r="715" spans="1:12" x14ac:dyDescent="0.3">
      <c r="A715" s="53">
        <f>A710+60</f>
        <v>57132</v>
      </c>
      <c r="B715" s="54">
        <f t="shared" si="68"/>
        <v>57132</v>
      </c>
      <c r="C715" t="s">
        <v>119</v>
      </c>
      <c r="D715">
        <f t="shared" si="69"/>
        <v>2056</v>
      </c>
      <c r="E715" t="s">
        <v>110</v>
      </c>
      <c r="H715" s="53">
        <f>DATE(K715,7,9)</f>
        <v>57900</v>
      </c>
      <c r="I715" s="54">
        <f t="shared" si="70"/>
        <v>57900</v>
      </c>
      <c r="J715" t="s">
        <v>120</v>
      </c>
      <c r="K715">
        <f t="shared" si="64"/>
        <v>2058</v>
      </c>
      <c r="L715" t="s">
        <v>121</v>
      </c>
    </row>
    <row r="716" spans="1:12" x14ac:dyDescent="0.3">
      <c r="A716" s="53">
        <f>DATE(D716,7,9)</f>
        <v>57170</v>
      </c>
      <c r="B716" s="54">
        <f t="shared" si="68"/>
        <v>57170</v>
      </c>
      <c r="C716" t="s">
        <v>120</v>
      </c>
      <c r="D716">
        <f t="shared" si="69"/>
        <v>2056</v>
      </c>
      <c r="E716" t="s">
        <v>121</v>
      </c>
      <c r="H716" s="53">
        <f>DATE(K716,8,1)+(14-WEEKDAY(DATE(K716,8,1),2))</f>
        <v>57933</v>
      </c>
      <c r="I716" s="54">
        <f t="shared" si="70"/>
        <v>57933</v>
      </c>
      <c r="J716" t="s">
        <v>123</v>
      </c>
      <c r="K716">
        <f t="shared" ref="K716:K722" si="71">K698+1</f>
        <v>2058</v>
      </c>
      <c r="L716" t="s">
        <v>110</v>
      </c>
    </row>
    <row r="717" spans="1:12" x14ac:dyDescent="0.3">
      <c r="A717" s="53">
        <f>DATE(D717,8,8)</f>
        <v>57200</v>
      </c>
      <c r="B717" s="54">
        <f t="shared" si="68"/>
        <v>57200</v>
      </c>
      <c r="C717" t="s">
        <v>122</v>
      </c>
      <c r="D717">
        <f t="shared" si="69"/>
        <v>2056</v>
      </c>
      <c r="E717" t="s">
        <v>115</v>
      </c>
      <c r="H717" s="53">
        <f>DATE(K717,9,7)</f>
        <v>57960</v>
      </c>
      <c r="I717" s="54">
        <f t="shared" si="70"/>
        <v>57960</v>
      </c>
      <c r="J717" t="s">
        <v>124</v>
      </c>
      <c r="K717">
        <f t="shared" si="71"/>
        <v>2058</v>
      </c>
      <c r="L717" t="s">
        <v>110</v>
      </c>
    </row>
    <row r="718" spans="1:12" x14ac:dyDescent="0.3">
      <c r="A718" s="53">
        <f>DATE(D718,8,1)+(14-WEEKDAY(DATE(D718,8,1),2))</f>
        <v>57205</v>
      </c>
      <c r="B718" s="54">
        <f t="shared" si="68"/>
        <v>57205</v>
      </c>
      <c r="C718" t="s">
        <v>123</v>
      </c>
      <c r="D718">
        <f t="shared" si="69"/>
        <v>2056</v>
      </c>
      <c r="E718" t="s">
        <v>110</v>
      </c>
      <c r="H718" s="53">
        <f>DATE(K718,10,12)</f>
        <v>57995</v>
      </c>
      <c r="I718" s="54">
        <f t="shared" si="70"/>
        <v>57995</v>
      </c>
      <c r="J718" t="s">
        <v>125</v>
      </c>
      <c r="K718">
        <f t="shared" si="71"/>
        <v>2058</v>
      </c>
      <c r="L718" t="s">
        <v>110</v>
      </c>
    </row>
    <row r="719" spans="1:12" x14ac:dyDescent="0.3">
      <c r="A719" s="53">
        <f>DATE(D719,9,7)</f>
        <v>57230</v>
      </c>
      <c r="B719" s="54">
        <f t="shared" si="68"/>
        <v>57230</v>
      </c>
      <c r="C719" t="s">
        <v>124</v>
      </c>
      <c r="D719">
        <f t="shared" si="69"/>
        <v>2056</v>
      </c>
      <c r="E719" t="s">
        <v>110</v>
      </c>
      <c r="H719" s="53">
        <f>DATE(K719,11,2)</f>
        <v>58016</v>
      </c>
      <c r="I719" s="54">
        <f t="shared" si="70"/>
        <v>58016</v>
      </c>
      <c r="J719" t="s">
        <v>126</v>
      </c>
      <c r="K719">
        <f t="shared" si="71"/>
        <v>2058</v>
      </c>
      <c r="L719" t="s">
        <v>110</v>
      </c>
    </row>
    <row r="720" spans="1:12" x14ac:dyDescent="0.3">
      <c r="A720" s="53">
        <f>DATE(D720,10,12)</f>
        <v>57265</v>
      </c>
      <c r="B720" s="54">
        <f t="shared" si="68"/>
        <v>57265</v>
      </c>
      <c r="C720" t="s">
        <v>125</v>
      </c>
      <c r="D720">
        <f t="shared" si="69"/>
        <v>2056</v>
      </c>
      <c r="E720" t="s">
        <v>110</v>
      </c>
      <c r="H720" s="53">
        <f>DATE(K720,11,15)</f>
        <v>58029</v>
      </c>
      <c r="I720" s="54">
        <f t="shared" si="70"/>
        <v>58029</v>
      </c>
      <c r="J720" t="s">
        <v>127</v>
      </c>
      <c r="K720">
        <f t="shared" si="71"/>
        <v>2058</v>
      </c>
      <c r="L720" t="s">
        <v>110</v>
      </c>
    </row>
    <row r="721" spans="1:12" x14ac:dyDescent="0.3">
      <c r="A721" s="53">
        <f>DATE(D721,11,2)</f>
        <v>57286</v>
      </c>
      <c r="B721" s="54">
        <f t="shared" si="68"/>
        <v>57286</v>
      </c>
      <c r="C721" t="s">
        <v>126</v>
      </c>
      <c r="D721">
        <f t="shared" si="69"/>
        <v>2056</v>
      </c>
      <c r="E721" t="s">
        <v>110</v>
      </c>
      <c r="H721" s="53">
        <f>DATE(K721,11,20)</f>
        <v>58034</v>
      </c>
      <c r="I721" s="54">
        <f t="shared" si="70"/>
        <v>58034</v>
      </c>
      <c r="J721" t="s">
        <v>128</v>
      </c>
      <c r="K721">
        <f t="shared" si="71"/>
        <v>2058</v>
      </c>
      <c r="L721" t="s">
        <v>110</v>
      </c>
    </row>
    <row r="722" spans="1:12" x14ac:dyDescent="0.3">
      <c r="A722" s="53">
        <f>DATE(D722,11,15)</f>
        <v>57299</v>
      </c>
      <c r="B722" s="54">
        <f t="shared" si="68"/>
        <v>57299</v>
      </c>
      <c r="C722" t="s">
        <v>127</v>
      </c>
      <c r="D722">
        <f t="shared" si="69"/>
        <v>2056</v>
      </c>
      <c r="E722" t="s">
        <v>110</v>
      </c>
      <c r="H722" s="53">
        <f>DATE(K722,12,25)</f>
        <v>58069</v>
      </c>
      <c r="I722" s="54">
        <f t="shared" si="70"/>
        <v>58069</v>
      </c>
      <c r="J722" t="s">
        <v>129</v>
      </c>
      <c r="K722">
        <f t="shared" si="71"/>
        <v>2058</v>
      </c>
      <c r="L722" t="s">
        <v>110</v>
      </c>
    </row>
    <row r="723" spans="1:12" x14ac:dyDescent="0.3">
      <c r="A723" s="53">
        <f>DATE(D723,11,20)</f>
        <v>57304</v>
      </c>
      <c r="B723" s="54">
        <f t="shared" si="68"/>
        <v>57304</v>
      </c>
      <c r="C723" t="s">
        <v>128</v>
      </c>
      <c r="D723">
        <f t="shared" si="69"/>
        <v>2056</v>
      </c>
      <c r="E723" t="s">
        <v>110</v>
      </c>
      <c r="H723" s="53">
        <f>DATE(K723,1,1)</f>
        <v>58076</v>
      </c>
      <c r="I723" s="54">
        <f t="shared" si="70"/>
        <v>58076</v>
      </c>
      <c r="J723" t="s">
        <v>109</v>
      </c>
      <c r="K723">
        <f>K705+1</f>
        <v>2059</v>
      </c>
      <c r="L723" t="s">
        <v>110</v>
      </c>
    </row>
    <row r="724" spans="1:12" x14ac:dyDescent="0.3">
      <c r="A724" s="53">
        <f>DATE(D724,12,25)</f>
        <v>57339</v>
      </c>
      <c r="B724" s="54">
        <f t="shared" si="68"/>
        <v>57339</v>
      </c>
      <c r="C724" t="s">
        <v>129</v>
      </c>
      <c r="D724">
        <f t="shared" si="69"/>
        <v>2056</v>
      </c>
      <c r="E724" t="s">
        <v>110</v>
      </c>
      <c r="H724" s="53">
        <f>H727-48</f>
        <v>58116</v>
      </c>
      <c r="I724" s="54">
        <f t="shared" si="70"/>
        <v>58116</v>
      </c>
      <c r="J724" t="s">
        <v>111</v>
      </c>
      <c r="K724">
        <f t="shared" ref="K724:K740" si="72">K706+1</f>
        <v>2059</v>
      </c>
      <c r="L724" t="s">
        <v>110</v>
      </c>
    </row>
    <row r="725" spans="1:12" x14ac:dyDescent="0.3">
      <c r="A725" s="53">
        <f>DATE(D725,1,1)</f>
        <v>57346</v>
      </c>
      <c r="B725" s="54">
        <f t="shared" si="68"/>
        <v>57346</v>
      </c>
      <c r="C725" t="s">
        <v>109</v>
      </c>
      <c r="D725">
        <f>D706+1</f>
        <v>2057</v>
      </c>
      <c r="E725" t="s">
        <v>110</v>
      </c>
      <c r="H725" s="53">
        <f>H727-47</f>
        <v>58117</v>
      </c>
      <c r="I725" s="54">
        <f t="shared" si="70"/>
        <v>58117</v>
      </c>
      <c r="J725" t="s">
        <v>111</v>
      </c>
      <c r="K725">
        <f t="shared" si="72"/>
        <v>2059</v>
      </c>
      <c r="L725" t="s">
        <v>110</v>
      </c>
    </row>
    <row r="726" spans="1:12" x14ac:dyDescent="0.3">
      <c r="A726" s="53">
        <f>A729-48</f>
        <v>57409</v>
      </c>
      <c r="B726" s="54">
        <f t="shared" si="68"/>
        <v>57409</v>
      </c>
      <c r="C726" t="s">
        <v>111</v>
      </c>
      <c r="D726">
        <f t="shared" si="69"/>
        <v>2057</v>
      </c>
      <c r="E726" t="s">
        <v>110</v>
      </c>
      <c r="H726" s="53">
        <f>H727-2</f>
        <v>58162</v>
      </c>
      <c r="I726" s="54">
        <f t="shared" si="70"/>
        <v>58162</v>
      </c>
      <c r="J726" t="s">
        <v>112</v>
      </c>
      <c r="K726">
        <f t="shared" si="72"/>
        <v>2059</v>
      </c>
      <c r="L726" t="s">
        <v>110</v>
      </c>
    </row>
    <row r="727" spans="1:12" x14ac:dyDescent="0.3">
      <c r="A727" s="53">
        <f>A729-47</f>
        <v>57410</v>
      </c>
      <c r="B727" s="54">
        <f t="shared" si="68"/>
        <v>57410</v>
      </c>
      <c r="C727" t="s">
        <v>111</v>
      </c>
      <c r="D727">
        <f t="shared" si="69"/>
        <v>2057</v>
      </c>
      <c r="E727" t="s">
        <v>110</v>
      </c>
      <c r="H727" s="53">
        <f>FLOOR(DAY(MINUTE(K727/38)/2+56)&amp;"/5"&amp;"/"&amp;K727,7)-34</f>
        <v>58164</v>
      </c>
      <c r="I727" s="54">
        <f t="shared" si="70"/>
        <v>58164</v>
      </c>
      <c r="J727" t="s">
        <v>113</v>
      </c>
      <c r="K727">
        <f t="shared" si="72"/>
        <v>2059</v>
      </c>
      <c r="L727" t="s">
        <v>110</v>
      </c>
    </row>
    <row r="728" spans="1:12" x14ac:dyDescent="0.3">
      <c r="A728" s="53">
        <f>A729-2</f>
        <v>57455</v>
      </c>
      <c r="B728" s="54">
        <f t="shared" si="68"/>
        <v>57455</v>
      </c>
      <c r="C728" t="s">
        <v>112</v>
      </c>
      <c r="D728">
        <f t="shared" si="69"/>
        <v>2057</v>
      </c>
      <c r="E728" t="s">
        <v>110</v>
      </c>
      <c r="H728" s="53">
        <f>DATE(K728,4,21)</f>
        <v>58186</v>
      </c>
      <c r="I728" s="54">
        <f t="shared" si="70"/>
        <v>58186</v>
      </c>
      <c r="J728" t="s">
        <v>116</v>
      </c>
      <c r="K728">
        <f t="shared" si="72"/>
        <v>2059</v>
      </c>
      <c r="L728" t="s">
        <v>110</v>
      </c>
    </row>
    <row r="729" spans="1:12" x14ac:dyDescent="0.3">
      <c r="A729" s="53">
        <f>FLOOR(DAY(MINUTE(D729/38)/2+56)&amp;"/5"&amp;"/"&amp;D729,7)-34</f>
        <v>57457</v>
      </c>
      <c r="B729" s="54">
        <f t="shared" si="68"/>
        <v>57457</v>
      </c>
      <c r="C729" t="s">
        <v>113</v>
      </c>
      <c r="D729">
        <f t="shared" si="69"/>
        <v>2057</v>
      </c>
      <c r="E729" t="s">
        <v>110</v>
      </c>
      <c r="H729" s="53">
        <f>DATE(K729,5,1)</f>
        <v>58196</v>
      </c>
      <c r="I729" s="54">
        <f t="shared" si="70"/>
        <v>58196</v>
      </c>
      <c r="J729" t="s">
        <v>117</v>
      </c>
      <c r="K729">
        <f t="shared" si="72"/>
        <v>2059</v>
      </c>
      <c r="L729" t="s">
        <v>110</v>
      </c>
    </row>
    <row r="730" spans="1:12" x14ac:dyDescent="0.3">
      <c r="A730" s="53">
        <f>DATE(D730,4,14)</f>
        <v>57449</v>
      </c>
      <c r="B730" s="54">
        <f t="shared" si="68"/>
        <v>57449</v>
      </c>
      <c r="C730" t="s">
        <v>114</v>
      </c>
      <c r="D730">
        <f t="shared" si="69"/>
        <v>2057</v>
      </c>
      <c r="E730" t="s">
        <v>115</v>
      </c>
      <c r="H730" s="53">
        <f>DATE(K730,5,1)+(14-WEEKDAY(DATE(K730,5,1),2))</f>
        <v>58206</v>
      </c>
      <c r="I730" s="54">
        <f t="shared" si="70"/>
        <v>58206</v>
      </c>
      <c r="J730" t="s">
        <v>118</v>
      </c>
      <c r="K730">
        <f t="shared" si="72"/>
        <v>2059</v>
      </c>
      <c r="L730" t="s">
        <v>110</v>
      </c>
    </row>
    <row r="731" spans="1:12" x14ac:dyDescent="0.3">
      <c r="A731" s="53">
        <f>DATE(D731,4,21)</f>
        <v>57456</v>
      </c>
      <c r="B731" s="54">
        <f t="shared" si="68"/>
        <v>57456</v>
      </c>
      <c r="C731" t="s">
        <v>116</v>
      </c>
      <c r="D731">
        <f t="shared" si="69"/>
        <v>2057</v>
      </c>
      <c r="E731" t="s">
        <v>110</v>
      </c>
      <c r="H731" s="53">
        <f>H727+60</f>
        <v>58224</v>
      </c>
      <c r="I731" s="54">
        <f t="shared" si="70"/>
        <v>58224</v>
      </c>
      <c r="J731" t="s">
        <v>119</v>
      </c>
      <c r="K731">
        <f t="shared" si="72"/>
        <v>2059</v>
      </c>
      <c r="L731" t="s">
        <v>110</v>
      </c>
    </row>
    <row r="732" spans="1:12" x14ac:dyDescent="0.3">
      <c r="A732" s="53">
        <f>DATE(D732,5,1)</f>
        <v>57466</v>
      </c>
      <c r="B732" s="54">
        <f t="shared" si="68"/>
        <v>57466</v>
      </c>
      <c r="C732" t="s">
        <v>117</v>
      </c>
      <c r="D732">
        <f t="shared" si="69"/>
        <v>2057</v>
      </c>
      <c r="E732" t="s">
        <v>110</v>
      </c>
      <c r="H732" s="53">
        <f>DATE(K732,6,19)</f>
        <v>58245</v>
      </c>
      <c r="I732" s="54">
        <f t="shared" si="70"/>
        <v>58245</v>
      </c>
      <c r="J732" t="s">
        <v>114</v>
      </c>
      <c r="K732">
        <f t="shared" si="72"/>
        <v>2059</v>
      </c>
      <c r="L732" t="s">
        <v>115</v>
      </c>
    </row>
    <row r="733" spans="1:12" x14ac:dyDescent="0.3">
      <c r="A733" s="53">
        <f>DATE(D733,5,1)+(14-WEEKDAY(DATE(D733,5,1),2))</f>
        <v>57478</v>
      </c>
      <c r="B733" s="54">
        <f t="shared" si="68"/>
        <v>57478</v>
      </c>
      <c r="C733" t="s">
        <v>118</v>
      </c>
      <c r="D733">
        <f t="shared" si="69"/>
        <v>2057</v>
      </c>
      <c r="E733" t="s">
        <v>110</v>
      </c>
      <c r="H733" s="53">
        <f>DATE(K733,7,9)</f>
        <v>58265</v>
      </c>
      <c r="I733" s="54">
        <f t="shared" si="70"/>
        <v>58265</v>
      </c>
      <c r="J733" t="s">
        <v>120</v>
      </c>
      <c r="K733">
        <f t="shared" si="72"/>
        <v>2059</v>
      </c>
      <c r="L733" t="s">
        <v>121</v>
      </c>
    </row>
    <row r="734" spans="1:12" x14ac:dyDescent="0.3">
      <c r="A734" s="53">
        <f>A729+60</f>
        <v>57517</v>
      </c>
      <c r="B734" s="54">
        <f t="shared" si="68"/>
        <v>57517</v>
      </c>
      <c r="C734" t="s">
        <v>119</v>
      </c>
      <c r="D734">
        <f t="shared" si="69"/>
        <v>2057</v>
      </c>
      <c r="E734" t="s">
        <v>110</v>
      </c>
      <c r="H734" s="53">
        <f>DATE(K734,8,1)+(14-WEEKDAY(DATE(K734,8,1),2))</f>
        <v>58297</v>
      </c>
      <c r="I734" s="54">
        <f t="shared" si="70"/>
        <v>58297</v>
      </c>
      <c r="J734" t="s">
        <v>123</v>
      </c>
      <c r="K734">
        <f t="shared" si="72"/>
        <v>2059</v>
      </c>
      <c r="L734" t="s">
        <v>110</v>
      </c>
    </row>
    <row r="735" spans="1:12" x14ac:dyDescent="0.3">
      <c r="A735" s="53">
        <f>DATE(D735,7,9)</f>
        <v>57535</v>
      </c>
      <c r="B735" s="54">
        <f t="shared" si="68"/>
        <v>57535</v>
      </c>
      <c r="C735" t="s">
        <v>120</v>
      </c>
      <c r="D735">
        <f t="shared" si="69"/>
        <v>2057</v>
      </c>
      <c r="E735" t="s">
        <v>121</v>
      </c>
      <c r="H735" s="53">
        <f>DATE(K735,9,7)</f>
        <v>58325</v>
      </c>
      <c r="I735" s="54">
        <f t="shared" si="70"/>
        <v>58325</v>
      </c>
      <c r="J735" t="s">
        <v>124</v>
      </c>
      <c r="K735">
        <f t="shared" si="72"/>
        <v>2059</v>
      </c>
      <c r="L735" t="s">
        <v>110</v>
      </c>
    </row>
    <row r="736" spans="1:12" x14ac:dyDescent="0.3">
      <c r="A736" s="53">
        <f>DATE(D736,8,8)</f>
        <v>57565</v>
      </c>
      <c r="B736" s="54">
        <f t="shared" si="68"/>
        <v>57565</v>
      </c>
      <c r="C736" t="s">
        <v>122</v>
      </c>
      <c r="D736">
        <f t="shared" si="69"/>
        <v>2057</v>
      </c>
      <c r="E736" t="s">
        <v>115</v>
      </c>
      <c r="H736" s="53">
        <f>DATE(K736,10,12)</f>
        <v>58360</v>
      </c>
      <c r="I736" s="54">
        <f t="shared" si="70"/>
        <v>58360</v>
      </c>
      <c r="J736" t="s">
        <v>125</v>
      </c>
      <c r="K736">
        <f t="shared" si="72"/>
        <v>2059</v>
      </c>
      <c r="L736" t="s">
        <v>110</v>
      </c>
    </row>
    <row r="737" spans="1:12" x14ac:dyDescent="0.3">
      <c r="A737" s="53">
        <f>DATE(D737,8,1)+(14-WEEKDAY(DATE(D737,8,1),2))</f>
        <v>57569</v>
      </c>
      <c r="B737" s="54">
        <f t="shared" si="68"/>
        <v>57569</v>
      </c>
      <c r="C737" t="s">
        <v>123</v>
      </c>
      <c r="D737">
        <f t="shared" si="69"/>
        <v>2057</v>
      </c>
      <c r="E737" t="s">
        <v>110</v>
      </c>
      <c r="H737" s="53">
        <f>DATE(K737,11,2)</f>
        <v>58381</v>
      </c>
      <c r="I737" s="54">
        <f t="shared" si="70"/>
        <v>58381</v>
      </c>
      <c r="J737" t="s">
        <v>126</v>
      </c>
      <c r="K737">
        <f t="shared" si="72"/>
        <v>2059</v>
      </c>
      <c r="L737" t="s">
        <v>110</v>
      </c>
    </row>
    <row r="738" spans="1:12" x14ac:dyDescent="0.3">
      <c r="A738" s="53">
        <f>DATE(D738,9,7)</f>
        <v>57595</v>
      </c>
      <c r="B738" s="54">
        <f t="shared" si="68"/>
        <v>57595</v>
      </c>
      <c r="C738" t="s">
        <v>124</v>
      </c>
      <c r="D738">
        <f t="shared" si="69"/>
        <v>2057</v>
      </c>
      <c r="E738" t="s">
        <v>110</v>
      </c>
      <c r="H738" s="53">
        <f>DATE(K738,11,15)</f>
        <v>58394</v>
      </c>
      <c r="I738" s="54">
        <f t="shared" si="70"/>
        <v>58394</v>
      </c>
      <c r="J738" t="s">
        <v>127</v>
      </c>
      <c r="K738">
        <f t="shared" si="72"/>
        <v>2059</v>
      </c>
      <c r="L738" t="s">
        <v>110</v>
      </c>
    </row>
    <row r="739" spans="1:12" x14ac:dyDescent="0.3">
      <c r="A739" s="53">
        <f>DATE(D739,10,12)</f>
        <v>57630</v>
      </c>
      <c r="B739" s="54">
        <f t="shared" si="68"/>
        <v>57630</v>
      </c>
      <c r="C739" t="s">
        <v>125</v>
      </c>
      <c r="D739">
        <f t="shared" si="69"/>
        <v>2057</v>
      </c>
      <c r="E739" t="s">
        <v>110</v>
      </c>
      <c r="H739" s="53">
        <f>DATE(K739,11,20)</f>
        <v>58399</v>
      </c>
      <c r="I739" s="54">
        <f t="shared" si="70"/>
        <v>58399</v>
      </c>
      <c r="J739" t="s">
        <v>128</v>
      </c>
      <c r="K739">
        <f t="shared" si="72"/>
        <v>2059</v>
      </c>
      <c r="L739" t="s">
        <v>110</v>
      </c>
    </row>
    <row r="740" spans="1:12" x14ac:dyDescent="0.3">
      <c r="A740" s="53">
        <f>DATE(D740,11,2)</f>
        <v>57651</v>
      </c>
      <c r="B740" s="54">
        <f t="shared" si="68"/>
        <v>57651</v>
      </c>
      <c r="C740" t="s">
        <v>126</v>
      </c>
      <c r="D740">
        <f t="shared" si="69"/>
        <v>2057</v>
      </c>
      <c r="E740" t="s">
        <v>110</v>
      </c>
      <c r="H740" s="53">
        <f>DATE(K740,12,25)</f>
        <v>58434</v>
      </c>
      <c r="I740" s="54">
        <f t="shared" si="70"/>
        <v>58434</v>
      </c>
      <c r="J740" t="s">
        <v>129</v>
      </c>
      <c r="K740">
        <f t="shared" si="72"/>
        <v>2059</v>
      </c>
      <c r="L740" t="s">
        <v>110</v>
      </c>
    </row>
    <row r="741" spans="1:12" x14ac:dyDescent="0.3">
      <c r="A741" s="53">
        <f>DATE(D741,11,15)</f>
        <v>57664</v>
      </c>
      <c r="B741" s="54">
        <f t="shared" si="68"/>
        <v>57664</v>
      </c>
      <c r="C741" t="s">
        <v>127</v>
      </c>
      <c r="D741">
        <f t="shared" si="69"/>
        <v>2057</v>
      </c>
      <c r="E741" t="s">
        <v>110</v>
      </c>
      <c r="H741" s="53">
        <f>DATE(K741,1,1)</f>
        <v>58441</v>
      </c>
      <c r="I741" s="54">
        <f t="shared" si="70"/>
        <v>58441</v>
      </c>
      <c r="J741" t="s">
        <v>109</v>
      </c>
      <c r="K741">
        <f>K723+1</f>
        <v>2060</v>
      </c>
      <c r="L741" t="s">
        <v>110</v>
      </c>
    </row>
    <row r="742" spans="1:12" x14ac:dyDescent="0.3">
      <c r="A742" s="53">
        <f>DATE(D742,11,20)</f>
        <v>57669</v>
      </c>
      <c r="B742" s="54">
        <f t="shared" si="68"/>
        <v>57669</v>
      </c>
      <c r="C742" t="s">
        <v>128</v>
      </c>
      <c r="D742">
        <f t="shared" si="69"/>
        <v>2057</v>
      </c>
      <c r="E742" t="s">
        <v>110</v>
      </c>
      <c r="H742" s="53">
        <f>H745-48</f>
        <v>58501</v>
      </c>
      <c r="I742" s="54">
        <f t="shared" si="70"/>
        <v>58501</v>
      </c>
      <c r="J742" t="s">
        <v>111</v>
      </c>
      <c r="K742">
        <f t="shared" ref="K742:K805" si="73">K724+1</f>
        <v>2060</v>
      </c>
      <c r="L742" t="s">
        <v>110</v>
      </c>
    </row>
    <row r="743" spans="1:12" x14ac:dyDescent="0.3">
      <c r="A743" s="53">
        <f>DATE(D743,12,25)</f>
        <v>57704</v>
      </c>
      <c r="B743" s="54">
        <f t="shared" si="68"/>
        <v>57704</v>
      </c>
      <c r="C743" t="s">
        <v>129</v>
      </c>
      <c r="D743">
        <f t="shared" si="69"/>
        <v>2057</v>
      </c>
      <c r="E743" t="s">
        <v>110</v>
      </c>
      <c r="H743" s="53">
        <f>H745-47</f>
        <v>58502</v>
      </c>
      <c r="I743" s="54">
        <f t="shared" si="70"/>
        <v>58502</v>
      </c>
      <c r="J743" t="s">
        <v>111</v>
      </c>
      <c r="K743">
        <f t="shared" si="73"/>
        <v>2060</v>
      </c>
      <c r="L743" t="s">
        <v>110</v>
      </c>
    </row>
    <row r="744" spans="1:12" x14ac:dyDescent="0.3">
      <c r="A744" s="53">
        <f>DATE(D744,1,1)</f>
        <v>57711</v>
      </c>
      <c r="B744" s="54">
        <f t="shared" si="68"/>
        <v>57711</v>
      </c>
      <c r="C744" t="s">
        <v>109</v>
      </c>
      <c r="D744">
        <f>D725+1</f>
        <v>2058</v>
      </c>
      <c r="E744" t="s">
        <v>110</v>
      </c>
      <c r="H744" s="53">
        <f>H745-2</f>
        <v>58547</v>
      </c>
      <c r="I744" s="54">
        <f t="shared" si="70"/>
        <v>58547</v>
      </c>
      <c r="J744" t="s">
        <v>112</v>
      </c>
      <c r="K744">
        <f t="shared" si="73"/>
        <v>2060</v>
      </c>
      <c r="L744" t="s">
        <v>110</v>
      </c>
    </row>
    <row r="745" spans="1:12" x14ac:dyDescent="0.3">
      <c r="A745" s="53">
        <f>A748-48</f>
        <v>57766</v>
      </c>
      <c r="B745" s="54">
        <f t="shared" si="68"/>
        <v>57766</v>
      </c>
      <c r="C745" t="s">
        <v>111</v>
      </c>
      <c r="D745">
        <f t="shared" si="69"/>
        <v>2058</v>
      </c>
      <c r="E745" t="s">
        <v>110</v>
      </c>
      <c r="H745" s="53">
        <f>FLOOR(DAY(MINUTE(K745/38)/2+56)&amp;"/5"&amp;"/"&amp;K745,7)-34</f>
        <v>58549</v>
      </c>
      <c r="I745" s="54">
        <f t="shared" si="70"/>
        <v>58549</v>
      </c>
      <c r="J745" t="s">
        <v>113</v>
      </c>
      <c r="K745">
        <f t="shared" si="73"/>
        <v>2060</v>
      </c>
      <c r="L745" t="s">
        <v>110</v>
      </c>
    </row>
    <row r="746" spans="1:12" x14ac:dyDescent="0.3">
      <c r="A746" s="53">
        <f>A748-47</f>
        <v>57767</v>
      </c>
      <c r="B746" s="54">
        <f t="shared" si="68"/>
        <v>57767</v>
      </c>
      <c r="C746" t="s">
        <v>111</v>
      </c>
      <c r="D746">
        <f t="shared" si="69"/>
        <v>2058</v>
      </c>
      <c r="E746" t="s">
        <v>110</v>
      </c>
      <c r="H746" s="53">
        <f>DATE(K746,4,21)</f>
        <v>58552</v>
      </c>
      <c r="I746" s="54">
        <f t="shared" si="70"/>
        <v>58552</v>
      </c>
      <c r="J746" t="s">
        <v>116</v>
      </c>
      <c r="K746">
        <f t="shared" si="73"/>
        <v>2060</v>
      </c>
      <c r="L746" t="s">
        <v>110</v>
      </c>
    </row>
    <row r="747" spans="1:12" x14ac:dyDescent="0.3">
      <c r="A747" s="53">
        <f>A748-2</f>
        <v>57812</v>
      </c>
      <c r="B747" s="54">
        <f t="shared" si="68"/>
        <v>57812</v>
      </c>
      <c r="C747" t="s">
        <v>112</v>
      </c>
      <c r="D747">
        <f t="shared" si="69"/>
        <v>2058</v>
      </c>
      <c r="E747" t="s">
        <v>110</v>
      </c>
      <c r="H747" s="53">
        <f>DATE(K747,5,1)</f>
        <v>58562</v>
      </c>
      <c r="I747" s="54">
        <f t="shared" si="70"/>
        <v>58562</v>
      </c>
      <c r="J747" t="s">
        <v>117</v>
      </c>
      <c r="K747">
        <f t="shared" si="73"/>
        <v>2060</v>
      </c>
      <c r="L747" t="s">
        <v>110</v>
      </c>
    </row>
    <row r="748" spans="1:12" x14ac:dyDescent="0.3">
      <c r="A748" s="53">
        <f>FLOOR(DAY(MINUTE(D748/38)/2+56)&amp;"/5"&amp;"/"&amp;D748,7)-34</f>
        <v>57814</v>
      </c>
      <c r="B748" s="54">
        <f t="shared" si="68"/>
        <v>57814</v>
      </c>
      <c r="C748" t="s">
        <v>113</v>
      </c>
      <c r="D748">
        <f t="shared" si="69"/>
        <v>2058</v>
      </c>
      <c r="E748" t="s">
        <v>110</v>
      </c>
      <c r="H748" s="53">
        <f>DATE(K748,5,1)+(14-WEEKDAY(DATE(K748,5,1),2))</f>
        <v>58570</v>
      </c>
      <c r="I748" s="54">
        <f t="shared" si="70"/>
        <v>58570</v>
      </c>
      <c r="J748" t="s">
        <v>118</v>
      </c>
      <c r="K748">
        <f t="shared" si="73"/>
        <v>2060</v>
      </c>
      <c r="L748" t="s">
        <v>110</v>
      </c>
    </row>
    <row r="749" spans="1:12" x14ac:dyDescent="0.3">
      <c r="A749" s="53">
        <f>DATE(D749,4,14)</f>
        <v>57814</v>
      </c>
      <c r="B749" s="54">
        <f t="shared" si="68"/>
        <v>57814</v>
      </c>
      <c r="C749" t="s">
        <v>114</v>
      </c>
      <c r="D749">
        <f t="shared" si="69"/>
        <v>2058</v>
      </c>
      <c r="E749" t="s">
        <v>115</v>
      </c>
      <c r="H749" s="53">
        <f>H745+60</f>
        <v>58609</v>
      </c>
      <c r="I749" s="54">
        <f t="shared" si="70"/>
        <v>58609</v>
      </c>
      <c r="J749" t="s">
        <v>119</v>
      </c>
      <c r="K749">
        <f t="shared" si="73"/>
        <v>2060</v>
      </c>
      <c r="L749" t="s">
        <v>110</v>
      </c>
    </row>
    <row r="750" spans="1:12" x14ac:dyDescent="0.3">
      <c r="A750" s="53">
        <f>DATE(D750,4,21)</f>
        <v>57821</v>
      </c>
      <c r="B750" s="54">
        <f t="shared" si="68"/>
        <v>57821</v>
      </c>
      <c r="C750" t="s">
        <v>116</v>
      </c>
      <c r="D750">
        <f t="shared" si="69"/>
        <v>2058</v>
      </c>
      <c r="E750" t="s">
        <v>110</v>
      </c>
      <c r="H750" s="53">
        <f>DATE(K750,6,19)</f>
        <v>58611</v>
      </c>
      <c r="I750" s="54">
        <f t="shared" si="70"/>
        <v>58611</v>
      </c>
      <c r="J750" t="s">
        <v>114</v>
      </c>
      <c r="K750">
        <f t="shared" si="73"/>
        <v>2060</v>
      </c>
      <c r="L750" t="s">
        <v>115</v>
      </c>
    </row>
    <row r="751" spans="1:12" x14ac:dyDescent="0.3">
      <c r="A751" s="53">
        <f>DATE(D751,5,1)</f>
        <v>57831</v>
      </c>
      <c r="B751" s="54">
        <f t="shared" si="68"/>
        <v>57831</v>
      </c>
      <c r="C751" t="s">
        <v>117</v>
      </c>
      <c r="D751">
        <f t="shared" si="69"/>
        <v>2058</v>
      </c>
      <c r="E751" t="s">
        <v>110</v>
      </c>
      <c r="H751" s="53">
        <f>DATE(K751,7,9)</f>
        <v>58631</v>
      </c>
      <c r="I751" s="54">
        <f t="shared" si="70"/>
        <v>58631</v>
      </c>
      <c r="J751" t="s">
        <v>120</v>
      </c>
      <c r="K751">
        <f t="shared" si="73"/>
        <v>2060</v>
      </c>
      <c r="L751" t="s">
        <v>121</v>
      </c>
    </row>
    <row r="752" spans="1:12" x14ac:dyDescent="0.3">
      <c r="A752" s="53">
        <f>DATE(D752,5,1)+(14-WEEKDAY(DATE(D752,5,1),2))</f>
        <v>57842</v>
      </c>
      <c r="B752" s="54">
        <f t="shared" si="68"/>
        <v>57842</v>
      </c>
      <c r="C752" t="s">
        <v>118</v>
      </c>
      <c r="D752">
        <f t="shared" si="69"/>
        <v>2058</v>
      </c>
      <c r="E752" t="s">
        <v>110</v>
      </c>
      <c r="H752" s="53">
        <f>DATE(K752,8,1)+(14-WEEKDAY(DATE(K752,8,1),2))</f>
        <v>58661</v>
      </c>
      <c r="I752" s="54">
        <f t="shared" si="70"/>
        <v>58661</v>
      </c>
      <c r="J752" t="s">
        <v>123</v>
      </c>
      <c r="K752">
        <f t="shared" si="73"/>
        <v>2060</v>
      </c>
      <c r="L752" t="s">
        <v>110</v>
      </c>
    </row>
    <row r="753" spans="1:12" x14ac:dyDescent="0.3">
      <c r="A753" s="53">
        <f>A748+60</f>
        <v>57874</v>
      </c>
      <c r="B753" s="54">
        <f t="shared" si="68"/>
        <v>57874</v>
      </c>
      <c r="C753" t="s">
        <v>119</v>
      </c>
      <c r="D753">
        <f t="shared" si="69"/>
        <v>2058</v>
      </c>
      <c r="E753" t="s">
        <v>110</v>
      </c>
      <c r="H753" s="53">
        <f>DATE(K753,9,7)</f>
        <v>58691</v>
      </c>
      <c r="I753" s="54">
        <f t="shared" si="70"/>
        <v>58691</v>
      </c>
      <c r="J753" t="s">
        <v>124</v>
      </c>
      <c r="K753">
        <f t="shared" si="73"/>
        <v>2060</v>
      </c>
      <c r="L753" t="s">
        <v>110</v>
      </c>
    </row>
    <row r="754" spans="1:12" x14ac:dyDescent="0.3">
      <c r="A754" s="53">
        <f>DATE(D754,7,9)</f>
        <v>57900</v>
      </c>
      <c r="B754" s="54">
        <f t="shared" si="68"/>
        <v>57900</v>
      </c>
      <c r="C754" t="s">
        <v>120</v>
      </c>
      <c r="D754">
        <f t="shared" si="69"/>
        <v>2058</v>
      </c>
      <c r="E754" t="s">
        <v>121</v>
      </c>
      <c r="H754" s="53">
        <f>DATE(K754,10,12)</f>
        <v>58726</v>
      </c>
      <c r="I754" s="54">
        <f t="shared" si="70"/>
        <v>58726</v>
      </c>
      <c r="J754" t="s">
        <v>125</v>
      </c>
      <c r="K754">
        <f t="shared" si="73"/>
        <v>2060</v>
      </c>
      <c r="L754" t="s">
        <v>110</v>
      </c>
    </row>
    <row r="755" spans="1:12" x14ac:dyDescent="0.3">
      <c r="A755" s="53">
        <f>DATE(D755,8,8)</f>
        <v>57930</v>
      </c>
      <c r="B755" s="54">
        <f t="shared" si="68"/>
        <v>57930</v>
      </c>
      <c r="C755" t="s">
        <v>122</v>
      </c>
      <c r="D755">
        <f t="shared" si="69"/>
        <v>2058</v>
      </c>
      <c r="E755" t="s">
        <v>115</v>
      </c>
      <c r="H755" s="53">
        <f>DATE(K755,11,2)</f>
        <v>58747</v>
      </c>
      <c r="I755" s="54">
        <f t="shared" si="70"/>
        <v>58747</v>
      </c>
      <c r="J755" t="s">
        <v>126</v>
      </c>
      <c r="K755">
        <f t="shared" si="73"/>
        <v>2060</v>
      </c>
      <c r="L755" t="s">
        <v>110</v>
      </c>
    </row>
    <row r="756" spans="1:12" x14ac:dyDescent="0.3">
      <c r="A756" s="53">
        <f>DATE(D756,8,1)+(14-WEEKDAY(DATE(D756,8,1),2))</f>
        <v>57933</v>
      </c>
      <c r="B756" s="54">
        <f t="shared" si="68"/>
        <v>57933</v>
      </c>
      <c r="C756" t="s">
        <v>123</v>
      </c>
      <c r="D756">
        <f t="shared" si="69"/>
        <v>2058</v>
      </c>
      <c r="E756" t="s">
        <v>110</v>
      </c>
      <c r="H756" s="53">
        <f>DATE(K756,11,15)</f>
        <v>58760</v>
      </c>
      <c r="I756" s="54">
        <f t="shared" si="70"/>
        <v>58760</v>
      </c>
      <c r="J756" t="s">
        <v>127</v>
      </c>
      <c r="K756">
        <f t="shared" si="73"/>
        <v>2060</v>
      </c>
      <c r="L756" t="s">
        <v>110</v>
      </c>
    </row>
    <row r="757" spans="1:12" x14ac:dyDescent="0.3">
      <c r="A757" s="53">
        <f>DATE(D757,9,7)</f>
        <v>57960</v>
      </c>
      <c r="B757" s="54">
        <f t="shared" si="68"/>
        <v>57960</v>
      </c>
      <c r="C757" t="s">
        <v>124</v>
      </c>
      <c r="D757">
        <f t="shared" si="69"/>
        <v>2058</v>
      </c>
      <c r="E757" t="s">
        <v>110</v>
      </c>
      <c r="H757" s="53">
        <f>DATE(K757,11,20)</f>
        <v>58765</v>
      </c>
      <c r="I757" s="54">
        <f t="shared" si="70"/>
        <v>58765</v>
      </c>
      <c r="J757" t="s">
        <v>128</v>
      </c>
      <c r="K757">
        <f t="shared" si="73"/>
        <v>2060</v>
      </c>
      <c r="L757" t="s">
        <v>110</v>
      </c>
    </row>
    <row r="758" spans="1:12" x14ac:dyDescent="0.3">
      <c r="A758" s="53">
        <f>DATE(D758,10,12)</f>
        <v>57995</v>
      </c>
      <c r="B758" s="54">
        <f t="shared" si="68"/>
        <v>57995</v>
      </c>
      <c r="C758" t="s">
        <v>125</v>
      </c>
      <c r="D758">
        <f t="shared" si="69"/>
        <v>2058</v>
      </c>
      <c r="E758" t="s">
        <v>110</v>
      </c>
      <c r="H758" s="53">
        <f>DATE(K758,12,25)</f>
        <v>58800</v>
      </c>
      <c r="I758" s="54">
        <f t="shared" si="70"/>
        <v>58800</v>
      </c>
      <c r="J758" t="s">
        <v>129</v>
      </c>
      <c r="K758">
        <f t="shared" si="73"/>
        <v>2060</v>
      </c>
      <c r="L758" t="s">
        <v>110</v>
      </c>
    </row>
    <row r="759" spans="1:12" x14ac:dyDescent="0.3">
      <c r="A759" s="53">
        <f>DATE(D759,11,2)</f>
        <v>58016</v>
      </c>
      <c r="B759" s="54">
        <f t="shared" si="68"/>
        <v>58016</v>
      </c>
      <c r="C759" t="s">
        <v>126</v>
      </c>
      <c r="D759">
        <f t="shared" si="69"/>
        <v>2058</v>
      </c>
      <c r="E759" t="s">
        <v>110</v>
      </c>
      <c r="H759" s="53">
        <f>DATE(K759,1,1)</f>
        <v>58807</v>
      </c>
      <c r="I759" s="54">
        <f t="shared" si="70"/>
        <v>58807</v>
      </c>
      <c r="J759" t="s">
        <v>109</v>
      </c>
      <c r="K759">
        <f>K741+1</f>
        <v>2061</v>
      </c>
      <c r="L759" t="s">
        <v>110</v>
      </c>
    </row>
    <row r="760" spans="1:12" x14ac:dyDescent="0.3">
      <c r="A760" s="53">
        <f>DATE(D760,11,15)</f>
        <v>58029</v>
      </c>
      <c r="B760" s="54">
        <f t="shared" si="68"/>
        <v>58029</v>
      </c>
      <c r="C760" t="s">
        <v>127</v>
      </c>
      <c r="D760">
        <f t="shared" si="69"/>
        <v>2058</v>
      </c>
      <c r="E760" t="s">
        <v>110</v>
      </c>
      <c r="H760" s="53">
        <f>H763-48</f>
        <v>58858</v>
      </c>
      <c r="I760" s="54">
        <f t="shared" si="70"/>
        <v>58858</v>
      </c>
      <c r="J760" t="s">
        <v>111</v>
      </c>
      <c r="K760">
        <f t="shared" si="73"/>
        <v>2061</v>
      </c>
      <c r="L760" t="s">
        <v>110</v>
      </c>
    </row>
    <row r="761" spans="1:12" x14ac:dyDescent="0.3">
      <c r="A761" s="53">
        <f>DATE(D761,11,20)</f>
        <v>58034</v>
      </c>
      <c r="B761" s="54">
        <f t="shared" si="68"/>
        <v>58034</v>
      </c>
      <c r="C761" t="s">
        <v>128</v>
      </c>
      <c r="D761">
        <f t="shared" si="69"/>
        <v>2058</v>
      </c>
      <c r="E761" t="s">
        <v>110</v>
      </c>
      <c r="H761" s="53">
        <f>H763-47</f>
        <v>58859</v>
      </c>
      <c r="I761" s="54">
        <f t="shared" si="70"/>
        <v>58859</v>
      </c>
      <c r="J761" t="s">
        <v>111</v>
      </c>
      <c r="K761">
        <f t="shared" si="73"/>
        <v>2061</v>
      </c>
      <c r="L761" t="s">
        <v>110</v>
      </c>
    </row>
    <row r="762" spans="1:12" x14ac:dyDescent="0.3">
      <c r="A762" s="53">
        <f>DATE(D762,12,25)</f>
        <v>58069</v>
      </c>
      <c r="B762" s="54">
        <f t="shared" si="68"/>
        <v>58069</v>
      </c>
      <c r="C762" t="s">
        <v>129</v>
      </c>
      <c r="D762">
        <f t="shared" si="69"/>
        <v>2058</v>
      </c>
      <c r="E762" t="s">
        <v>110</v>
      </c>
      <c r="H762" s="53">
        <f>H763-2</f>
        <v>58904</v>
      </c>
      <c r="I762" s="54">
        <f t="shared" si="70"/>
        <v>58904</v>
      </c>
      <c r="J762" t="s">
        <v>112</v>
      </c>
      <c r="K762">
        <f t="shared" si="73"/>
        <v>2061</v>
      </c>
      <c r="L762" t="s">
        <v>110</v>
      </c>
    </row>
    <row r="763" spans="1:12" x14ac:dyDescent="0.3">
      <c r="A763" s="53">
        <f>DATE(D763,1,1)</f>
        <v>58076</v>
      </c>
      <c r="B763" s="54">
        <f t="shared" si="68"/>
        <v>58076</v>
      </c>
      <c r="C763" t="s">
        <v>109</v>
      </c>
      <c r="D763">
        <f>D744+1</f>
        <v>2059</v>
      </c>
      <c r="E763" t="s">
        <v>110</v>
      </c>
      <c r="H763" s="53">
        <f>FLOOR(DAY(MINUTE(K763/38)/2+56)&amp;"/5"&amp;"/"&amp;K763,7)-34</f>
        <v>58906</v>
      </c>
      <c r="I763" s="54">
        <f t="shared" si="70"/>
        <v>58906</v>
      </c>
      <c r="J763" t="s">
        <v>113</v>
      </c>
      <c r="K763">
        <f t="shared" si="73"/>
        <v>2061</v>
      </c>
      <c r="L763" t="s">
        <v>110</v>
      </c>
    </row>
    <row r="764" spans="1:12" x14ac:dyDescent="0.3">
      <c r="A764" s="53">
        <f>A767-48</f>
        <v>58116</v>
      </c>
      <c r="B764" s="54">
        <f t="shared" si="68"/>
        <v>58116</v>
      </c>
      <c r="C764" t="s">
        <v>111</v>
      </c>
      <c r="D764">
        <f t="shared" si="69"/>
        <v>2059</v>
      </c>
      <c r="E764" t="s">
        <v>110</v>
      </c>
      <c r="H764" s="53">
        <f>DATE(K764,4,21)</f>
        <v>58917</v>
      </c>
      <c r="I764" s="54">
        <f t="shared" si="70"/>
        <v>58917</v>
      </c>
      <c r="J764" t="s">
        <v>116</v>
      </c>
      <c r="K764">
        <f t="shared" si="73"/>
        <v>2061</v>
      </c>
      <c r="L764" t="s">
        <v>110</v>
      </c>
    </row>
    <row r="765" spans="1:12" x14ac:dyDescent="0.3">
      <c r="A765" s="53">
        <f>A767-47</f>
        <v>58117</v>
      </c>
      <c r="B765" s="54">
        <f t="shared" si="68"/>
        <v>58117</v>
      </c>
      <c r="C765" t="s">
        <v>111</v>
      </c>
      <c r="D765">
        <f t="shared" si="69"/>
        <v>2059</v>
      </c>
      <c r="E765" t="s">
        <v>110</v>
      </c>
      <c r="H765" s="53">
        <f>DATE(K765,5,1)</f>
        <v>58927</v>
      </c>
      <c r="I765" s="54">
        <f t="shared" si="70"/>
        <v>58927</v>
      </c>
      <c r="J765" t="s">
        <v>117</v>
      </c>
      <c r="K765">
        <f t="shared" si="73"/>
        <v>2061</v>
      </c>
      <c r="L765" t="s">
        <v>110</v>
      </c>
    </row>
    <row r="766" spans="1:12" x14ac:dyDescent="0.3">
      <c r="A766" s="53">
        <f>A767-2</f>
        <v>58162</v>
      </c>
      <c r="B766" s="54">
        <f t="shared" si="68"/>
        <v>58162</v>
      </c>
      <c r="C766" t="s">
        <v>112</v>
      </c>
      <c r="D766">
        <f t="shared" si="69"/>
        <v>2059</v>
      </c>
      <c r="E766" t="s">
        <v>110</v>
      </c>
      <c r="H766" s="53">
        <f>DATE(K766,5,1)+(14-WEEKDAY(DATE(K766,5,1),2))</f>
        <v>58934</v>
      </c>
      <c r="I766" s="54">
        <f t="shared" si="70"/>
        <v>58934</v>
      </c>
      <c r="J766" t="s">
        <v>118</v>
      </c>
      <c r="K766">
        <f t="shared" si="73"/>
        <v>2061</v>
      </c>
      <c r="L766" t="s">
        <v>110</v>
      </c>
    </row>
    <row r="767" spans="1:12" x14ac:dyDescent="0.3">
      <c r="A767" s="53">
        <f>FLOOR(DAY(MINUTE(D767/38)/2+56)&amp;"/5"&amp;"/"&amp;D767,7)-34</f>
        <v>58164</v>
      </c>
      <c r="B767" s="54">
        <f t="shared" si="68"/>
        <v>58164</v>
      </c>
      <c r="C767" t="s">
        <v>113</v>
      </c>
      <c r="D767">
        <f t="shared" si="69"/>
        <v>2059</v>
      </c>
      <c r="E767" t="s">
        <v>110</v>
      </c>
      <c r="H767" s="53">
        <f>H763+60</f>
        <v>58966</v>
      </c>
      <c r="I767" s="54">
        <f t="shared" si="70"/>
        <v>58966</v>
      </c>
      <c r="J767" t="s">
        <v>119</v>
      </c>
      <c r="K767">
        <f t="shared" si="73"/>
        <v>2061</v>
      </c>
      <c r="L767" t="s">
        <v>110</v>
      </c>
    </row>
    <row r="768" spans="1:12" x14ac:dyDescent="0.3">
      <c r="A768" s="53">
        <f>DATE(D768,4,14)</f>
        <v>58179</v>
      </c>
      <c r="B768" s="54">
        <f t="shared" si="68"/>
        <v>58179</v>
      </c>
      <c r="C768" t="s">
        <v>114</v>
      </c>
      <c r="D768">
        <f t="shared" si="69"/>
        <v>2059</v>
      </c>
      <c r="E768" t="s">
        <v>115</v>
      </c>
      <c r="H768" s="53">
        <f>DATE(K768,6,19)</f>
        <v>58976</v>
      </c>
      <c r="I768" s="54">
        <f t="shared" si="70"/>
        <v>58976</v>
      </c>
      <c r="J768" t="s">
        <v>114</v>
      </c>
      <c r="K768">
        <f t="shared" si="73"/>
        <v>2061</v>
      </c>
      <c r="L768" t="s">
        <v>115</v>
      </c>
    </row>
    <row r="769" spans="1:12" x14ac:dyDescent="0.3">
      <c r="A769" s="53">
        <f>DATE(D769,4,21)</f>
        <v>58186</v>
      </c>
      <c r="B769" s="54">
        <f t="shared" si="68"/>
        <v>58186</v>
      </c>
      <c r="C769" t="s">
        <v>116</v>
      </c>
      <c r="D769">
        <f t="shared" si="69"/>
        <v>2059</v>
      </c>
      <c r="E769" t="s">
        <v>110</v>
      </c>
      <c r="H769" s="53">
        <f>DATE(K769,7,9)</f>
        <v>58996</v>
      </c>
      <c r="I769" s="54">
        <f t="shared" si="70"/>
        <v>58996</v>
      </c>
      <c r="J769" t="s">
        <v>120</v>
      </c>
      <c r="K769">
        <f t="shared" si="73"/>
        <v>2061</v>
      </c>
      <c r="L769" t="s">
        <v>121</v>
      </c>
    </row>
    <row r="770" spans="1:12" x14ac:dyDescent="0.3">
      <c r="A770" s="53">
        <f>DATE(D770,5,1)</f>
        <v>58196</v>
      </c>
      <c r="B770" s="54">
        <f t="shared" si="68"/>
        <v>58196</v>
      </c>
      <c r="C770" t="s">
        <v>117</v>
      </c>
      <c r="D770">
        <f t="shared" si="69"/>
        <v>2059</v>
      </c>
      <c r="E770" t="s">
        <v>110</v>
      </c>
      <c r="H770" s="53">
        <f>DATE(K770,8,1)+(14-WEEKDAY(DATE(K770,8,1),2))</f>
        <v>59032</v>
      </c>
      <c r="I770" s="54">
        <f t="shared" si="70"/>
        <v>59032</v>
      </c>
      <c r="J770" t="s">
        <v>123</v>
      </c>
      <c r="K770">
        <f t="shared" si="73"/>
        <v>2061</v>
      </c>
      <c r="L770" t="s">
        <v>110</v>
      </c>
    </row>
    <row r="771" spans="1:12" x14ac:dyDescent="0.3">
      <c r="A771" s="53">
        <f>DATE(D771,5,1)+(14-WEEKDAY(DATE(D771,5,1),2))</f>
        <v>58206</v>
      </c>
      <c r="B771" s="54">
        <f t="shared" ref="B771:B834" si="74">A771</f>
        <v>58206</v>
      </c>
      <c r="C771" t="s">
        <v>118</v>
      </c>
      <c r="D771">
        <f t="shared" ref="D771:D781" si="75">D752+1</f>
        <v>2059</v>
      </c>
      <c r="E771" t="s">
        <v>110</v>
      </c>
      <c r="H771" s="53">
        <f>DATE(K771,9,7)</f>
        <v>59056</v>
      </c>
      <c r="I771" s="54">
        <f t="shared" si="70"/>
        <v>59056</v>
      </c>
      <c r="J771" t="s">
        <v>124</v>
      </c>
      <c r="K771">
        <f t="shared" si="73"/>
        <v>2061</v>
      </c>
      <c r="L771" t="s">
        <v>110</v>
      </c>
    </row>
    <row r="772" spans="1:12" x14ac:dyDescent="0.3">
      <c r="A772" s="53">
        <f>A767+60</f>
        <v>58224</v>
      </c>
      <c r="B772" s="54">
        <f t="shared" si="74"/>
        <v>58224</v>
      </c>
      <c r="C772" t="s">
        <v>119</v>
      </c>
      <c r="D772">
        <f t="shared" si="75"/>
        <v>2059</v>
      </c>
      <c r="E772" t="s">
        <v>110</v>
      </c>
      <c r="H772" s="53">
        <f>DATE(K772,10,12)</f>
        <v>59091</v>
      </c>
      <c r="I772" s="54">
        <f t="shared" si="70"/>
        <v>59091</v>
      </c>
      <c r="J772" t="s">
        <v>125</v>
      </c>
      <c r="K772">
        <f t="shared" si="73"/>
        <v>2061</v>
      </c>
      <c r="L772" t="s">
        <v>110</v>
      </c>
    </row>
    <row r="773" spans="1:12" x14ac:dyDescent="0.3">
      <c r="A773" s="53">
        <f>DATE(D773,7,9)</f>
        <v>58265</v>
      </c>
      <c r="B773" s="54">
        <f t="shared" si="74"/>
        <v>58265</v>
      </c>
      <c r="C773" t="s">
        <v>120</v>
      </c>
      <c r="D773">
        <f t="shared" si="75"/>
        <v>2059</v>
      </c>
      <c r="E773" t="s">
        <v>121</v>
      </c>
      <c r="H773" s="53">
        <f>DATE(K773,11,2)</f>
        <v>59112</v>
      </c>
      <c r="I773" s="54">
        <f t="shared" si="70"/>
        <v>59112</v>
      </c>
      <c r="J773" t="s">
        <v>126</v>
      </c>
      <c r="K773">
        <f t="shared" si="73"/>
        <v>2061</v>
      </c>
      <c r="L773" t="s">
        <v>110</v>
      </c>
    </row>
    <row r="774" spans="1:12" x14ac:dyDescent="0.3">
      <c r="A774" s="53">
        <f>DATE(D774,8,8)</f>
        <v>58295</v>
      </c>
      <c r="B774" s="54">
        <f t="shared" si="74"/>
        <v>58295</v>
      </c>
      <c r="C774" t="s">
        <v>122</v>
      </c>
      <c r="D774">
        <f t="shared" si="75"/>
        <v>2059</v>
      </c>
      <c r="E774" t="s">
        <v>115</v>
      </c>
      <c r="H774" s="53">
        <f>DATE(K774,11,15)</f>
        <v>59125</v>
      </c>
      <c r="I774" s="54">
        <f t="shared" si="70"/>
        <v>59125</v>
      </c>
      <c r="J774" t="s">
        <v>127</v>
      </c>
      <c r="K774">
        <f t="shared" si="73"/>
        <v>2061</v>
      </c>
      <c r="L774" t="s">
        <v>110</v>
      </c>
    </row>
    <row r="775" spans="1:12" x14ac:dyDescent="0.3">
      <c r="A775" s="53">
        <f>DATE(D775,8,1)+(14-WEEKDAY(DATE(D775,8,1),2))</f>
        <v>58297</v>
      </c>
      <c r="B775" s="54">
        <f t="shared" si="74"/>
        <v>58297</v>
      </c>
      <c r="C775" t="s">
        <v>123</v>
      </c>
      <c r="D775">
        <f t="shared" si="75"/>
        <v>2059</v>
      </c>
      <c r="E775" t="s">
        <v>110</v>
      </c>
      <c r="H775" s="53">
        <f>DATE(K775,11,20)</f>
        <v>59130</v>
      </c>
      <c r="I775" s="54">
        <f t="shared" si="70"/>
        <v>59130</v>
      </c>
      <c r="J775" t="s">
        <v>128</v>
      </c>
      <c r="K775">
        <f t="shared" si="73"/>
        <v>2061</v>
      </c>
      <c r="L775" t="s">
        <v>110</v>
      </c>
    </row>
    <row r="776" spans="1:12" x14ac:dyDescent="0.3">
      <c r="A776" s="53">
        <f>DATE(D776,9,7)</f>
        <v>58325</v>
      </c>
      <c r="B776" s="54">
        <f t="shared" si="74"/>
        <v>58325</v>
      </c>
      <c r="C776" t="s">
        <v>124</v>
      </c>
      <c r="D776">
        <f t="shared" si="75"/>
        <v>2059</v>
      </c>
      <c r="E776" t="s">
        <v>110</v>
      </c>
      <c r="H776" s="53">
        <f>DATE(K776,12,25)</f>
        <v>59165</v>
      </c>
      <c r="I776" s="54">
        <f t="shared" ref="I776:I839" si="76">H776</f>
        <v>59165</v>
      </c>
      <c r="J776" t="s">
        <v>129</v>
      </c>
      <c r="K776">
        <f t="shared" si="73"/>
        <v>2061</v>
      </c>
      <c r="L776" t="s">
        <v>110</v>
      </c>
    </row>
    <row r="777" spans="1:12" x14ac:dyDescent="0.3">
      <c r="A777" s="53">
        <f>DATE(D777,10,12)</f>
        <v>58360</v>
      </c>
      <c r="B777" s="54">
        <f t="shared" si="74"/>
        <v>58360</v>
      </c>
      <c r="C777" t="s">
        <v>125</v>
      </c>
      <c r="D777">
        <f t="shared" si="75"/>
        <v>2059</v>
      </c>
      <c r="E777" t="s">
        <v>110</v>
      </c>
      <c r="H777" s="53">
        <f>DATE(K777,1,1)</f>
        <v>59172</v>
      </c>
      <c r="I777" s="54">
        <f t="shared" si="76"/>
        <v>59172</v>
      </c>
      <c r="J777" t="s">
        <v>109</v>
      </c>
      <c r="K777">
        <f>K759+1</f>
        <v>2062</v>
      </c>
      <c r="L777" t="s">
        <v>110</v>
      </c>
    </row>
    <row r="778" spans="1:12" x14ac:dyDescent="0.3">
      <c r="A778" s="53">
        <f>DATE(D778,11,2)</f>
        <v>58381</v>
      </c>
      <c r="B778" s="54">
        <f t="shared" si="74"/>
        <v>58381</v>
      </c>
      <c r="C778" t="s">
        <v>126</v>
      </c>
      <c r="D778">
        <f t="shared" si="75"/>
        <v>2059</v>
      </c>
      <c r="E778" t="s">
        <v>110</v>
      </c>
      <c r="H778" s="53">
        <f>H781-48</f>
        <v>59208</v>
      </c>
      <c r="I778" s="54">
        <f t="shared" si="76"/>
        <v>59208</v>
      </c>
      <c r="J778" t="s">
        <v>111</v>
      </c>
      <c r="K778">
        <f t="shared" si="73"/>
        <v>2062</v>
      </c>
      <c r="L778" t="s">
        <v>110</v>
      </c>
    </row>
    <row r="779" spans="1:12" x14ac:dyDescent="0.3">
      <c r="A779" s="53">
        <f>DATE(D779,11,15)</f>
        <v>58394</v>
      </c>
      <c r="B779" s="54">
        <f t="shared" si="74"/>
        <v>58394</v>
      </c>
      <c r="C779" t="s">
        <v>127</v>
      </c>
      <c r="D779">
        <f t="shared" si="75"/>
        <v>2059</v>
      </c>
      <c r="E779" t="s">
        <v>110</v>
      </c>
      <c r="H779" s="53">
        <f>H781-47</f>
        <v>59209</v>
      </c>
      <c r="I779" s="54">
        <f t="shared" si="76"/>
        <v>59209</v>
      </c>
      <c r="J779" t="s">
        <v>111</v>
      </c>
      <c r="K779">
        <f t="shared" si="73"/>
        <v>2062</v>
      </c>
      <c r="L779" t="s">
        <v>110</v>
      </c>
    </row>
    <row r="780" spans="1:12" x14ac:dyDescent="0.3">
      <c r="A780" s="53">
        <f>DATE(D780,11,20)</f>
        <v>58399</v>
      </c>
      <c r="B780" s="54">
        <f t="shared" si="74"/>
        <v>58399</v>
      </c>
      <c r="C780" t="s">
        <v>128</v>
      </c>
      <c r="D780">
        <f t="shared" si="75"/>
        <v>2059</v>
      </c>
      <c r="E780" t="s">
        <v>110</v>
      </c>
      <c r="H780" s="53">
        <f>H781-2</f>
        <v>59254</v>
      </c>
      <c r="I780" s="54">
        <f t="shared" si="76"/>
        <v>59254</v>
      </c>
      <c r="J780" t="s">
        <v>112</v>
      </c>
      <c r="K780">
        <f t="shared" si="73"/>
        <v>2062</v>
      </c>
      <c r="L780" t="s">
        <v>110</v>
      </c>
    </row>
    <row r="781" spans="1:12" x14ac:dyDescent="0.3">
      <c r="A781" s="53">
        <f>DATE(D781,12,25)</f>
        <v>58434</v>
      </c>
      <c r="B781" s="54">
        <f t="shared" si="74"/>
        <v>58434</v>
      </c>
      <c r="C781" t="s">
        <v>129</v>
      </c>
      <c r="D781">
        <f t="shared" si="75"/>
        <v>2059</v>
      </c>
      <c r="E781" t="s">
        <v>110</v>
      </c>
      <c r="H781" s="53">
        <f>FLOOR(DAY(MINUTE(K781/38)/2+56)&amp;"/5"&amp;"/"&amp;K781,7)-34</f>
        <v>59256</v>
      </c>
      <c r="I781" s="54">
        <f t="shared" si="76"/>
        <v>59256</v>
      </c>
      <c r="J781" t="s">
        <v>113</v>
      </c>
      <c r="K781">
        <f t="shared" si="73"/>
        <v>2062</v>
      </c>
      <c r="L781" t="s">
        <v>110</v>
      </c>
    </row>
    <row r="782" spans="1:12" x14ac:dyDescent="0.3">
      <c r="A782" s="53">
        <f>DATE(D782,1,1)</f>
        <v>58441</v>
      </c>
      <c r="B782" s="54">
        <f t="shared" si="74"/>
        <v>58441</v>
      </c>
      <c r="C782" t="s">
        <v>109</v>
      </c>
      <c r="D782">
        <f>D763+1</f>
        <v>2060</v>
      </c>
      <c r="E782" t="s">
        <v>110</v>
      </c>
      <c r="H782" s="53">
        <f>DATE(K782,4,21)</f>
        <v>59282</v>
      </c>
      <c r="I782" s="54">
        <f t="shared" si="76"/>
        <v>59282</v>
      </c>
      <c r="J782" t="s">
        <v>116</v>
      </c>
      <c r="K782">
        <f t="shared" si="73"/>
        <v>2062</v>
      </c>
      <c r="L782" t="s">
        <v>110</v>
      </c>
    </row>
    <row r="783" spans="1:12" x14ac:dyDescent="0.3">
      <c r="A783" s="53">
        <f>A786-48</f>
        <v>58501</v>
      </c>
      <c r="B783" s="54">
        <f t="shared" si="74"/>
        <v>58501</v>
      </c>
      <c r="C783" t="s">
        <v>111</v>
      </c>
      <c r="D783">
        <f t="shared" ref="D783:D800" si="77">D764+1</f>
        <v>2060</v>
      </c>
      <c r="E783" t="s">
        <v>110</v>
      </c>
      <c r="H783" s="53">
        <f>DATE(K783,5,1)</f>
        <v>59292</v>
      </c>
      <c r="I783" s="54">
        <f t="shared" si="76"/>
        <v>59292</v>
      </c>
      <c r="J783" t="s">
        <v>117</v>
      </c>
      <c r="K783">
        <f t="shared" si="73"/>
        <v>2062</v>
      </c>
      <c r="L783" t="s">
        <v>110</v>
      </c>
    </row>
    <row r="784" spans="1:12" x14ac:dyDescent="0.3">
      <c r="A784" s="53">
        <f>A786-47</f>
        <v>58502</v>
      </c>
      <c r="B784" s="54">
        <f t="shared" si="74"/>
        <v>58502</v>
      </c>
      <c r="C784" t="s">
        <v>111</v>
      </c>
      <c r="D784">
        <f t="shared" si="77"/>
        <v>2060</v>
      </c>
      <c r="E784" t="s">
        <v>110</v>
      </c>
      <c r="H784" s="53">
        <f>DATE(K784,5,1)+(14-WEEKDAY(DATE(K784,5,1),2))</f>
        <v>59305</v>
      </c>
      <c r="I784" s="54">
        <f t="shared" si="76"/>
        <v>59305</v>
      </c>
      <c r="J784" t="s">
        <v>118</v>
      </c>
      <c r="K784">
        <f t="shared" si="73"/>
        <v>2062</v>
      </c>
      <c r="L784" t="s">
        <v>110</v>
      </c>
    </row>
    <row r="785" spans="1:12" x14ac:dyDescent="0.3">
      <c r="A785" s="53">
        <f>A786-2</f>
        <v>58547</v>
      </c>
      <c r="B785" s="54">
        <f t="shared" si="74"/>
        <v>58547</v>
      </c>
      <c r="C785" t="s">
        <v>112</v>
      </c>
      <c r="D785">
        <f t="shared" si="77"/>
        <v>2060</v>
      </c>
      <c r="E785" t="s">
        <v>110</v>
      </c>
      <c r="H785" s="53">
        <f>H781+60</f>
        <v>59316</v>
      </c>
      <c r="I785" s="54">
        <f t="shared" si="76"/>
        <v>59316</v>
      </c>
      <c r="J785" t="s">
        <v>119</v>
      </c>
      <c r="K785">
        <f t="shared" si="73"/>
        <v>2062</v>
      </c>
      <c r="L785" t="s">
        <v>110</v>
      </c>
    </row>
    <row r="786" spans="1:12" x14ac:dyDescent="0.3">
      <c r="A786" s="53">
        <f>FLOOR(DAY(MINUTE(D786/38)/2+56)&amp;"/5"&amp;"/"&amp;D786,7)-34</f>
        <v>58549</v>
      </c>
      <c r="B786" s="54">
        <f t="shared" si="74"/>
        <v>58549</v>
      </c>
      <c r="C786" t="s">
        <v>113</v>
      </c>
      <c r="D786">
        <f t="shared" si="77"/>
        <v>2060</v>
      </c>
      <c r="E786" t="s">
        <v>110</v>
      </c>
      <c r="H786" s="53">
        <f>DATE(K786,6,19)</f>
        <v>59341</v>
      </c>
      <c r="I786" s="54">
        <f t="shared" si="76"/>
        <v>59341</v>
      </c>
      <c r="J786" t="s">
        <v>114</v>
      </c>
      <c r="K786">
        <f t="shared" si="73"/>
        <v>2062</v>
      </c>
      <c r="L786" t="s">
        <v>115</v>
      </c>
    </row>
    <row r="787" spans="1:12" x14ac:dyDescent="0.3">
      <c r="A787" s="53">
        <f>DATE(D787,4,14)</f>
        <v>58545</v>
      </c>
      <c r="B787" s="54">
        <f t="shared" si="74"/>
        <v>58545</v>
      </c>
      <c r="C787" t="s">
        <v>114</v>
      </c>
      <c r="D787">
        <f t="shared" si="77"/>
        <v>2060</v>
      </c>
      <c r="E787" t="s">
        <v>115</v>
      </c>
      <c r="H787" s="53">
        <f>DATE(K787,7,9)</f>
        <v>59361</v>
      </c>
      <c r="I787" s="54">
        <f t="shared" si="76"/>
        <v>59361</v>
      </c>
      <c r="J787" t="s">
        <v>120</v>
      </c>
      <c r="K787">
        <f t="shared" si="73"/>
        <v>2062</v>
      </c>
      <c r="L787" t="s">
        <v>121</v>
      </c>
    </row>
    <row r="788" spans="1:12" x14ac:dyDescent="0.3">
      <c r="A788" s="53">
        <f>DATE(D788,4,21)</f>
        <v>58552</v>
      </c>
      <c r="B788" s="54">
        <f t="shared" si="74"/>
        <v>58552</v>
      </c>
      <c r="C788" t="s">
        <v>116</v>
      </c>
      <c r="D788">
        <f t="shared" si="77"/>
        <v>2060</v>
      </c>
      <c r="E788" t="s">
        <v>110</v>
      </c>
      <c r="H788" s="53">
        <f>DATE(K788,8,1)+(14-WEEKDAY(DATE(K788,8,1),2))</f>
        <v>59396</v>
      </c>
      <c r="I788" s="54">
        <f t="shared" si="76"/>
        <v>59396</v>
      </c>
      <c r="J788" t="s">
        <v>123</v>
      </c>
      <c r="K788">
        <f t="shared" si="73"/>
        <v>2062</v>
      </c>
      <c r="L788" t="s">
        <v>110</v>
      </c>
    </row>
    <row r="789" spans="1:12" x14ac:dyDescent="0.3">
      <c r="A789" s="53">
        <f>DATE(D789,5,1)</f>
        <v>58562</v>
      </c>
      <c r="B789" s="54">
        <f t="shared" si="74"/>
        <v>58562</v>
      </c>
      <c r="C789" t="s">
        <v>117</v>
      </c>
      <c r="D789">
        <f t="shared" si="77"/>
        <v>2060</v>
      </c>
      <c r="E789" t="s">
        <v>110</v>
      </c>
      <c r="H789" s="53">
        <f>DATE(K789,9,7)</f>
        <v>59421</v>
      </c>
      <c r="I789" s="54">
        <f t="shared" si="76"/>
        <v>59421</v>
      </c>
      <c r="J789" t="s">
        <v>124</v>
      </c>
      <c r="K789">
        <f t="shared" si="73"/>
        <v>2062</v>
      </c>
      <c r="L789" t="s">
        <v>110</v>
      </c>
    </row>
    <row r="790" spans="1:12" x14ac:dyDescent="0.3">
      <c r="A790" s="53">
        <f>DATE(D790,5,1)+(14-WEEKDAY(DATE(D790,5,1),2))</f>
        <v>58570</v>
      </c>
      <c r="B790" s="54">
        <f t="shared" si="74"/>
        <v>58570</v>
      </c>
      <c r="C790" t="s">
        <v>118</v>
      </c>
      <c r="D790">
        <f t="shared" si="77"/>
        <v>2060</v>
      </c>
      <c r="E790" t="s">
        <v>110</v>
      </c>
      <c r="H790" s="53">
        <f>DATE(K790,10,12)</f>
        <v>59456</v>
      </c>
      <c r="I790" s="54">
        <f t="shared" si="76"/>
        <v>59456</v>
      </c>
      <c r="J790" t="s">
        <v>125</v>
      </c>
      <c r="K790">
        <f t="shared" si="73"/>
        <v>2062</v>
      </c>
      <c r="L790" t="s">
        <v>110</v>
      </c>
    </row>
    <row r="791" spans="1:12" x14ac:dyDescent="0.3">
      <c r="A791" s="53">
        <f>A786+60</f>
        <v>58609</v>
      </c>
      <c r="B791" s="54">
        <f t="shared" si="74"/>
        <v>58609</v>
      </c>
      <c r="C791" t="s">
        <v>119</v>
      </c>
      <c r="D791">
        <f t="shared" si="77"/>
        <v>2060</v>
      </c>
      <c r="E791" t="s">
        <v>110</v>
      </c>
      <c r="H791" s="53">
        <f>DATE(K791,11,2)</f>
        <v>59477</v>
      </c>
      <c r="I791" s="54">
        <f t="shared" si="76"/>
        <v>59477</v>
      </c>
      <c r="J791" t="s">
        <v>126</v>
      </c>
      <c r="K791">
        <f t="shared" si="73"/>
        <v>2062</v>
      </c>
      <c r="L791" t="s">
        <v>110</v>
      </c>
    </row>
    <row r="792" spans="1:12" x14ac:dyDescent="0.3">
      <c r="A792" s="53">
        <f>DATE(D792,7,9)</f>
        <v>58631</v>
      </c>
      <c r="B792" s="54">
        <f t="shared" si="74"/>
        <v>58631</v>
      </c>
      <c r="C792" t="s">
        <v>120</v>
      </c>
      <c r="D792">
        <f t="shared" si="77"/>
        <v>2060</v>
      </c>
      <c r="E792" t="s">
        <v>121</v>
      </c>
      <c r="H792" s="53">
        <f>DATE(K792,11,15)</f>
        <v>59490</v>
      </c>
      <c r="I792" s="54">
        <f t="shared" si="76"/>
        <v>59490</v>
      </c>
      <c r="J792" t="s">
        <v>127</v>
      </c>
      <c r="K792">
        <f t="shared" si="73"/>
        <v>2062</v>
      </c>
      <c r="L792" t="s">
        <v>110</v>
      </c>
    </row>
    <row r="793" spans="1:12" x14ac:dyDescent="0.3">
      <c r="A793" s="53">
        <f>DATE(D793,8,8)</f>
        <v>58661</v>
      </c>
      <c r="B793" s="54">
        <f t="shared" si="74"/>
        <v>58661</v>
      </c>
      <c r="C793" t="s">
        <v>122</v>
      </c>
      <c r="D793">
        <f t="shared" si="77"/>
        <v>2060</v>
      </c>
      <c r="E793" t="s">
        <v>115</v>
      </c>
      <c r="H793" s="53">
        <f>DATE(K793,11,20)</f>
        <v>59495</v>
      </c>
      <c r="I793" s="54">
        <f t="shared" si="76"/>
        <v>59495</v>
      </c>
      <c r="J793" t="s">
        <v>128</v>
      </c>
      <c r="K793">
        <f t="shared" si="73"/>
        <v>2062</v>
      </c>
      <c r="L793" t="s">
        <v>110</v>
      </c>
    </row>
    <row r="794" spans="1:12" x14ac:dyDescent="0.3">
      <c r="A794" s="53">
        <f>DATE(D794,8,1)+(14-WEEKDAY(DATE(D794,8,1),2))</f>
        <v>58661</v>
      </c>
      <c r="B794" s="54">
        <f t="shared" si="74"/>
        <v>58661</v>
      </c>
      <c r="C794" t="s">
        <v>123</v>
      </c>
      <c r="D794">
        <f t="shared" si="77"/>
        <v>2060</v>
      </c>
      <c r="E794" t="s">
        <v>110</v>
      </c>
      <c r="H794" s="53">
        <f>DATE(K794,12,25)</f>
        <v>59530</v>
      </c>
      <c r="I794" s="54">
        <f t="shared" si="76"/>
        <v>59530</v>
      </c>
      <c r="J794" t="s">
        <v>129</v>
      </c>
      <c r="K794">
        <f t="shared" si="73"/>
        <v>2062</v>
      </c>
      <c r="L794" t="s">
        <v>110</v>
      </c>
    </row>
    <row r="795" spans="1:12" x14ac:dyDescent="0.3">
      <c r="A795" s="53">
        <f>DATE(D795,9,7)</f>
        <v>58691</v>
      </c>
      <c r="B795" s="54">
        <f t="shared" si="74"/>
        <v>58691</v>
      </c>
      <c r="C795" t="s">
        <v>124</v>
      </c>
      <c r="D795">
        <f t="shared" si="77"/>
        <v>2060</v>
      </c>
      <c r="E795" t="s">
        <v>110</v>
      </c>
      <c r="H795" s="53">
        <f>DATE(K795,1,1)</f>
        <v>59537</v>
      </c>
      <c r="I795" s="54">
        <f t="shared" si="76"/>
        <v>59537</v>
      </c>
      <c r="J795" t="s">
        <v>109</v>
      </c>
      <c r="K795">
        <f>K777+1</f>
        <v>2063</v>
      </c>
      <c r="L795" t="s">
        <v>110</v>
      </c>
    </row>
    <row r="796" spans="1:12" x14ac:dyDescent="0.3">
      <c r="A796" s="53">
        <f>DATE(D796,10,12)</f>
        <v>58726</v>
      </c>
      <c r="B796" s="54">
        <f t="shared" si="74"/>
        <v>58726</v>
      </c>
      <c r="C796" t="s">
        <v>125</v>
      </c>
      <c r="D796">
        <f t="shared" si="77"/>
        <v>2060</v>
      </c>
      <c r="E796" t="s">
        <v>110</v>
      </c>
      <c r="H796" s="53">
        <f>H799-48</f>
        <v>59593</v>
      </c>
      <c r="I796" s="54">
        <f t="shared" si="76"/>
        <v>59593</v>
      </c>
      <c r="J796" t="s">
        <v>111</v>
      </c>
      <c r="K796">
        <f t="shared" si="73"/>
        <v>2063</v>
      </c>
      <c r="L796" t="s">
        <v>110</v>
      </c>
    </row>
    <row r="797" spans="1:12" x14ac:dyDescent="0.3">
      <c r="A797" s="53">
        <f>DATE(D797,11,2)</f>
        <v>58747</v>
      </c>
      <c r="B797" s="54">
        <f t="shared" si="74"/>
        <v>58747</v>
      </c>
      <c r="C797" t="s">
        <v>126</v>
      </c>
      <c r="D797">
        <f t="shared" si="77"/>
        <v>2060</v>
      </c>
      <c r="E797" t="s">
        <v>110</v>
      </c>
      <c r="H797" s="53">
        <f>H799-47</f>
        <v>59594</v>
      </c>
      <c r="I797" s="54">
        <f t="shared" si="76"/>
        <v>59594</v>
      </c>
      <c r="J797" t="s">
        <v>111</v>
      </c>
      <c r="K797">
        <f t="shared" si="73"/>
        <v>2063</v>
      </c>
      <c r="L797" t="s">
        <v>110</v>
      </c>
    </row>
    <row r="798" spans="1:12" x14ac:dyDescent="0.3">
      <c r="A798" s="53">
        <f>DATE(D798,11,15)</f>
        <v>58760</v>
      </c>
      <c r="B798" s="54">
        <f t="shared" si="74"/>
        <v>58760</v>
      </c>
      <c r="C798" t="s">
        <v>127</v>
      </c>
      <c r="D798">
        <f t="shared" si="77"/>
        <v>2060</v>
      </c>
      <c r="E798" t="s">
        <v>110</v>
      </c>
      <c r="H798" s="53">
        <f>H799-2</f>
        <v>59639</v>
      </c>
      <c r="I798" s="54">
        <f t="shared" si="76"/>
        <v>59639</v>
      </c>
      <c r="J798" t="s">
        <v>112</v>
      </c>
      <c r="K798">
        <f t="shared" si="73"/>
        <v>2063</v>
      </c>
      <c r="L798" t="s">
        <v>110</v>
      </c>
    </row>
    <row r="799" spans="1:12" x14ac:dyDescent="0.3">
      <c r="A799" s="53">
        <f>DATE(D799,11,20)</f>
        <v>58765</v>
      </c>
      <c r="B799" s="54">
        <f t="shared" si="74"/>
        <v>58765</v>
      </c>
      <c r="C799" t="s">
        <v>128</v>
      </c>
      <c r="D799">
        <f t="shared" si="77"/>
        <v>2060</v>
      </c>
      <c r="E799" t="s">
        <v>110</v>
      </c>
      <c r="H799" s="53">
        <f>FLOOR(DAY(MINUTE(K799/38)/2+56)&amp;"/5"&amp;"/"&amp;K799,7)-34</f>
        <v>59641</v>
      </c>
      <c r="I799" s="54">
        <f t="shared" si="76"/>
        <v>59641</v>
      </c>
      <c r="J799" t="s">
        <v>113</v>
      </c>
      <c r="K799">
        <f t="shared" si="73"/>
        <v>2063</v>
      </c>
      <c r="L799" t="s">
        <v>110</v>
      </c>
    </row>
    <row r="800" spans="1:12" x14ac:dyDescent="0.3">
      <c r="A800" s="53">
        <f>DATE(D800,12,25)</f>
        <v>58800</v>
      </c>
      <c r="B800" s="54">
        <f t="shared" si="74"/>
        <v>58800</v>
      </c>
      <c r="C800" t="s">
        <v>129</v>
      </c>
      <c r="D800">
        <f t="shared" si="77"/>
        <v>2060</v>
      </c>
      <c r="E800" t="s">
        <v>110</v>
      </c>
      <c r="H800" s="53">
        <f>DATE(K800,4,21)</f>
        <v>59647</v>
      </c>
      <c r="I800" s="54">
        <f t="shared" si="76"/>
        <v>59647</v>
      </c>
      <c r="J800" t="s">
        <v>116</v>
      </c>
      <c r="K800">
        <f t="shared" si="73"/>
        <v>2063</v>
      </c>
      <c r="L800" t="s">
        <v>110</v>
      </c>
    </row>
    <row r="801" spans="1:12" x14ac:dyDescent="0.3">
      <c r="A801" s="53">
        <f>DATE(D801,1,1)</f>
        <v>58807</v>
      </c>
      <c r="B801" s="54">
        <f t="shared" si="74"/>
        <v>58807</v>
      </c>
      <c r="C801" t="s">
        <v>109</v>
      </c>
      <c r="D801">
        <f>D782+1</f>
        <v>2061</v>
      </c>
      <c r="E801" t="s">
        <v>110</v>
      </c>
      <c r="H801" s="53">
        <f>DATE(K801,5,1)</f>
        <v>59657</v>
      </c>
      <c r="I801" s="54">
        <f t="shared" si="76"/>
        <v>59657</v>
      </c>
      <c r="J801" t="s">
        <v>117</v>
      </c>
      <c r="K801">
        <f t="shared" si="73"/>
        <v>2063</v>
      </c>
      <c r="L801" t="s">
        <v>110</v>
      </c>
    </row>
    <row r="802" spans="1:12" x14ac:dyDescent="0.3">
      <c r="A802" s="53">
        <f>A805-48</f>
        <v>58858</v>
      </c>
      <c r="B802" s="54">
        <f t="shared" si="74"/>
        <v>58858</v>
      </c>
      <c r="C802" t="s">
        <v>111</v>
      </c>
      <c r="D802">
        <f t="shared" ref="D802:D819" si="78">D783+1</f>
        <v>2061</v>
      </c>
      <c r="E802" t="s">
        <v>110</v>
      </c>
      <c r="H802" s="53">
        <f>DATE(K802,5,1)+(14-WEEKDAY(DATE(K802,5,1),2))</f>
        <v>59669</v>
      </c>
      <c r="I802" s="54">
        <f t="shared" si="76"/>
        <v>59669</v>
      </c>
      <c r="J802" t="s">
        <v>118</v>
      </c>
      <c r="K802">
        <f t="shared" si="73"/>
        <v>2063</v>
      </c>
      <c r="L802" t="s">
        <v>110</v>
      </c>
    </row>
    <row r="803" spans="1:12" x14ac:dyDescent="0.3">
      <c r="A803" s="53">
        <f>A805-47</f>
        <v>58859</v>
      </c>
      <c r="B803" s="54">
        <f t="shared" si="74"/>
        <v>58859</v>
      </c>
      <c r="C803" t="s">
        <v>111</v>
      </c>
      <c r="D803">
        <f t="shared" si="78"/>
        <v>2061</v>
      </c>
      <c r="E803" t="s">
        <v>110</v>
      </c>
      <c r="H803" s="53">
        <f>H799+60</f>
        <v>59701</v>
      </c>
      <c r="I803" s="54">
        <f t="shared" si="76"/>
        <v>59701</v>
      </c>
      <c r="J803" t="s">
        <v>119</v>
      </c>
      <c r="K803">
        <f t="shared" si="73"/>
        <v>2063</v>
      </c>
      <c r="L803" t="s">
        <v>110</v>
      </c>
    </row>
    <row r="804" spans="1:12" x14ac:dyDescent="0.3">
      <c r="A804" s="53">
        <f>A805-2</f>
        <v>58904</v>
      </c>
      <c r="B804" s="54">
        <f t="shared" si="74"/>
        <v>58904</v>
      </c>
      <c r="C804" t="s">
        <v>112</v>
      </c>
      <c r="D804">
        <f t="shared" si="78"/>
        <v>2061</v>
      </c>
      <c r="E804" t="s">
        <v>110</v>
      </c>
      <c r="H804" s="53">
        <f>DATE(K804,6,19)</f>
        <v>59706</v>
      </c>
      <c r="I804" s="54">
        <f t="shared" si="76"/>
        <v>59706</v>
      </c>
      <c r="J804" t="s">
        <v>114</v>
      </c>
      <c r="K804">
        <f t="shared" si="73"/>
        <v>2063</v>
      </c>
      <c r="L804" t="s">
        <v>115</v>
      </c>
    </row>
    <row r="805" spans="1:12" x14ac:dyDescent="0.3">
      <c r="A805" s="53">
        <f>FLOOR(DAY(MINUTE(D805/38)/2+56)&amp;"/5"&amp;"/"&amp;D805,7)-34</f>
        <v>58906</v>
      </c>
      <c r="B805" s="54">
        <f t="shared" si="74"/>
        <v>58906</v>
      </c>
      <c r="C805" t="s">
        <v>113</v>
      </c>
      <c r="D805">
        <f t="shared" si="78"/>
        <v>2061</v>
      </c>
      <c r="E805" t="s">
        <v>110</v>
      </c>
      <c r="H805" s="53">
        <f>DATE(K805,7,9)</f>
        <v>59726</v>
      </c>
      <c r="I805" s="54">
        <f t="shared" si="76"/>
        <v>59726</v>
      </c>
      <c r="J805" t="s">
        <v>120</v>
      </c>
      <c r="K805">
        <f t="shared" si="73"/>
        <v>2063</v>
      </c>
      <c r="L805" t="s">
        <v>121</v>
      </c>
    </row>
    <row r="806" spans="1:12" x14ac:dyDescent="0.3">
      <c r="A806" s="53">
        <f>DATE(D806,4,14)</f>
        <v>58910</v>
      </c>
      <c r="B806" s="54">
        <f t="shared" si="74"/>
        <v>58910</v>
      </c>
      <c r="C806" t="s">
        <v>114</v>
      </c>
      <c r="D806">
        <f t="shared" si="78"/>
        <v>2061</v>
      </c>
      <c r="E806" t="s">
        <v>115</v>
      </c>
      <c r="H806" s="53">
        <f>DATE(K806,8,1)+(14-WEEKDAY(DATE(K806,8,1),2))</f>
        <v>59760</v>
      </c>
      <c r="I806" s="54">
        <f t="shared" si="76"/>
        <v>59760</v>
      </c>
      <c r="J806" t="s">
        <v>123</v>
      </c>
      <c r="K806">
        <f t="shared" ref="K806:K812" si="79">K788+1</f>
        <v>2063</v>
      </c>
      <c r="L806" t="s">
        <v>110</v>
      </c>
    </row>
    <row r="807" spans="1:12" x14ac:dyDescent="0.3">
      <c r="A807" s="53">
        <f>DATE(D807,4,21)</f>
        <v>58917</v>
      </c>
      <c r="B807" s="54">
        <f t="shared" si="74"/>
        <v>58917</v>
      </c>
      <c r="C807" t="s">
        <v>116</v>
      </c>
      <c r="D807">
        <f t="shared" si="78"/>
        <v>2061</v>
      </c>
      <c r="E807" t="s">
        <v>110</v>
      </c>
      <c r="H807" s="53">
        <f>DATE(K807,9,7)</f>
        <v>59786</v>
      </c>
      <c r="I807" s="54">
        <f t="shared" si="76"/>
        <v>59786</v>
      </c>
      <c r="J807" t="s">
        <v>124</v>
      </c>
      <c r="K807">
        <f t="shared" si="79"/>
        <v>2063</v>
      </c>
      <c r="L807" t="s">
        <v>110</v>
      </c>
    </row>
    <row r="808" spans="1:12" x14ac:dyDescent="0.3">
      <c r="A808" s="53">
        <f>DATE(D808,5,1)</f>
        <v>58927</v>
      </c>
      <c r="B808" s="54">
        <f t="shared" si="74"/>
        <v>58927</v>
      </c>
      <c r="C808" t="s">
        <v>117</v>
      </c>
      <c r="D808">
        <f t="shared" si="78"/>
        <v>2061</v>
      </c>
      <c r="E808" t="s">
        <v>110</v>
      </c>
      <c r="H808" s="53">
        <f>DATE(K808,10,12)</f>
        <v>59821</v>
      </c>
      <c r="I808" s="54">
        <f t="shared" si="76"/>
        <v>59821</v>
      </c>
      <c r="J808" t="s">
        <v>125</v>
      </c>
      <c r="K808">
        <f t="shared" si="79"/>
        <v>2063</v>
      </c>
      <c r="L808" t="s">
        <v>110</v>
      </c>
    </row>
    <row r="809" spans="1:12" x14ac:dyDescent="0.3">
      <c r="A809" s="53">
        <f>DATE(D809,5,1)+(14-WEEKDAY(DATE(D809,5,1),2))</f>
        <v>58934</v>
      </c>
      <c r="B809" s="54">
        <f t="shared" si="74"/>
        <v>58934</v>
      </c>
      <c r="C809" t="s">
        <v>118</v>
      </c>
      <c r="D809">
        <f t="shared" si="78"/>
        <v>2061</v>
      </c>
      <c r="E809" t="s">
        <v>110</v>
      </c>
      <c r="H809" s="53">
        <f>DATE(K809,11,2)</f>
        <v>59842</v>
      </c>
      <c r="I809" s="54">
        <f t="shared" si="76"/>
        <v>59842</v>
      </c>
      <c r="J809" t="s">
        <v>126</v>
      </c>
      <c r="K809">
        <f t="shared" si="79"/>
        <v>2063</v>
      </c>
      <c r="L809" t="s">
        <v>110</v>
      </c>
    </row>
    <row r="810" spans="1:12" x14ac:dyDescent="0.3">
      <c r="A810" s="53">
        <f>A805+60</f>
        <v>58966</v>
      </c>
      <c r="B810" s="54">
        <f t="shared" si="74"/>
        <v>58966</v>
      </c>
      <c r="C810" t="s">
        <v>119</v>
      </c>
      <c r="D810">
        <f t="shared" si="78"/>
        <v>2061</v>
      </c>
      <c r="E810" t="s">
        <v>110</v>
      </c>
      <c r="H810" s="53">
        <f>DATE(K810,11,15)</f>
        <v>59855</v>
      </c>
      <c r="I810" s="54">
        <f t="shared" si="76"/>
        <v>59855</v>
      </c>
      <c r="J810" t="s">
        <v>127</v>
      </c>
      <c r="K810">
        <f t="shared" si="79"/>
        <v>2063</v>
      </c>
      <c r="L810" t="s">
        <v>110</v>
      </c>
    </row>
    <row r="811" spans="1:12" x14ac:dyDescent="0.3">
      <c r="A811" s="53">
        <f>DATE(D811,7,9)</f>
        <v>58996</v>
      </c>
      <c r="B811" s="54">
        <f t="shared" si="74"/>
        <v>58996</v>
      </c>
      <c r="C811" t="s">
        <v>120</v>
      </c>
      <c r="D811">
        <f t="shared" si="78"/>
        <v>2061</v>
      </c>
      <c r="E811" t="s">
        <v>121</v>
      </c>
      <c r="H811" s="53">
        <f>DATE(K811,11,20)</f>
        <v>59860</v>
      </c>
      <c r="I811" s="54">
        <f t="shared" si="76"/>
        <v>59860</v>
      </c>
      <c r="J811" t="s">
        <v>128</v>
      </c>
      <c r="K811">
        <f t="shared" si="79"/>
        <v>2063</v>
      </c>
      <c r="L811" t="s">
        <v>110</v>
      </c>
    </row>
    <row r="812" spans="1:12" x14ac:dyDescent="0.3">
      <c r="A812" s="53">
        <f>DATE(D812,8,8)</f>
        <v>59026</v>
      </c>
      <c r="B812" s="54">
        <f t="shared" si="74"/>
        <v>59026</v>
      </c>
      <c r="C812" t="s">
        <v>122</v>
      </c>
      <c r="D812">
        <f t="shared" si="78"/>
        <v>2061</v>
      </c>
      <c r="E812" t="s">
        <v>115</v>
      </c>
      <c r="H812" s="53">
        <f>DATE(K812,12,25)</f>
        <v>59895</v>
      </c>
      <c r="I812" s="54">
        <f t="shared" si="76"/>
        <v>59895</v>
      </c>
      <c r="J812" t="s">
        <v>129</v>
      </c>
      <c r="K812">
        <f t="shared" si="79"/>
        <v>2063</v>
      </c>
      <c r="L812" t="s">
        <v>110</v>
      </c>
    </row>
    <row r="813" spans="1:12" x14ac:dyDescent="0.3">
      <c r="A813" s="53">
        <f>DATE(D813,8,1)+(14-WEEKDAY(DATE(D813,8,1),2))</f>
        <v>59032</v>
      </c>
      <c r="B813" s="54">
        <f t="shared" si="74"/>
        <v>59032</v>
      </c>
      <c r="C813" t="s">
        <v>123</v>
      </c>
      <c r="D813">
        <f t="shared" si="78"/>
        <v>2061</v>
      </c>
      <c r="E813" t="s">
        <v>110</v>
      </c>
      <c r="H813" s="53">
        <f>DATE(K813,1,1)</f>
        <v>59902</v>
      </c>
      <c r="I813" s="54">
        <f t="shared" si="76"/>
        <v>59902</v>
      </c>
      <c r="J813" t="s">
        <v>109</v>
      </c>
      <c r="K813">
        <f>K795+1</f>
        <v>2064</v>
      </c>
      <c r="L813" t="s">
        <v>110</v>
      </c>
    </row>
    <row r="814" spans="1:12" x14ac:dyDescent="0.3">
      <c r="A814" s="53">
        <f>DATE(D814,9,7)</f>
        <v>59056</v>
      </c>
      <c r="B814" s="54">
        <f t="shared" si="74"/>
        <v>59056</v>
      </c>
      <c r="C814" t="s">
        <v>124</v>
      </c>
      <c r="D814">
        <f t="shared" si="78"/>
        <v>2061</v>
      </c>
      <c r="E814" t="s">
        <v>110</v>
      </c>
      <c r="H814" s="53">
        <f>H817-48</f>
        <v>59950</v>
      </c>
      <c r="I814" s="54">
        <f t="shared" si="76"/>
        <v>59950</v>
      </c>
      <c r="J814" t="s">
        <v>111</v>
      </c>
      <c r="K814">
        <f t="shared" ref="K814:K830" si="80">K796+1</f>
        <v>2064</v>
      </c>
      <c r="L814" t="s">
        <v>110</v>
      </c>
    </row>
    <row r="815" spans="1:12" x14ac:dyDescent="0.3">
      <c r="A815" s="53">
        <f>DATE(D815,10,12)</f>
        <v>59091</v>
      </c>
      <c r="B815" s="54">
        <f t="shared" si="74"/>
        <v>59091</v>
      </c>
      <c r="C815" t="s">
        <v>125</v>
      </c>
      <c r="D815">
        <f t="shared" si="78"/>
        <v>2061</v>
      </c>
      <c r="E815" t="s">
        <v>110</v>
      </c>
      <c r="H815" s="53">
        <f>H817-47</f>
        <v>59951</v>
      </c>
      <c r="I815" s="54">
        <f t="shared" si="76"/>
        <v>59951</v>
      </c>
      <c r="J815" t="s">
        <v>111</v>
      </c>
      <c r="K815">
        <f t="shared" si="80"/>
        <v>2064</v>
      </c>
      <c r="L815" t="s">
        <v>110</v>
      </c>
    </row>
    <row r="816" spans="1:12" x14ac:dyDescent="0.3">
      <c r="A816" s="53">
        <f>DATE(D816,11,2)</f>
        <v>59112</v>
      </c>
      <c r="B816" s="54">
        <f t="shared" si="74"/>
        <v>59112</v>
      </c>
      <c r="C816" t="s">
        <v>126</v>
      </c>
      <c r="D816">
        <f t="shared" si="78"/>
        <v>2061</v>
      </c>
      <c r="E816" t="s">
        <v>110</v>
      </c>
      <c r="H816" s="53">
        <f>H817-2</f>
        <v>59996</v>
      </c>
      <c r="I816" s="54">
        <f t="shared" si="76"/>
        <v>59996</v>
      </c>
      <c r="J816" t="s">
        <v>112</v>
      </c>
      <c r="K816">
        <f t="shared" si="80"/>
        <v>2064</v>
      </c>
      <c r="L816" t="s">
        <v>110</v>
      </c>
    </row>
    <row r="817" spans="1:12" x14ac:dyDescent="0.3">
      <c r="A817" s="53">
        <f>DATE(D817,11,15)</f>
        <v>59125</v>
      </c>
      <c r="B817" s="54">
        <f t="shared" si="74"/>
        <v>59125</v>
      </c>
      <c r="C817" t="s">
        <v>127</v>
      </c>
      <c r="D817">
        <f t="shared" si="78"/>
        <v>2061</v>
      </c>
      <c r="E817" t="s">
        <v>110</v>
      </c>
      <c r="H817" s="53">
        <f>FLOOR(DAY(MINUTE(K817/38)/2+56)&amp;"/5"&amp;"/"&amp;K817,7)-34</f>
        <v>59998</v>
      </c>
      <c r="I817" s="54">
        <f t="shared" si="76"/>
        <v>59998</v>
      </c>
      <c r="J817" t="s">
        <v>113</v>
      </c>
      <c r="K817">
        <f t="shared" si="80"/>
        <v>2064</v>
      </c>
      <c r="L817" t="s">
        <v>110</v>
      </c>
    </row>
    <row r="818" spans="1:12" x14ac:dyDescent="0.3">
      <c r="A818" s="53">
        <f>DATE(D818,11,20)</f>
        <v>59130</v>
      </c>
      <c r="B818" s="54">
        <f t="shared" si="74"/>
        <v>59130</v>
      </c>
      <c r="C818" t="s">
        <v>128</v>
      </c>
      <c r="D818">
        <f t="shared" si="78"/>
        <v>2061</v>
      </c>
      <c r="E818" t="s">
        <v>110</v>
      </c>
      <c r="H818" s="53">
        <f>DATE(K818,4,21)</f>
        <v>60013</v>
      </c>
      <c r="I818" s="54">
        <f t="shared" si="76"/>
        <v>60013</v>
      </c>
      <c r="J818" t="s">
        <v>116</v>
      </c>
      <c r="K818">
        <f t="shared" si="80"/>
        <v>2064</v>
      </c>
      <c r="L818" t="s">
        <v>110</v>
      </c>
    </row>
    <row r="819" spans="1:12" x14ac:dyDescent="0.3">
      <c r="A819" s="53">
        <f>DATE(D819,12,25)</f>
        <v>59165</v>
      </c>
      <c r="B819" s="54">
        <f t="shared" si="74"/>
        <v>59165</v>
      </c>
      <c r="C819" t="s">
        <v>129</v>
      </c>
      <c r="D819">
        <f t="shared" si="78"/>
        <v>2061</v>
      </c>
      <c r="E819" t="s">
        <v>110</v>
      </c>
      <c r="H819" s="53">
        <f>DATE(K819,5,1)</f>
        <v>60023</v>
      </c>
      <c r="I819" s="54">
        <f t="shared" si="76"/>
        <v>60023</v>
      </c>
      <c r="J819" t="s">
        <v>117</v>
      </c>
      <c r="K819">
        <f t="shared" si="80"/>
        <v>2064</v>
      </c>
      <c r="L819" t="s">
        <v>110</v>
      </c>
    </row>
    <row r="820" spans="1:12" x14ac:dyDescent="0.3">
      <c r="A820" s="53">
        <f>DATE(D820,1,1)</f>
        <v>59172</v>
      </c>
      <c r="B820" s="54">
        <f t="shared" si="74"/>
        <v>59172</v>
      </c>
      <c r="C820" t="s">
        <v>109</v>
      </c>
      <c r="D820">
        <f>D801+1</f>
        <v>2062</v>
      </c>
      <c r="E820" t="s">
        <v>110</v>
      </c>
      <c r="H820" s="53">
        <f>DATE(K820,5,1)+(14-WEEKDAY(DATE(K820,5,1),2))</f>
        <v>60033</v>
      </c>
      <c r="I820" s="54">
        <f t="shared" si="76"/>
        <v>60033</v>
      </c>
      <c r="J820" t="s">
        <v>118</v>
      </c>
      <c r="K820">
        <f t="shared" si="80"/>
        <v>2064</v>
      </c>
      <c r="L820" t="s">
        <v>110</v>
      </c>
    </row>
    <row r="821" spans="1:12" x14ac:dyDescent="0.3">
      <c r="A821" s="53">
        <f>A824-48</f>
        <v>59208</v>
      </c>
      <c r="B821" s="54">
        <f t="shared" si="74"/>
        <v>59208</v>
      </c>
      <c r="C821" t="s">
        <v>111</v>
      </c>
      <c r="D821">
        <f t="shared" ref="D821:D884" si="81">D802+1</f>
        <v>2062</v>
      </c>
      <c r="E821" t="s">
        <v>110</v>
      </c>
      <c r="H821" s="53">
        <f>H817+60</f>
        <v>60058</v>
      </c>
      <c r="I821" s="54">
        <f t="shared" si="76"/>
        <v>60058</v>
      </c>
      <c r="J821" t="s">
        <v>119</v>
      </c>
      <c r="K821">
        <f t="shared" si="80"/>
        <v>2064</v>
      </c>
      <c r="L821" t="s">
        <v>110</v>
      </c>
    </row>
    <row r="822" spans="1:12" x14ac:dyDescent="0.3">
      <c r="A822" s="53">
        <f>A824-47</f>
        <v>59209</v>
      </c>
      <c r="B822" s="54">
        <f t="shared" si="74"/>
        <v>59209</v>
      </c>
      <c r="C822" t="s">
        <v>111</v>
      </c>
      <c r="D822">
        <f t="shared" si="81"/>
        <v>2062</v>
      </c>
      <c r="E822" t="s">
        <v>110</v>
      </c>
      <c r="H822" s="53">
        <f>DATE(K822,6,19)</f>
        <v>60072</v>
      </c>
      <c r="I822" s="54">
        <f t="shared" si="76"/>
        <v>60072</v>
      </c>
      <c r="J822" t="s">
        <v>114</v>
      </c>
      <c r="K822">
        <f t="shared" si="80"/>
        <v>2064</v>
      </c>
      <c r="L822" t="s">
        <v>115</v>
      </c>
    </row>
    <row r="823" spans="1:12" x14ac:dyDescent="0.3">
      <c r="A823" s="53">
        <f>A824-2</f>
        <v>59254</v>
      </c>
      <c r="B823" s="54">
        <f t="shared" si="74"/>
        <v>59254</v>
      </c>
      <c r="C823" t="s">
        <v>112</v>
      </c>
      <c r="D823">
        <f t="shared" si="81"/>
        <v>2062</v>
      </c>
      <c r="E823" t="s">
        <v>110</v>
      </c>
      <c r="H823" s="53">
        <f>DATE(K823,7,9)</f>
        <v>60092</v>
      </c>
      <c r="I823" s="54">
        <f t="shared" si="76"/>
        <v>60092</v>
      </c>
      <c r="J823" t="s">
        <v>120</v>
      </c>
      <c r="K823">
        <f t="shared" si="80"/>
        <v>2064</v>
      </c>
      <c r="L823" t="s">
        <v>121</v>
      </c>
    </row>
    <row r="824" spans="1:12" x14ac:dyDescent="0.3">
      <c r="A824" s="53">
        <f>FLOOR(DAY(MINUTE(D824/38)/2+56)&amp;"/5"&amp;"/"&amp;D824,7)-34</f>
        <v>59256</v>
      </c>
      <c r="B824" s="54">
        <f t="shared" si="74"/>
        <v>59256</v>
      </c>
      <c r="C824" t="s">
        <v>113</v>
      </c>
      <c r="D824">
        <f t="shared" si="81"/>
        <v>2062</v>
      </c>
      <c r="E824" t="s">
        <v>110</v>
      </c>
      <c r="H824" s="53">
        <f>DATE(K824,8,1)+(14-WEEKDAY(DATE(K824,8,1),2))</f>
        <v>60124</v>
      </c>
      <c r="I824" s="54">
        <f t="shared" si="76"/>
        <v>60124</v>
      </c>
      <c r="J824" t="s">
        <v>123</v>
      </c>
      <c r="K824">
        <f t="shared" si="80"/>
        <v>2064</v>
      </c>
      <c r="L824" t="s">
        <v>110</v>
      </c>
    </row>
    <row r="825" spans="1:12" x14ac:dyDescent="0.3">
      <c r="A825" s="53">
        <f>DATE(D825,4,14)</f>
        <v>59275</v>
      </c>
      <c r="B825" s="54">
        <f t="shared" si="74"/>
        <v>59275</v>
      </c>
      <c r="C825" t="s">
        <v>114</v>
      </c>
      <c r="D825">
        <f t="shared" si="81"/>
        <v>2062</v>
      </c>
      <c r="E825" t="s">
        <v>115</v>
      </c>
      <c r="H825" s="53">
        <f>DATE(K825,9,7)</f>
        <v>60152</v>
      </c>
      <c r="I825" s="54">
        <f t="shared" si="76"/>
        <v>60152</v>
      </c>
      <c r="J825" t="s">
        <v>124</v>
      </c>
      <c r="K825">
        <f t="shared" si="80"/>
        <v>2064</v>
      </c>
      <c r="L825" t="s">
        <v>110</v>
      </c>
    </row>
    <row r="826" spans="1:12" x14ac:dyDescent="0.3">
      <c r="A826" s="53">
        <f>DATE(D826,4,21)</f>
        <v>59282</v>
      </c>
      <c r="B826" s="54">
        <f t="shared" si="74"/>
        <v>59282</v>
      </c>
      <c r="C826" t="s">
        <v>116</v>
      </c>
      <c r="D826">
        <f t="shared" si="81"/>
        <v>2062</v>
      </c>
      <c r="E826" t="s">
        <v>110</v>
      </c>
      <c r="H826" s="53">
        <f>DATE(K826,10,12)</f>
        <v>60187</v>
      </c>
      <c r="I826" s="54">
        <f t="shared" si="76"/>
        <v>60187</v>
      </c>
      <c r="J826" t="s">
        <v>125</v>
      </c>
      <c r="K826">
        <f t="shared" si="80"/>
        <v>2064</v>
      </c>
      <c r="L826" t="s">
        <v>110</v>
      </c>
    </row>
    <row r="827" spans="1:12" x14ac:dyDescent="0.3">
      <c r="A827" s="53">
        <f>DATE(D827,5,1)</f>
        <v>59292</v>
      </c>
      <c r="B827" s="54">
        <f t="shared" si="74"/>
        <v>59292</v>
      </c>
      <c r="C827" t="s">
        <v>117</v>
      </c>
      <c r="D827">
        <f t="shared" si="81"/>
        <v>2062</v>
      </c>
      <c r="E827" t="s">
        <v>110</v>
      </c>
      <c r="H827" s="53">
        <f>DATE(K827,11,2)</f>
        <v>60208</v>
      </c>
      <c r="I827" s="54">
        <f t="shared" si="76"/>
        <v>60208</v>
      </c>
      <c r="J827" t="s">
        <v>126</v>
      </c>
      <c r="K827">
        <f t="shared" si="80"/>
        <v>2064</v>
      </c>
      <c r="L827" t="s">
        <v>110</v>
      </c>
    </row>
    <row r="828" spans="1:12" x14ac:dyDescent="0.3">
      <c r="A828" s="53">
        <f>DATE(D828,5,1)+(14-WEEKDAY(DATE(D828,5,1),2))</f>
        <v>59305</v>
      </c>
      <c r="B828" s="54">
        <f t="shared" si="74"/>
        <v>59305</v>
      </c>
      <c r="C828" t="s">
        <v>118</v>
      </c>
      <c r="D828">
        <f t="shared" si="81"/>
        <v>2062</v>
      </c>
      <c r="E828" t="s">
        <v>110</v>
      </c>
      <c r="H828" s="53">
        <f>DATE(K828,11,15)</f>
        <v>60221</v>
      </c>
      <c r="I828" s="54">
        <f t="shared" si="76"/>
        <v>60221</v>
      </c>
      <c r="J828" t="s">
        <v>127</v>
      </c>
      <c r="K828">
        <f t="shared" si="80"/>
        <v>2064</v>
      </c>
      <c r="L828" t="s">
        <v>110</v>
      </c>
    </row>
    <row r="829" spans="1:12" x14ac:dyDescent="0.3">
      <c r="A829" s="53">
        <f>A824+60</f>
        <v>59316</v>
      </c>
      <c r="B829" s="54">
        <f t="shared" si="74"/>
        <v>59316</v>
      </c>
      <c r="C829" t="s">
        <v>119</v>
      </c>
      <c r="D829">
        <f t="shared" si="81"/>
        <v>2062</v>
      </c>
      <c r="E829" t="s">
        <v>110</v>
      </c>
      <c r="H829" s="53">
        <f>DATE(K829,11,20)</f>
        <v>60226</v>
      </c>
      <c r="I829" s="54">
        <f t="shared" si="76"/>
        <v>60226</v>
      </c>
      <c r="J829" t="s">
        <v>128</v>
      </c>
      <c r="K829">
        <f t="shared" si="80"/>
        <v>2064</v>
      </c>
      <c r="L829" t="s">
        <v>110</v>
      </c>
    </row>
    <row r="830" spans="1:12" x14ac:dyDescent="0.3">
      <c r="A830" s="53">
        <f>DATE(D830,7,9)</f>
        <v>59361</v>
      </c>
      <c r="B830" s="54">
        <f t="shared" si="74"/>
        <v>59361</v>
      </c>
      <c r="C830" t="s">
        <v>120</v>
      </c>
      <c r="D830">
        <f t="shared" si="81"/>
        <v>2062</v>
      </c>
      <c r="E830" t="s">
        <v>121</v>
      </c>
      <c r="H830" s="53">
        <f>DATE(K830,12,25)</f>
        <v>60261</v>
      </c>
      <c r="I830" s="54">
        <f t="shared" si="76"/>
        <v>60261</v>
      </c>
      <c r="J830" t="s">
        <v>129</v>
      </c>
      <c r="K830">
        <f t="shared" si="80"/>
        <v>2064</v>
      </c>
      <c r="L830" t="s">
        <v>110</v>
      </c>
    </row>
    <row r="831" spans="1:12" x14ac:dyDescent="0.3">
      <c r="A831" s="53">
        <f>DATE(D831,8,8)</f>
        <v>59391</v>
      </c>
      <c r="B831" s="54">
        <f t="shared" si="74"/>
        <v>59391</v>
      </c>
      <c r="C831" t="s">
        <v>122</v>
      </c>
      <c r="D831">
        <f t="shared" si="81"/>
        <v>2062</v>
      </c>
      <c r="E831" t="s">
        <v>115</v>
      </c>
      <c r="H831" s="53">
        <f>DATE(K831,1,1)</f>
        <v>60268</v>
      </c>
      <c r="I831" s="54">
        <f t="shared" si="76"/>
        <v>60268</v>
      </c>
      <c r="J831" t="s">
        <v>109</v>
      </c>
      <c r="K831">
        <f>K813+1</f>
        <v>2065</v>
      </c>
      <c r="L831" t="s">
        <v>110</v>
      </c>
    </row>
    <row r="832" spans="1:12" x14ac:dyDescent="0.3">
      <c r="A832" s="53">
        <f>DATE(D832,8,1)+(14-WEEKDAY(DATE(D832,8,1),2))</f>
        <v>59396</v>
      </c>
      <c r="B832" s="54">
        <f t="shared" si="74"/>
        <v>59396</v>
      </c>
      <c r="C832" t="s">
        <v>123</v>
      </c>
      <c r="D832">
        <f t="shared" si="81"/>
        <v>2062</v>
      </c>
      <c r="E832" t="s">
        <v>110</v>
      </c>
      <c r="H832" s="53">
        <f>H835-48</f>
        <v>60307</v>
      </c>
      <c r="I832" s="54">
        <f t="shared" si="76"/>
        <v>60307</v>
      </c>
      <c r="J832" t="s">
        <v>111</v>
      </c>
      <c r="K832">
        <f t="shared" ref="K832:K895" si="82">K814+1</f>
        <v>2065</v>
      </c>
      <c r="L832" t="s">
        <v>110</v>
      </c>
    </row>
    <row r="833" spans="1:12" x14ac:dyDescent="0.3">
      <c r="A833" s="53">
        <f>DATE(D833,9,7)</f>
        <v>59421</v>
      </c>
      <c r="B833" s="54">
        <f t="shared" si="74"/>
        <v>59421</v>
      </c>
      <c r="C833" t="s">
        <v>124</v>
      </c>
      <c r="D833">
        <f t="shared" si="81"/>
        <v>2062</v>
      </c>
      <c r="E833" t="s">
        <v>110</v>
      </c>
      <c r="H833" s="53">
        <f>H835-47</f>
        <v>60308</v>
      </c>
      <c r="I833" s="54">
        <f t="shared" si="76"/>
        <v>60308</v>
      </c>
      <c r="J833" t="s">
        <v>111</v>
      </c>
      <c r="K833">
        <f t="shared" si="82"/>
        <v>2065</v>
      </c>
      <c r="L833" t="s">
        <v>110</v>
      </c>
    </row>
    <row r="834" spans="1:12" x14ac:dyDescent="0.3">
      <c r="A834" s="53">
        <f>DATE(D834,10,12)</f>
        <v>59456</v>
      </c>
      <c r="B834" s="54">
        <f t="shared" si="74"/>
        <v>59456</v>
      </c>
      <c r="C834" t="s">
        <v>125</v>
      </c>
      <c r="D834">
        <f t="shared" si="81"/>
        <v>2062</v>
      </c>
      <c r="E834" t="s">
        <v>110</v>
      </c>
      <c r="H834" s="53">
        <f>H835-2</f>
        <v>60353</v>
      </c>
      <c r="I834" s="54">
        <f t="shared" si="76"/>
        <v>60353</v>
      </c>
      <c r="J834" t="s">
        <v>112</v>
      </c>
      <c r="K834">
        <f t="shared" si="82"/>
        <v>2065</v>
      </c>
      <c r="L834" t="s">
        <v>110</v>
      </c>
    </row>
    <row r="835" spans="1:12" x14ac:dyDescent="0.3">
      <c r="A835" s="53">
        <f>DATE(D835,11,2)</f>
        <v>59477</v>
      </c>
      <c r="B835" s="54">
        <f t="shared" ref="B835:B898" si="83">A835</f>
        <v>59477</v>
      </c>
      <c r="C835" t="s">
        <v>126</v>
      </c>
      <c r="D835">
        <f t="shared" si="81"/>
        <v>2062</v>
      </c>
      <c r="E835" t="s">
        <v>110</v>
      </c>
      <c r="H835" s="53">
        <f>FLOOR(DAY(MINUTE(K835/38)/2+56)&amp;"/5"&amp;"/"&amp;K835,7)-34</f>
        <v>60355</v>
      </c>
      <c r="I835" s="54">
        <f t="shared" si="76"/>
        <v>60355</v>
      </c>
      <c r="J835" t="s">
        <v>113</v>
      </c>
      <c r="K835">
        <f t="shared" si="82"/>
        <v>2065</v>
      </c>
      <c r="L835" t="s">
        <v>110</v>
      </c>
    </row>
    <row r="836" spans="1:12" x14ac:dyDescent="0.3">
      <c r="A836" s="53">
        <f>DATE(D836,11,15)</f>
        <v>59490</v>
      </c>
      <c r="B836" s="54">
        <f t="shared" si="83"/>
        <v>59490</v>
      </c>
      <c r="C836" t="s">
        <v>127</v>
      </c>
      <c r="D836">
        <f t="shared" si="81"/>
        <v>2062</v>
      </c>
      <c r="E836" t="s">
        <v>110</v>
      </c>
      <c r="H836" s="53">
        <f>DATE(K836,4,21)</f>
        <v>60378</v>
      </c>
      <c r="I836" s="54">
        <f t="shared" si="76"/>
        <v>60378</v>
      </c>
      <c r="J836" t="s">
        <v>116</v>
      </c>
      <c r="K836">
        <f t="shared" si="82"/>
        <v>2065</v>
      </c>
      <c r="L836" t="s">
        <v>110</v>
      </c>
    </row>
    <row r="837" spans="1:12" x14ac:dyDescent="0.3">
      <c r="A837" s="53">
        <f>DATE(D837,11,20)</f>
        <v>59495</v>
      </c>
      <c r="B837" s="54">
        <f t="shared" si="83"/>
        <v>59495</v>
      </c>
      <c r="C837" t="s">
        <v>128</v>
      </c>
      <c r="D837">
        <f t="shared" si="81"/>
        <v>2062</v>
      </c>
      <c r="E837" t="s">
        <v>110</v>
      </c>
      <c r="H837" s="53">
        <f>DATE(K837,5,1)</f>
        <v>60388</v>
      </c>
      <c r="I837" s="54">
        <f t="shared" si="76"/>
        <v>60388</v>
      </c>
      <c r="J837" t="s">
        <v>117</v>
      </c>
      <c r="K837">
        <f t="shared" si="82"/>
        <v>2065</v>
      </c>
      <c r="L837" t="s">
        <v>110</v>
      </c>
    </row>
    <row r="838" spans="1:12" x14ac:dyDescent="0.3">
      <c r="A838" s="53">
        <f>DATE(D838,12,25)</f>
        <v>59530</v>
      </c>
      <c r="B838" s="54">
        <f t="shared" si="83"/>
        <v>59530</v>
      </c>
      <c r="C838" t="s">
        <v>129</v>
      </c>
      <c r="D838">
        <f t="shared" si="81"/>
        <v>2062</v>
      </c>
      <c r="E838" t="s">
        <v>110</v>
      </c>
      <c r="H838" s="53">
        <f>DATE(K838,5,1)+(14-WEEKDAY(DATE(K838,5,1),2))</f>
        <v>60397</v>
      </c>
      <c r="I838" s="54">
        <f t="shared" si="76"/>
        <v>60397</v>
      </c>
      <c r="J838" t="s">
        <v>118</v>
      </c>
      <c r="K838">
        <f t="shared" si="82"/>
        <v>2065</v>
      </c>
      <c r="L838" t="s">
        <v>110</v>
      </c>
    </row>
    <row r="839" spans="1:12" x14ac:dyDescent="0.3">
      <c r="A839" s="53">
        <f>DATE(D839,1,1)</f>
        <v>59537</v>
      </c>
      <c r="B839" s="54">
        <f t="shared" si="83"/>
        <v>59537</v>
      </c>
      <c r="C839" t="s">
        <v>109</v>
      </c>
      <c r="D839">
        <f>D820+1</f>
        <v>2063</v>
      </c>
      <c r="E839" t="s">
        <v>110</v>
      </c>
      <c r="H839" s="53">
        <f>H835+60</f>
        <v>60415</v>
      </c>
      <c r="I839" s="54">
        <f t="shared" si="76"/>
        <v>60415</v>
      </c>
      <c r="J839" t="s">
        <v>119</v>
      </c>
      <c r="K839">
        <f t="shared" si="82"/>
        <v>2065</v>
      </c>
      <c r="L839" t="s">
        <v>110</v>
      </c>
    </row>
    <row r="840" spans="1:12" x14ac:dyDescent="0.3">
      <c r="A840" s="53">
        <f>A843-48</f>
        <v>59593</v>
      </c>
      <c r="B840" s="54">
        <f t="shared" si="83"/>
        <v>59593</v>
      </c>
      <c r="C840" t="s">
        <v>111</v>
      </c>
      <c r="D840">
        <f t="shared" si="81"/>
        <v>2063</v>
      </c>
      <c r="E840" t="s">
        <v>110</v>
      </c>
      <c r="H840" s="53">
        <f>DATE(K840,6,19)</f>
        <v>60437</v>
      </c>
      <c r="I840" s="54">
        <f t="shared" ref="I840:I903" si="84">H840</f>
        <v>60437</v>
      </c>
      <c r="J840" t="s">
        <v>114</v>
      </c>
      <c r="K840">
        <f t="shared" si="82"/>
        <v>2065</v>
      </c>
      <c r="L840" t="s">
        <v>115</v>
      </c>
    </row>
    <row r="841" spans="1:12" x14ac:dyDescent="0.3">
      <c r="A841" s="53">
        <f>A843-47</f>
        <v>59594</v>
      </c>
      <c r="B841" s="54">
        <f t="shared" si="83"/>
        <v>59594</v>
      </c>
      <c r="C841" t="s">
        <v>111</v>
      </c>
      <c r="D841">
        <f t="shared" si="81"/>
        <v>2063</v>
      </c>
      <c r="E841" t="s">
        <v>110</v>
      </c>
      <c r="H841" s="53">
        <f>DATE(K841,7,9)</f>
        <v>60457</v>
      </c>
      <c r="I841" s="54">
        <f t="shared" si="84"/>
        <v>60457</v>
      </c>
      <c r="J841" t="s">
        <v>120</v>
      </c>
      <c r="K841">
        <f t="shared" si="82"/>
        <v>2065</v>
      </c>
      <c r="L841" t="s">
        <v>121</v>
      </c>
    </row>
    <row r="842" spans="1:12" x14ac:dyDescent="0.3">
      <c r="A842" s="53">
        <f>A843-2</f>
        <v>59639</v>
      </c>
      <c r="B842" s="54">
        <f t="shared" si="83"/>
        <v>59639</v>
      </c>
      <c r="C842" t="s">
        <v>112</v>
      </c>
      <c r="D842">
        <f t="shared" si="81"/>
        <v>2063</v>
      </c>
      <c r="E842" t="s">
        <v>110</v>
      </c>
      <c r="H842" s="53">
        <f>DATE(K842,8,1)+(14-WEEKDAY(DATE(K842,8,1),2))</f>
        <v>60488</v>
      </c>
      <c r="I842" s="54">
        <f t="shared" si="84"/>
        <v>60488</v>
      </c>
      <c r="J842" t="s">
        <v>123</v>
      </c>
      <c r="K842">
        <f t="shared" si="82"/>
        <v>2065</v>
      </c>
      <c r="L842" t="s">
        <v>110</v>
      </c>
    </row>
    <row r="843" spans="1:12" x14ac:dyDescent="0.3">
      <c r="A843" s="53">
        <f>FLOOR(DAY(MINUTE(D843/38)/2+56)&amp;"/5"&amp;"/"&amp;D843,7)-34</f>
        <v>59641</v>
      </c>
      <c r="B843" s="54">
        <f t="shared" si="83"/>
        <v>59641</v>
      </c>
      <c r="C843" t="s">
        <v>113</v>
      </c>
      <c r="D843">
        <f t="shared" si="81"/>
        <v>2063</v>
      </c>
      <c r="E843" t="s">
        <v>110</v>
      </c>
      <c r="H843" s="53">
        <f>DATE(K843,9,7)</f>
        <v>60517</v>
      </c>
      <c r="I843" s="54">
        <f t="shared" si="84"/>
        <v>60517</v>
      </c>
      <c r="J843" t="s">
        <v>124</v>
      </c>
      <c r="K843">
        <f t="shared" si="82"/>
        <v>2065</v>
      </c>
      <c r="L843" t="s">
        <v>110</v>
      </c>
    </row>
    <row r="844" spans="1:12" x14ac:dyDescent="0.3">
      <c r="A844" s="53">
        <f>DATE(D844,4,14)</f>
        <v>59640</v>
      </c>
      <c r="B844" s="54">
        <f t="shared" si="83"/>
        <v>59640</v>
      </c>
      <c r="C844" t="s">
        <v>114</v>
      </c>
      <c r="D844">
        <f t="shared" si="81"/>
        <v>2063</v>
      </c>
      <c r="E844" t="s">
        <v>115</v>
      </c>
      <c r="H844" s="53">
        <f>DATE(K844,10,12)</f>
        <v>60552</v>
      </c>
      <c r="I844" s="54">
        <f t="shared" si="84"/>
        <v>60552</v>
      </c>
      <c r="J844" t="s">
        <v>125</v>
      </c>
      <c r="K844">
        <f t="shared" si="82"/>
        <v>2065</v>
      </c>
      <c r="L844" t="s">
        <v>110</v>
      </c>
    </row>
    <row r="845" spans="1:12" x14ac:dyDescent="0.3">
      <c r="A845" s="53">
        <f>DATE(D845,4,21)</f>
        <v>59647</v>
      </c>
      <c r="B845" s="54">
        <f t="shared" si="83"/>
        <v>59647</v>
      </c>
      <c r="C845" t="s">
        <v>116</v>
      </c>
      <c r="D845">
        <f t="shared" si="81"/>
        <v>2063</v>
      </c>
      <c r="E845" t="s">
        <v>110</v>
      </c>
      <c r="H845" s="53">
        <f>DATE(K845,11,2)</f>
        <v>60573</v>
      </c>
      <c r="I845" s="54">
        <f t="shared" si="84"/>
        <v>60573</v>
      </c>
      <c r="J845" t="s">
        <v>126</v>
      </c>
      <c r="K845">
        <f t="shared" si="82"/>
        <v>2065</v>
      </c>
      <c r="L845" t="s">
        <v>110</v>
      </c>
    </row>
    <row r="846" spans="1:12" x14ac:dyDescent="0.3">
      <c r="A846" s="53">
        <f>DATE(D846,5,1)</f>
        <v>59657</v>
      </c>
      <c r="B846" s="54">
        <f t="shared" si="83"/>
        <v>59657</v>
      </c>
      <c r="C846" t="s">
        <v>117</v>
      </c>
      <c r="D846">
        <f t="shared" si="81"/>
        <v>2063</v>
      </c>
      <c r="E846" t="s">
        <v>110</v>
      </c>
      <c r="H846" s="53">
        <f>DATE(K846,11,15)</f>
        <v>60586</v>
      </c>
      <c r="I846" s="54">
        <f t="shared" si="84"/>
        <v>60586</v>
      </c>
      <c r="J846" t="s">
        <v>127</v>
      </c>
      <c r="K846">
        <f t="shared" si="82"/>
        <v>2065</v>
      </c>
      <c r="L846" t="s">
        <v>110</v>
      </c>
    </row>
    <row r="847" spans="1:12" x14ac:dyDescent="0.3">
      <c r="A847" s="53">
        <f>DATE(D847,5,1)+(14-WEEKDAY(DATE(D847,5,1),2))</f>
        <v>59669</v>
      </c>
      <c r="B847" s="54">
        <f t="shared" si="83"/>
        <v>59669</v>
      </c>
      <c r="C847" t="s">
        <v>118</v>
      </c>
      <c r="D847">
        <f t="shared" si="81"/>
        <v>2063</v>
      </c>
      <c r="E847" t="s">
        <v>110</v>
      </c>
      <c r="H847" s="53">
        <f>DATE(K847,11,20)</f>
        <v>60591</v>
      </c>
      <c r="I847" s="54">
        <f t="shared" si="84"/>
        <v>60591</v>
      </c>
      <c r="J847" t="s">
        <v>128</v>
      </c>
      <c r="K847">
        <f t="shared" si="82"/>
        <v>2065</v>
      </c>
      <c r="L847" t="s">
        <v>110</v>
      </c>
    </row>
    <row r="848" spans="1:12" x14ac:dyDescent="0.3">
      <c r="A848" s="53">
        <f>A843+60</f>
        <v>59701</v>
      </c>
      <c r="B848" s="54">
        <f t="shared" si="83"/>
        <v>59701</v>
      </c>
      <c r="C848" t="s">
        <v>119</v>
      </c>
      <c r="D848">
        <f t="shared" si="81"/>
        <v>2063</v>
      </c>
      <c r="E848" t="s">
        <v>110</v>
      </c>
      <c r="H848" s="53">
        <f>DATE(K848,12,25)</f>
        <v>60626</v>
      </c>
      <c r="I848" s="54">
        <f t="shared" si="84"/>
        <v>60626</v>
      </c>
      <c r="J848" t="s">
        <v>129</v>
      </c>
      <c r="K848">
        <f t="shared" si="82"/>
        <v>2065</v>
      </c>
      <c r="L848" t="s">
        <v>110</v>
      </c>
    </row>
    <row r="849" spans="1:12" x14ac:dyDescent="0.3">
      <c r="A849" s="53">
        <f>DATE(D849,7,9)</f>
        <v>59726</v>
      </c>
      <c r="B849" s="54">
        <f t="shared" si="83"/>
        <v>59726</v>
      </c>
      <c r="C849" t="s">
        <v>120</v>
      </c>
      <c r="D849">
        <f t="shared" si="81"/>
        <v>2063</v>
      </c>
      <c r="E849" t="s">
        <v>121</v>
      </c>
      <c r="H849" s="53">
        <f>DATE(K849,1,1)</f>
        <v>60633</v>
      </c>
      <c r="I849" s="54">
        <f t="shared" si="84"/>
        <v>60633</v>
      </c>
      <c r="J849" t="s">
        <v>109</v>
      </c>
      <c r="K849">
        <f>K831+1</f>
        <v>2066</v>
      </c>
      <c r="L849" t="s">
        <v>110</v>
      </c>
    </row>
    <row r="850" spans="1:12" x14ac:dyDescent="0.3">
      <c r="A850" s="53">
        <f>DATE(D850,8,8)</f>
        <v>59756</v>
      </c>
      <c r="B850" s="54">
        <f t="shared" si="83"/>
        <v>59756</v>
      </c>
      <c r="C850" t="s">
        <v>122</v>
      </c>
      <c r="D850">
        <f t="shared" si="81"/>
        <v>2063</v>
      </c>
      <c r="E850" t="s">
        <v>115</v>
      </c>
      <c r="H850" s="53">
        <f>H853-48</f>
        <v>60685</v>
      </c>
      <c r="I850" s="54">
        <f t="shared" si="84"/>
        <v>60685</v>
      </c>
      <c r="J850" t="s">
        <v>111</v>
      </c>
      <c r="K850">
        <f t="shared" si="82"/>
        <v>2066</v>
      </c>
      <c r="L850" t="s">
        <v>110</v>
      </c>
    </row>
    <row r="851" spans="1:12" x14ac:dyDescent="0.3">
      <c r="A851" s="53">
        <f>DATE(D851,8,1)+(14-WEEKDAY(DATE(D851,8,1),2))</f>
        <v>59760</v>
      </c>
      <c r="B851" s="54">
        <f t="shared" si="83"/>
        <v>59760</v>
      </c>
      <c r="C851" t="s">
        <v>123</v>
      </c>
      <c r="D851">
        <f t="shared" si="81"/>
        <v>2063</v>
      </c>
      <c r="E851" t="s">
        <v>110</v>
      </c>
      <c r="H851" s="53">
        <f>H853-47</f>
        <v>60686</v>
      </c>
      <c r="I851" s="54">
        <f t="shared" si="84"/>
        <v>60686</v>
      </c>
      <c r="J851" t="s">
        <v>111</v>
      </c>
      <c r="K851">
        <f t="shared" si="82"/>
        <v>2066</v>
      </c>
      <c r="L851" t="s">
        <v>110</v>
      </c>
    </row>
    <row r="852" spans="1:12" x14ac:dyDescent="0.3">
      <c r="A852" s="53">
        <f>DATE(D852,9,7)</f>
        <v>59786</v>
      </c>
      <c r="B852" s="54">
        <f t="shared" si="83"/>
        <v>59786</v>
      </c>
      <c r="C852" t="s">
        <v>124</v>
      </c>
      <c r="D852">
        <f t="shared" si="81"/>
        <v>2063</v>
      </c>
      <c r="E852" t="s">
        <v>110</v>
      </c>
      <c r="H852" s="53">
        <f>H853-2</f>
        <v>60731</v>
      </c>
      <c r="I852" s="54">
        <f t="shared" si="84"/>
        <v>60731</v>
      </c>
      <c r="J852" t="s">
        <v>112</v>
      </c>
      <c r="K852">
        <f t="shared" si="82"/>
        <v>2066</v>
      </c>
      <c r="L852" t="s">
        <v>110</v>
      </c>
    </row>
    <row r="853" spans="1:12" x14ac:dyDescent="0.3">
      <c r="A853" s="53">
        <f>DATE(D853,10,12)</f>
        <v>59821</v>
      </c>
      <c r="B853" s="54">
        <f t="shared" si="83"/>
        <v>59821</v>
      </c>
      <c r="C853" t="s">
        <v>125</v>
      </c>
      <c r="D853">
        <f t="shared" si="81"/>
        <v>2063</v>
      </c>
      <c r="E853" t="s">
        <v>110</v>
      </c>
      <c r="H853" s="53">
        <f>FLOOR(DAY(MINUTE(K853/38)/2+56)&amp;"/5"&amp;"/"&amp;K853,7)-34</f>
        <v>60733</v>
      </c>
      <c r="I853" s="54">
        <f t="shared" si="84"/>
        <v>60733</v>
      </c>
      <c r="J853" t="s">
        <v>113</v>
      </c>
      <c r="K853">
        <f t="shared" si="82"/>
        <v>2066</v>
      </c>
      <c r="L853" t="s">
        <v>110</v>
      </c>
    </row>
    <row r="854" spans="1:12" x14ac:dyDescent="0.3">
      <c r="A854" s="53">
        <f>DATE(D854,11,2)</f>
        <v>59842</v>
      </c>
      <c r="B854" s="54">
        <f t="shared" si="83"/>
        <v>59842</v>
      </c>
      <c r="C854" t="s">
        <v>126</v>
      </c>
      <c r="D854">
        <f t="shared" si="81"/>
        <v>2063</v>
      </c>
      <c r="E854" t="s">
        <v>110</v>
      </c>
      <c r="H854" s="53">
        <f>DATE(K854,4,21)</f>
        <v>60743</v>
      </c>
      <c r="I854" s="54">
        <f t="shared" si="84"/>
        <v>60743</v>
      </c>
      <c r="J854" t="s">
        <v>116</v>
      </c>
      <c r="K854">
        <f t="shared" si="82"/>
        <v>2066</v>
      </c>
      <c r="L854" t="s">
        <v>110</v>
      </c>
    </row>
    <row r="855" spans="1:12" x14ac:dyDescent="0.3">
      <c r="A855" s="53">
        <f>DATE(D855,11,15)</f>
        <v>59855</v>
      </c>
      <c r="B855" s="54">
        <f t="shared" si="83"/>
        <v>59855</v>
      </c>
      <c r="C855" t="s">
        <v>127</v>
      </c>
      <c r="D855">
        <f t="shared" si="81"/>
        <v>2063</v>
      </c>
      <c r="E855" t="s">
        <v>110</v>
      </c>
      <c r="H855" s="53">
        <f>DATE(K855,5,1)</f>
        <v>60753</v>
      </c>
      <c r="I855" s="54">
        <f t="shared" si="84"/>
        <v>60753</v>
      </c>
      <c r="J855" t="s">
        <v>117</v>
      </c>
      <c r="K855">
        <f t="shared" si="82"/>
        <v>2066</v>
      </c>
      <c r="L855" t="s">
        <v>110</v>
      </c>
    </row>
    <row r="856" spans="1:12" x14ac:dyDescent="0.3">
      <c r="A856" s="53">
        <f>DATE(D856,11,20)</f>
        <v>59860</v>
      </c>
      <c r="B856" s="54">
        <f t="shared" si="83"/>
        <v>59860</v>
      </c>
      <c r="C856" t="s">
        <v>128</v>
      </c>
      <c r="D856">
        <f t="shared" si="81"/>
        <v>2063</v>
      </c>
      <c r="E856" t="s">
        <v>110</v>
      </c>
      <c r="H856" s="53">
        <f>DATE(K856,5,1)+(14-WEEKDAY(DATE(K856,5,1),2))</f>
        <v>60761</v>
      </c>
      <c r="I856" s="54">
        <f t="shared" si="84"/>
        <v>60761</v>
      </c>
      <c r="J856" t="s">
        <v>118</v>
      </c>
      <c r="K856">
        <f t="shared" si="82"/>
        <v>2066</v>
      </c>
      <c r="L856" t="s">
        <v>110</v>
      </c>
    </row>
    <row r="857" spans="1:12" x14ac:dyDescent="0.3">
      <c r="A857" s="53">
        <f>DATE(D857,12,25)</f>
        <v>59895</v>
      </c>
      <c r="B857" s="54">
        <f t="shared" si="83"/>
        <v>59895</v>
      </c>
      <c r="C857" t="s">
        <v>129</v>
      </c>
      <c r="D857">
        <f t="shared" si="81"/>
        <v>2063</v>
      </c>
      <c r="E857" t="s">
        <v>110</v>
      </c>
      <c r="H857" s="53">
        <f>H853+60</f>
        <v>60793</v>
      </c>
      <c r="I857" s="54">
        <f t="shared" si="84"/>
        <v>60793</v>
      </c>
      <c r="J857" t="s">
        <v>119</v>
      </c>
      <c r="K857">
        <f t="shared" si="82"/>
        <v>2066</v>
      </c>
      <c r="L857" t="s">
        <v>110</v>
      </c>
    </row>
    <row r="858" spans="1:12" x14ac:dyDescent="0.3">
      <c r="A858" s="53">
        <f>DATE(D858,1,1)</f>
        <v>59902</v>
      </c>
      <c r="B858" s="54">
        <f t="shared" si="83"/>
        <v>59902</v>
      </c>
      <c r="C858" t="s">
        <v>109</v>
      </c>
      <c r="D858">
        <f>D839+1</f>
        <v>2064</v>
      </c>
      <c r="E858" t="s">
        <v>110</v>
      </c>
      <c r="H858" s="53">
        <f>DATE(K858,6,19)</f>
        <v>60802</v>
      </c>
      <c r="I858" s="54">
        <f t="shared" si="84"/>
        <v>60802</v>
      </c>
      <c r="J858" t="s">
        <v>114</v>
      </c>
      <c r="K858">
        <f t="shared" si="82"/>
        <v>2066</v>
      </c>
      <c r="L858" t="s">
        <v>115</v>
      </c>
    </row>
    <row r="859" spans="1:12" x14ac:dyDescent="0.3">
      <c r="A859" s="53">
        <f>A862-48</f>
        <v>59950</v>
      </c>
      <c r="B859" s="54">
        <f t="shared" si="83"/>
        <v>59950</v>
      </c>
      <c r="C859" t="s">
        <v>111</v>
      </c>
      <c r="D859">
        <f t="shared" si="81"/>
        <v>2064</v>
      </c>
      <c r="E859" t="s">
        <v>110</v>
      </c>
      <c r="H859" s="53">
        <f>DATE(K859,7,9)</f>
        <v>60822</v>
      </c>
      <c r="I859" s="54">
        <f t="shared" si="84"/>
        <v>60822</v>
      </c>
      <c r="J859" t="s">
        <v>120</v>
      </c>
      <c r="K859">
        <f t="shared" si="82"/>
        <v>2066</v>
      </c>
      <c r="L859" t="s">
        <v>121</v>
      </c>
    </row>
    <row r="860" spans="1:12" x14ac:dyDescent="0.3">
      <c r="A860" s="53">
        <f>A862-47</f>
        <v>59951</v>
      </c>
      <c r="B860" s="54">
        <f t="shared" si="83"/>
        <v>59951</v>
      </c>
      <c r="C860" t="s">
        <v>111</v>
      </c>
      <c r="D860">
        <f t="shared" si="81"/>
        <v>2064</v>
      </c>
      <c r="E860" t="s">
        <v>110</v>
      </c>
      <c r="H860" s="53">
        <f>DATE(K860,8,1)+(14-WEEKDAY(DATE(K860,8,1),2))</f>
        <v>60852</v>
      </c>
      <c r="I860" s="54">
        <f t="shared" si="84"/>
        <v>60852</v>
      </c>
      <c r="J860" t="s">
        <v>123</v>
      </c>
      <c r="K860">
        <f t="shared" si="82"/>
        <v>2066</v>
      </c>
      <c r="L860" t="s">
        <v>110</v>
      </c>
    </row>
    <row r="861" spans="1:12" x14ac:dyDescent="0.3">
      <c r="A861" s="53">
        <f>A862-2</f>
        <v>59996</v>
      </c>
      <c r="B861" s="54">
        <f t="shared" si="83"/>
        <v>59996</v>
      </c>
      <c r="C861" t="s">
        <v>112</v>
      </c>
      <c r="D861">
        <f t="shared" si="81"/>
        <v>2064</v>
      </c>
      <c r="E861" t="s">
        <v>110</v>
      </c>
      <c r="H861" s="53">
        <f>DATE(K861,9,7)</f>
        <v>60882</v>
      </c>
      <c r="I861" s="54">
        <f t="shared" si="84"/>
        <v>60882</v>
      </c>
      <c r="J861" t="s">
        <v>124</v>
      </c>
      <c r="K861">
        <f t="shared" si="82"/>
        <v>2066</v>
      </c>
      <c r="L861" t="s">
        <v>110</v>
      </c>
    </row>
    <row r="862" spans="1:12" x14ac:dyDescent="0.3">
      <c r="A862" s="53">
        <f>FLOOR(DAY(MINUTE(D862/38)/2+56)&amp;"/5"&amp;"/"&amp;D862,7)-34</f>
        <v>59998</v>
      </c>
      <c r="B862" s="54">
        <f t="shared" si="83"/>
        <v>59998</v>
      </c>
      <c r="C862" t="s">
        <v>113</v>
      </c>
      <c r="D862">
        <f t="shared" si="81"/>
        <v>2064</v>
      </c>
      <c r="E862" t="s">
        <v>110</v>
      </c>
      <c r="H862" s="53">
        <f>DATE(K862,10,12)</f>
        <v>60917</v>
      </c>
      <c r="I862" s="54">
        <f t="shared" si="84"/>
        <v>60917</v>
      </c>
      <c r="J862" t="s">
        <v>125</v>
      </c>
      <c r="K862">
        <f t="shared" si="82"/>
        <v>2066</v>
      </c>
      <c r="L862" t="s">
        <v>110</v>
      </c>
    </row>
    <row r="863" spans="1:12" x14ac:dyDescent="0.3">
      <c r="A863" s="53">
        <f>DATE(D863,4,14)</f>
        <v>60006</v>
      </c>
      <c r="B863" s="54">
        <f t="shared" si="83"/>
        <v>60006</v>
      </c>
      <c r="C863" t="s">
        <v>114</v>
      </c>
      <c r="D863">
        <f t="shared" si="81"/>
        <v>2064</v>
      </c>
      <c r="E863" t="s">
        <v>115</v>
      </c>
      <c r="H863" s="53">
        <f>DATE(K863,11,2)</f>
        <v>60938</v>
      </c>
      <c r="I863" s="54">
        <f t="shared" si="84"/>
        <v>60938</v>
      </c>
      <c r="J863" t="s">
        <v>126</v>
      </c>
      <c r="K863">
        <f t="shared" si="82"/>
        <v>2066</v>
      </c>
      <c r="L863" t="s">
        <v>110</v>
      </c>
    </row>
    <row r="864" spans="1:12" x14ac:dyDescent="0.3">
      <c r="A864" s="53">
        <f>DATE(D864,4,21)</f>
        <v>60013</v>
      </c>
      <c r="B864" s="54">
        <f t="shared" si="83"/>
        <v>60013</v>
      </c>
      <c r="C864" t="s">
        <v>116</v>
      </c>
      <c r="D864">
        <f t="shared" si="81"/>
        <v>2064</v>
      </c>
      <c r="E864" t="s">
        <v>110</v>
      </c>
      <c r="H864" s="53">
        <f>DATE(K864,11,15)</f>
        <v>60951</v>
      </c>
      <c r="I864" s="54">
        <f t="shared" si="84"/>
        <v>60951</v>
      </c>
      <c r="J864" t="s">
        <v>127</v>
      </c>
      <c r="K864">
        <f t="shared" si="82"/>
        <v>2066</v>
      </c>
      <c r="L864" t="s">
        <v>110</v>
      </c>
    </row>
    <row r="865" spans="1:12" x14ac:dyDescent="0.3">
      <c r="A865" s="53">
        <f>DATE(D865,5,1)</f>
        <v>60023</v>
      </c>
      <c r="B865" s="54">
        <f t="shared" si="83"/>
        <v>60023</v>
      </c>
      <c r="C865" t="s">
        <v>117</v>
      </c>
      <c r="D865">
        <f t="shared" si="81"/>
        <v>2064</v>
      </c>
      <c r="E865" t="s">
        <v>110</v>
      </c>
      <c r="H865" s="53">
        <f>DATE(K865,11,20)</f>
        <v>60956</v>
      </c>
      <c r="I865" s="54">
        <f t="shared" si="84"/>
        <v>60956</v>
      </c>
      <c r="J865" t="s">
        <v>128</v>
      </c>
      <c r="K865">
        <f t="shared" si="82"/>
        <v>2066</v>
      </c>
      <c r="L865" t="s">
        <v>110</v>
      </c>
    </row>
    <row r="866" spans="1:12" x14ac:dyDescent="0.3">
      <c r="A866" s="53">
        <f>DATE(D866,5,1)+(14-WEEKDAY(DATE(D866,5,1),2))</f>
        <v>60033</v>
      </c>
      <c r="B866" s="54">
        <f t="shared" si="83"/>
        <v>60033</v>
      </c>
      <c r="C866" t="s">
        <v>118</v>
      </c>
      <c r="D866">
        <f t="shared" si="81"/>
        <v>2064</v>
      </c>
      <c r="E866" t="s">
        <v>110</v>
      </c>
      <c r="H866" s="53">
        <f>DATE(K866,12,25)</f>
        <v>60991</v>
      </c>
      <c r="I866" s="54">
        <f t="shared" si="84"/>
        <v>60991</v>
      </c>
      <c r="J866" t="s">
        <v>129</v>
      </c>
      <c r="K866">
        <f t="shared" si="82"/>
        <v>2066</v>
      </c>
      <c r="L866" t="s">
        <v>110</v>
      </c>
    </row>
    <row r="867" spans="1:12" x14ac:dyDescent="0.3">
      <c r="A867" s="53">
        <f>A862+60</f>
        <v>60058</v>
      </c>
      <c r="B867" s="54">
        <f t="shared" si="83"/>
        <v>60058</v>
      </c>
      <c r="C867" t="s">
        <v>119</v>
      </c>
      <c r="D867">
        <f t="shared" si="81"/>
        <v>2064</v>
      </c>
      <c r="E867" t="s">
        <v>110</v>
      </c>
      <c r="H867" s="53">
        <f>DATE(K867,1,1)</f>
        <v>60998</v>
      </c>
      <c r="I867" s="54">
        <f t="shared" si="84"/>
        <v>60998</v>
      </c>
      <c r="J867" t="s">
        <v>109</v>
      </c>
      <c r="K867">
        <f>K849+1</f>
        <v>2067</v>
      </c>
      <c r="L867" t="s">
        <v>110</v>
      </c>
    </row>
    <row r="868" spans="1:12" x14ac:dyDescent="0.3">
      <c r="A868" s="53">
        <f>DATE(D868,7,9)</f>
        <v>60092</v>
      </c>
      <c r="B868" s="54">
        <f t="shared" si="83"/>
        <v>60092</v>
      </c>
      <c r="C868" t="s">
        <v>120</v>
      </c>
      <c r="D868">
        <f t="shared" si="81"/>
        <v>2064</v>
      </c>
      <c r="E868" t="s">
        <v>121</v>
      </c>
      <c r="H868" s="53">
        <f>H871-48</f>
        <v>61042</v>
      </c>
      <c r="I868" s="54">
        <f t="shared" si="84"/>
        <v>61042</v>
      </c>
      <c r="J868" t="s">
        <v>111</v>
      </c>
      <c r="K868">
        <f t="shared" si="82"/>
        <v>2067</v>
      </c>
      <c r="L868" t="s">
        <v>110</v>
      </c>
    </row>
    <row r="869" spans="1:12" x14ac:dyDescent="0.3">
      <c r="A869" s="53">
        <f>DATE(D869,8,8)</f>
        <v>60122</v>
      </c>
      <c r="B869" s="54">
        <f t="shared" si="83"/>
        <v>60122</v>
      </c>
      <c r="C869" t="s">
        <v>122</v>
      </c>
      <c r="D869">
        <f t="shared" si="81"/>
        <v>2064</v>
      </c>
      <c r="E869" t="s">
        <v>115</v>
      </c>
      <c r="H869" s="53">
        <f>H871-47</f>
        <v>61043</v>
      </c>
      <c r="I869" s="54">
        <f t="shared" si="84"/>
        <v>61043</v>
      </c>
      <c r="J869" t="s">
        <v>111</v>
      </c>
      <c r="K869">
        <f t="shared" si="82"/>
        <v>2067</v>
      </c>
      <c r="L869" t="s">
        <v>110</v>
      </c>
    </row>
    <row r="870" spans="1:12" x14ac:dyDescent="0.3">
      <c r="A870" s="53">
        <f>DATE(D870,8,1)+(14-WEEKDAY(DATE(D870,8,1),2))</f>
        <v>60124</v>
      </c>
      <c r="B870" s="54">
        <f t="shared" si="83"/>
        <v>60124</v>
      </c>
      <c r="C870" t="s">
        <v>123</v>
      </c>
      <c r="D870">
        <f t="shared" si="81"/>
        <v>2064</v>
      </c>
      <c r="E870" t="s">
        <v>110</v>
      </c>
      <c r="H870" s="53">
        <f>H871-2</f>
        <v>61088</v>
      </c>
      <c r="I870" s="54">
        <f t="shared" si="84"/>
        <v>61088</v>
      </c>
      <c r="J870" t="s">
        <v>112</v>
      </c>
      <c r="K870">
        <f t="shared" si="82"/>
        <v>2067</v>
      </c>
      <c r="L870" t="s">
        <v>110</v>
      </c>
    </row>
    <row r="871" spans="1:12" x14ac:dyDescent="0.3">
      <c r="A871" s="53">
        <f>DATE(D871,9,7)</f>
        <v>60152</v>
      </c>
      <c r="B871" s="54">
        <f t="shared" si="83"/>
        <v>60152</v>
      </c>
      <c r="C871" t="s">
        <v>124</v>
      </c>
      <c r="D871">
        <f t="shared" si="81"/>
        <v>2064</v>
      </c>
      <c r="E871" t="s">
        <v>110</v>
      </c>
      <c r="H871" s="53">
        <f>FLOOR(DAY(MINUTE(K871/38)/2+56)&amp;"/5"&amp;"/"&amp;K871,7)-34</f>
        <v>61090</v>
      </c>
      <c r="I871" s="54">
        <f t="shared" si="84"/>
        <v>61090</v>
      </c>
      <c r="J871" t="s">
        <v>113</v>
      </c>
      <c r="K871">
        <f t="shared" si="82"/>
        <v>2067</v>
      </c>
      <c r="L871" t="s">
        <v>110</v>
      </c>
    </row>
    <row r="872" spans="1:12" x14ac:dyDescent="0.3">
      <c r="A872" s="53">
        <f>DATE(D872,10,12)</f>
        <v>60187</v>
      </c>
      <c r="B872" s="54">
        <f t="shared" si="83"/>
        <v>60187</v>
      </c>
      <c r="C872" t="s">
        <v>125</v>
      </c>
      <c r="D872">
        <f t="shared" si="81"/>
        <v>2064</v>
      </c>
      <c r="E872" t="s">
        <v>110</v>
      </c>
      <c r="H872" s="53">
        <f>DATE(K872,4,21)</f>
        <v>61108</v>
      </c>
      <c r="I872" s="54">
        <f t="shared" si="84"/>
        <v>61108</v>
      </c>
      <c r="J872" t="s">
        <v>116</v>
      </c>
      <c r="K872">
        <f t="shared" si="82"/>
        <v>2067</v>
      </c>
      <c r="L872" t="s">
        <v>110</v>
      </c>
    </row>
    <row r="873" spans="1:12" x14ac:dyDescent="0.3">
      <c r="A873" s="53">
        <f>DATE(D873,11,2)</f>
        <v>60208</v>
      </c>
      <c r="B873" s="54">
        <f t="shared" si="83"/>
        <v>60208</v>
      </c>
      <c r="C873" t="s">
        <v>126</v>
      </c>
      <c r="D873">
        <f t="shared" si="81"/>
        <v>2064</v>
      </c>
      <c r="E873" t="s">
        <v>110</v>
      </c>
      <c r="H873" s="53">
        <f>DATE(K873,5,1)</f>
        <v>61118</v>
      </c>
      <c r="I873" s="54">
        <f t="shared" si="84"/>
        <v>61118</v>
      </c>
      <c r="J873" t="s">
        <v>117</v>
      </c>
      <c r="K873">
        <f t="shared" si="82"/>
        <v>2067</v>
      </c>
      <c r="L873" t="s">
        <v>110</v>
      </c>
    </row>
    <row r="874" spans="1:12" x14ac:dyDescent="0.3">
      <c r="A874" s="53">
        <f>DATE(D874,11,15)</f>
        <v>60221</v>
      </c>
      <c r="B874" s="54">
        <f t="shared" si="83"/>
        <v>60221</v>
      </c>
      <c r="C874" t="s">
        <v>127</v>
      </c>
      <c r="D874">
        <f t="shared" si="81"/>
        <v>2064</v>
      </c>
      <c r="E874" t="s">
        <v>110</v>
      </c>
      <c r="H874" s="53">
        <f>DATE(K874,5,1)+(14-WEEKDAY(DATE(K874,5,1),2))</f>
        <v>61125</v>
      </c>
      <c r="I874" s="54">
        <f t="shared" si="84"/>
        <v>61125</v>
      </c>
      <c r="J874" t="s">
        <v>118</v>
      </c>
      <c r="K874">
        <f t="shared" si="82"/>
        <v>2067</v>
      </c>
      <c r="L874" t="s">
        <v>110</v>
      </c>
    </row>
    <row r="875" spans="1:12" x14ac:dyDescent="0.3">
      <c r="A875" s="53">
        <f>DATE(D875,11,20)</f>
        <v>60226</v>
      </c>
      <c r="B875" s="54">
        <f t="shared" si="83"/>
        <v>60226</v>
      </c>
      <c r="C875" t="s">
        <v>128</v>
      </c>
      <c r="D875">
        <f t="shared" si="81"/>
        <v>2064</v>
      </c>
      <c r="E875" t="s">
        <v>110</v>
      </c>
      <c r="H875" s="53">
        <f>H871+60</f>
        <v>61150</v>
      </c>
      <c r="I875" s="54">
        <f t="shared" si="84"/>
        <v>61150</v>
      </c>
      <c r="J875" t="s">
        <v>119</v>
      </c>
      <c r="K875">
        <f t="shared" si="82"/>
        <v>2067</v>
      </c>
      <c r="L875" t="s">
        <v>110</v>
      </c>
    </row>
    <row r="876" spans="1:12" x14ac:dyDescent="0.3">
      <c r="A876" s="53">
        <f>DATE(D876,12,25)</f>
        <v>60261</v>
      </c>
      <c r="B876" s="54">
        <f t="shared" si="83"/>
        <v>60261</v>
      </c>
      <c r="C876" t="s">
        <v>129</v>
      </c>
      <c r="D876">
        <f t="shared" si="81"/>
        <v>2064</v>
      </c>
      <c r="E876" t="s">
        <v>110</v>
      </c>
      <c r="H876" s="53">
        <f>DATE(K876,6,19)</f>
        <v>61167</v>
      </c>
      <c r="I876" s="54">
        <f t="shared" si="84"/>
        <v>61167</v>
      </c>
      <c r="J876" t="s">
        <v>114</v>
      </c>
      <c r="K876">
        <f t="shared" si="82"/>
        <v>2067</v>
      </c>
      <c r="L876" t="s">
        <v>115</v>
      </c>
    </row>
    <row r="877" spans="1:12" x14ac:dyDescent="0.3">
      <c r="A877" s="53">
        <f>DATE(D877,1,1)</f>
        <v>60268</v>
      </c>
      <c r="B877" s="54">
        <f t="shared" si="83"/>
        <v>60268</v>
      </c>
      <c r="C877" t="s">
        <v>109</v>
      </c>
      <c r="D877">
        <f>D858+1</f>
        <v>2065</v>
      </c>
      <c r="E877" t="s">
        <v>110</v>
      </c>
      <c r="H877" s="53">
        <f>DATE(K877,7,9)</f>
        <v>61187</v>
      </c>
      <c r="I877" s="54">
        <f t="shared" si="84"/>
        <v>61187</v>
      </c>
      <c r="J877" t="s">
        <v>120</v>
      </c>
      <c r="K877">
        <f t="shared" si="82"/>
        <v>2067</v>
      </c>
      <c r="L877" t="s">
        <v>121</v>
      </c>
    </row>
    <row r="878" spans="1:12" x14ac:dyDescent="0.3">
      <c r="A878" s="53">
        <f>A881-48</f>
        <v>60307</v>
      </c>
      <c r="B878" s="54">
        <f t="shared" si="83"/>
        <v>60307</v>
      </c>
      <c r="C878" t="s">
        <v>111</v>
      </c>
      <c r="D878">
        <f t="shared" si="81"/>
        <v>2065</v>
      </c>
      <c r="E878" t="s">
        <v>110</v>
      </c>
      <c r="H878" s="53">
        <f>DATE(K878,8,1)+(14-WEEKDAY(DATE(K878,8,1),2))</f>
        <v>61223</v>
      </c>
      <c r="I878" s="54">
        <f t="shared" si="84"/>
        <v>61223</v>
      </c>
      <c r="J878" t="s">
        <v>123</v>
      </c>
      <c r="K878">
        <f t="shared" si="82"/>
        <v>2067</v>
      </c>
      <c r="L878" t="s">
        <v>110</v>
      </c>
    </row>
    <row r="879" spans="1:12" x14ac:dyDescent="0.3">
      <c r="A879" s="53">
        <f>A881-47</f>
        <v>60308</v>
      </c>
      <c r="B879" s="54">
        <f t="shared" si="83"/>
        <v>60308</v>
      </c>
      <c r="C879" t="s">
        <v>111</v>
      </c>
      <c r="D879">
        <f t="shared" si="81"/>
        <v>2065</v>
      </c>
      <c r="E879" t="s">
        <v>110</v>
      </c>
      <c r="H879" s="53">
        <f>DATE(K879,9,7)</f>
        <v>61247</v>
      </c>
      <c r="I879" s="54">
        <f t="shared" si="84"/>
        <v>61247</v>
      </c>
      <c r="J879" t="s">
        <v>124</v>
      </c>
      <c r="K879">
        <f t="shared" si="82"/>
        <v>2067</v>
      </c>
      <c r="L879" t="s">
        <v>110</v>
      </c>
    </row>
    <row r="880" spans="1:12" x14ac:dyDescent="0.3">
      <c r="A880" s="53">
        <f>A881-2</f>
        <v>60353</v>
      </c>
      <c r="B880" s="54">
        <f t="shared" si="83"/>
        <v>60353</v>
      </c>
      <c r="C880" t="s">
        <v>112</v>
      </c>
      <c r="D880">
        <f t="shared" si="81"/>
        <v>2065</v>
      </c>
      <c r="E880" t="s">
        <v>110</v>
      </c>
      <c r="H880" s="53">
        <f>DATE(K880,10,12)</f>
        <v>61282</v>
      </c>
      <c r="I880" s="54">
        <f t="shared" si="84"/>
        <v>61282</v>
      </c>
      <c r="J880" t="s">
        <v>125</v>
      </c>
      <c r="K880">
        <f t="shared" si="82"/>
        <v>2067</v>
      </c>
      <c r="L880" t="s">
        <v>110</v>
      </c>
    </row>
    <row r="881" spans="1:12" x14ac:dyDescent="0.3">
      <c r="A881" s="53">
        <f>FLOOR(DAY(MINUTE(D881/38)/2+56)&amp;"/5"&amp;"/"&amp;D881,7)-34</f>
        <v>60355</v>
      </c>
      <c r="B881" s="54">
        <f t="shared" si="83"/>
        <v>60355</v>
      </c>
      <c r="C881" t="s">
        <v>113</v>
      </c>
      <c r="D881">
        <f t="shared" si="81"/>
        <v>2065</v>
      </c>
      <c r="E881" t="s">
        <v>110</v>
      </c>
      <c r="H881" s="53">
        <f>DATE(K881,11,2)</f>
        <v>61303</v>
      </c>
      <c r="I881" s="54">
        <f t="shared" si="84"/>
        <v>61303</v>
      </c>
      <c r="J881" t="s">
        <v>126</v>
      </c>
      <c r="K881">
        <f t="shared" si="82"/>
        <v>2067</v>
      </c>
      <c r="L881" t="s">
        <v>110</v>
      </c>
    </row>
    <row r="882" spans="1:12" x14ac:dyDescent="0.3">
      <c r="A882" s="53">
        <f>DATE(D882,4,14)</f>
        <v>60371</v>
      </c>
      <c r="B882" s="54">
        <f t="shared" si="83"/>
        <v>60371</v>
      </c>
      <c r="C882" t="s">
        <v>114</v>
      </c>
      <c r="D882">
        <f t="shared" si="81"/>
        <v>2065</v>
      </c>
      <c r="E882" t="s">
        <v>115</v>
      </c>
      <c r="H882" s="53">
        <f>DATE(K882,11,15)</f>
        <v>61316</v>
      </c>
      <c r="I882" s="54">
        <f t="shared" si="84"/>
        <v>61316</v>
      </c>
      <c r="J882" t="s">
        <v>127</v>
      </c>
      <c r="K882">
        <f t="shared" si="82"/>
        <v>2067</v>
      </c>
      <c r="L882" t="s">
        <v>110</v>
      </c>
    </row>
    <row r="883" spans="1:12" x14ac:dyDescent="0.3">
      <c r="A883" s="53">
        <f>DATE(D883,4,21)</f>
        <v>60378</v>
      </c>
      <c r="B883" s="54">
        <f t="shared" si="83"/>
        <v>60378</v>
      </c>
      <c r="C883" t="s">
        <v>116</v>
      </c>
      <c r="D883">
        <f t="shared" si="81"/>
        <v>2065</v>
      </c>
      <c r="E883" t="s">
        <v>110</v>
      </c>
      <c r="H883" s="53">
        <f>DATE(K883,11,20)</f>
        <v>61321</v>
      </c>
      <c r="I883" s="54">
        <f t="shared" si="84"/>
        <v>61321</v>
      </c>
      <c r="J883" t="s">
        <v>128</v>
      </c>
      <c r="K883">
        <f t="shared" si="82"/>
        <v>2067</v>
      </c>
      <c r="L883" t="s">
        <v>110</v>
      </c>
    </row>
    <row r="884" spans="1:12" x14ac:dyDescent="0.3">
      <c r="A884" s="53">
        <f>DATE(D884,5,1)</f>
        <v>60388</v>
      </c>
      <c r="B884" s="54">
        <f t="shared" si="83"/>
        <v>60388</v>
      </c>
      <c r="C884" t="s">
        <v>117</v>
      </c>
      <c r="D884">
        <f t="shared" si="81"/>
        <v>2065</v>
      </c>
      <c r="E884" t="s">
        <v>110</v>
      </c>
      <c r="H884" s="53">
        <f>DATE(K884,12,25)</f>
        <v>61356</v>
      </c>
      <c r="I884" s="54">
        <f t="shared" si="84"/>
        <v>61356</v>
      </c>
      <c r="J884" t="s">
        <v>129</v>
      </c>
      <c r="K884">
        <f t="shared" si="82"/>
        <v>2067</v>
      </c>
      <c r="L884" t="s">
        <v>110</v>
      </c>
    </row>
    <row r="885" spans="1:12" x14ac:dyDescent="0.3">
      <c r="A885" s="53">
        <f>DATE(D885,5,1)+(14-WEEKDAY(DATE(D885,5,1),2))</f>
        <v>60397</v>
      </c>
      <c r="B885" s="54">
        <f t="shared" si="83"/>
        <v>60397</v>
      </c>
      <c r="C885" t="s">
        <v>118</v>
      </c>
      <c r="D885">
        <f t="shared" ref="D885:D895" si="85">D866+1</f>
        <v>2065</v>
      </c>
      <c r="E885" t="s">
        <v>110</v>
      </c>
      <c r="H885" s="53">
        <f>DATE(K885,1,1)</f>
        <v>61363</v>
      </c>
      <c r="I885" s="54">
        <f t="shared" si="84"/>
        <v>61363</v>
      </c>
      <c r="J885" t="s">
        <v>109</v>
      </c>
      <c r="K885">
        <f>K867+1</f>
        <v>2068</v>
      </c>
      <c r="L885" t="s">
        <v>110</v>
      </c>
    </row>
    <row r="886" spans="1:12" x14ac:dyDescent="0.3">
      <c r="A886" s="53">
        <f>A881+60</f>
        <v>60415</v>
      </c>
      <c r="B886" s="54">
        <f t="shared" si="83"/>
        <v>60415</v>
      </c>
      <c r="C886" t="s">
        <v>119</v>
      </c>
      <c r="D886">
        <f t="shared" si="85"/>
        <v>2065</v>
      </c>
      <c r="E886" t="s">
        <v>110</v>
      </c>
      <c r="H886" s="53">
        <f>H889-48</f>
        <v>61427</v>
      </c>
      <c r="I886" s="54">
        <f t="shared" si="84"/>
        <v>61427</v>
      </c>
      <c r="J886" t="s">
        <v>111</v>
      </c>
      <c r="K886">
        <f t="shared" si="82"/>
        <v>2068</v>
      </c>
      <c r="L886" t="s">
        <v>110</v>
      </c>
    </row>
    <row r="887" spans="1:12" x14ac:dyDescent="0.3">
      <c r="A887" s="53">
        <f>DATE(D887,7,9)</f>
        <v>60457</v>
      </c>
      <c r="B887" s="54">
        <f t="shared" si="83"/>
        <v>60457</v>
      </c>
      <c r="C887" t="s">
        <v>120</v>
      </c>
      <c r="D887">
        <f t="shared" si="85"/>
        <v>2065</v>
      </c>
      <c r="E887" t="s">
        <v>121</v>
      </c>
      <c r="H887" s="53">
        <f>H889-47</f>
        <v>61428</v>
      </c>
      <c r="I887" s="54">
        <f t="shared" si="84"/>
        <v>61428</v>
      </c>
      <c r="J887" t="s">
        <v>111</v>
      </c>
      <c r="K887">
        <f t="shared" si="82"/>
        <v>2068</v>
      </c>
      <c r="L887" t="s">
        <v>110</v>
      </c>
    </row>
    <row r="888" spans="1:12" x14ac:dyDescent="0.3">
      <c r="A888" s="53">
        <f>DATE(D888,8,8)</f>
        <v>60487</v>
      </c>
      <c r="B888" s="54">
        <f t="shared" si="83"/>
        <v>60487</v>
      </c>
      <c r="C888" t="s">
        <v>122</v>
      </c>
      <c r="D888">
        <f t="shared" si="85"/>
        <v>2065</v>
      </c>
      <c r="E888" t="s">
        <v>115</v>
      </c>
      <c r="H888" s="53">
        <f>H889-2</f>
        <v>61473</v>
      </c>
      <c r="I888" s="54">
        <f t="shared" si="84"/>
        <v>61473</v>
      </c>
      <c r="J888" t="s">
        <v>112</v>
      </c>
      <c r="K888">
        <f t="shared" si="82"/>
        <v>2068</v>
      </c>
      <c r="L888" t="s">
        <v>110</v>
      </c>
    </row>
    <row r="889" spans="1:12" x14ac:dyDescent="0.3">
      <c r="A889" s="53">
        <f>DATE(D889,8,1)+(14-WEEKDAY(DATE(D889,8,1),2))</f>
        <v>60488</v>
      </c>
      <c r="B889" s="54">
        <f t="shared" si="83"/>
        <v>60488</v>
      </c>
      <c r="C889" t="s">
        <v>123</v>
      </c>
      <c r="D889">
        <f t="shared" si="85"/>
        <v>2065</v>
      </c>
      <c r="E889" t="s">
        <v>110</v>
      </c>
      <c r="H889" s="53">
        <f>FLOOR(DAY(MINUTE(K889/38)/2+56)&amp;"/5"&amp;"/"&amp;K889,7)-34</f>
        <v>61475</v>
      </c>
      <c r="I889" s="54">
        <f t="shared" si="84"/>
        <v>61475</v>
      </c>
      <c r="J889" t="s">
        <v>113</v>
      </c>
      <c r="K889">
        <f t="shared" si="82"/>
        <v>2068</v>
      </c>
      <c r="L889" t="s">
        <v>110</v>
      </c>
    </row>
    <row r="890" spans="1:12" x14ac:dyDescent="0.3">
      <c r="A890" s="53">
        <f>DATE(D890,9,7)</f>
        <v>60517</v>
      </c>
      <c r="B890" s="54">
        <f t="shared" si="83"/>
        <v>60517</v>
      </c>
      <c r="C890" t="s">
        <v>124</v>
      </c>
      <c r="D890">
        <f t="shared" si="85"/>
        <v>2065</v>
      </c>
      <c r="E890" t="s">
        <v>110</v>
      </c>
      <c r="H890" s="53">
        <f>DATE(K890,4,21)</f>
        <v>61474</v>
      </c>
      <c r="I890" s="54">
        <f t="shared" si="84"/>
        <v>61474</v>
      </c>
      <c r="J890" t="s">
        <v>116</v>
      </c>
      <c r="K890">
        <f t="shared" si="82"/>
        <v>2068</v>
      </c>
      <c r="L890" t="s">
        <v>110</v>
      </c>
    </row>
    <row r="891" spans="1:12" x14ac:dyDescent="0.3">
      <c r="A891" s="53">
        <f>DATE(D891,10,12)</f>
        <v>60552</v>
      </c>
      <c r="B891" s="54">
        <f t="shared" si="83"/>
        <v>60552</v>
      </c>
      <c r="C891" t="s">
        <v>125</v>
      </c>
      <c r="D891">
        <f t="shared" si="85"/>
        <v>2065</v>
      </c>
      <c r="E891" t="s">
        <v>110</v>
      </c>
      <c r="H891" s="53">
        <f>DATE(K891,5,1)</f>
        <v>61484</v>
      </c>
      <c r="I891" s="54">
        <f t="shared" si="84"/>
        <v>61484</v>
      </c>
      <c r="J891" t="s">
        <v>117</v>
      </c>
      <c r="K891">
        <f t="shared" si="82"/>
        <v>2068</v>
      </c>
      <c r="L891" t="s">
        <v>110</v>
      </c>
    </row>
    <row r="892" spans="1:12" x14ac:dyDescent="0.3">
      <c r="A892" s="53">
        <f>DATE(D892,11,2)</f>
        <v>60573</v>
      </c>
      <c r="B892" s="54">
        <f t="shared" si="83"/>
        <v>60573</v>
      </c>
      <c r="C892" t="s">
        <v>126</v>
      </c>
      <c r="D892">
        <f t="shared" si="85"/>
        <v>2065</v>
      </c>
      <c r="E892" t="s">
        <v>110</v>
      </c>
      <c r="H892" s="53">
        <f>DATE(K892,5,1)+(14-WEEKDAY(DATE(K892,5,1),2))</f>
        <v>61496</v>
      </c>
      <c r="I892" s="54">
        <f t="shared" si="84"/>
        <v>61496</v>
      </c>
      <c r="J892" t="s">
        <v>118</v>
      </c>
      <c r="K892">
        <f t="shared" si="82"/>
        <v>2068</v>
      </c>
      <c r="L892" t="s">
        <v>110</v>
      </c>
    </row>
    <row r="893" spans="1:12" x14ac:dyDescent="0.3">
      <c r="A893" s="53">
        <f>DATE(D893,11,15)</f>
        <v>60586</v>
      </c>
      <c r="B893" s="54">
        <f t="shared" si="83"/>
        <v>60586</v>
      </c>
      <c r="C893" t="s">
        <v>127</v>
      </c>
      <c r="D893">
        <f t="shared" si="85"/>
        <v>2065</v>
      </c>
      <c r="E893" t="s">
        <v>110</v>
      </c>
      <c r="H893" s="53">
        <f>H889+60</f>
        <v>61535</v>
      </c>
      <c r="I893" s="54">
        <f t="shared" si="84"/>
        <v>61535</v>
      </c>
      <c r="J893" t="s">
        <v>119</v>
      </c>
      <c r="K893">
        <f t="shared" si="82"/>
        <v>2068</v>
      </c>
      <c r="L893" t="s">
        <v>110</v>
      </c>
    </row>
    <row r="894" spans="1:12" x14ac:dyDescent="0.3">
      <c r="A894" s="53">
        <f>DATE(D894,11,20)</f>
        <v>60591</v>
      </c>
      <c r="B894" s="54">
        <f t="shared" si="83"/>
        <v>60591</v>
      </c>
      <c r="C894" t="s">
        <v>128</v>
      </c>
      <c r="D894">
        <f t="shared" si="85"/>
        <v>2065</v>
      </c>
      <c r="E894" t="s">
        <v>110</v>
      </c>
      <c r="H894" s="53">
        <f>DATE(K894,6,19)</f>
        <v>61533</v>
      </c>
      <c r="I894" s="54">
        <f t="shared" si="84"/>
        <v>61533</v>
      </c>
      <c r="J894" t="s">
        <v>114</v>
      </c>
      <c r="K894">
        <f t="shared" si="82"/>
        <v>2068</v>
      </c>
      <c r="L894" t="s">
        <v>115</v>
      </c>
    </row>
    <row r="895" spans="1:12" x14ac:dyDescent="0.3">
      <c r="A895" s="53">
        <f>DATE(D895,12,25)</f>
        <v>60626</v>
      </c>
      <c r="B895" s="54">
        <f t="shared" si="83"/>
        <v>60626</v>
      </c>
      <c r="C895" t="s">
        <v>129</v>
      </c>
      <c r="D895">
        <f t="shared" si="85"/>
        <v>2065</v>
      </c>
      <c r="E895" t="s">
        <v>110</v>
      </c>
      <c r="H895" s="53">
        <f>DATE(K895,7,9)</f>
        <v>61553</v>
      </c>
      <c r="I895" s="54">
        <f t="shared" si="84"/>
        <v>61553</v>
      </c>
      <c r="J895" t="s">
        <v>120</v>
      </c>
      <c r="K895">
        <f t="shared" si="82"/>
        <v>2068</v>
      </c>
      <c r="L895" t="s">
        <v>121</v>
      </c>
    </row>
    <row r="896" spans="1:12" x14ac:dyDescent="0.3">
      <c r="A896" s="53">
        <f>DATE(D896,1,1)</f>
        <v>60633</v>
      </c>
      <c r="B896" s="54">
        <f t="shared" si="83"/>
        <v>60633</v>
      </c>
      <c r="C896" t="s">
        <v>109</v>
      </c>
      <c r="D896">
        <f>D877+1</f>
        <v>2066</v>
      </c>
      <c r="E896" t="s">
        <v>110</v>
      </c>
      <c r="H896" s="53">
        <f>DATE(K896,8,1)+(14-WEEKDAY(DATE(K896,8,1),2))</f>
        <v>61587</v>
      </c>
      <c r="I896" s="54">
        <f t="shared" si="84"/>
        <v>61587</v>
      </c>
      <c r="J896" t="s">
        <v>123</v>
      </c>
      <c r="K896">
        <f t="shared" ref="K896:K902" si="86">K878+1</f>
        <v>2068</v>
      </c>
      <c r="L896" t="s">
        <v>110</v>
      </c>
    </row>
    <row r="897" spans="1:12" x14ac:dyDescent="0.3">
      <c r="A897" s="53">
        <f>A900-48</f>
        <v>60685</v>
      </c>
      <c r="B897" s="54">
        <f t="shared" si="83"/>
        <v>60685</v>
      </c>
      <c r="C897" t="s">
        <v>111</v>
      </c>
      <c r="D897">
        <f t="shared" ref="D897:D914" si="87">D878+1</f>
        <v>2066</v>
      </c>
      <c r="E897" t="s">
        <v>110</v>
      </c>
      <c r="H897" s="53">
        <f>DATE(K897,9,7)</f>
        <v>61613</v>
      </c>
      <c r="I897" s="54">
        <f t="shared" si="84"/>
        <v>61613</v>
      </c>
      <c r="J897" t="s">
        <v>124</v>
      </c>
      <c r="K897">
        <f t="shared" si="86"/>
        <v>2068</v>
      </c>
      <c r="L897" t="s">
        <v>110</v>
      </c>
    </row>
    <row r="898" spans="1:12" x14ac:dyDescent="0.3">
      <c r="A898" s="53">
        <f>A900-47</f>
        <v>60686</v>
      </c>
      <c r="B898" s="54">
        <f t="shared" si="83"/>
        <v>60686</v>
      </c>
      <c r="C898" t="s">
        <v>111</v>
      </c>
      <c r="D898">
        <f t="shared" si="87"/>
        <v>2066</v>
      </c>
      <c r="E898" t="s">
        <v>110</v>
      </c>
      <c r="H898" s="53">
        <f>DATE(K898,10,12)</f>
        <v>61648</v>
      </c>
      <c r="I898" s="54">
        <f t="shared" si="84"/>
        <v>61648</v>
      </c>
      <c r="J898" t="s">
        <v>125</v>
      </c>
      <c r="K898">
        <f t="shared" si="86"/>
        <v>2068</v>
      </c>
      <c r="L898" t="s">
        <v>110</v>
      </c>
    </row>
    <row r="899" spans="1:12" x14ac:dyDescent="0.3">
      <c r="A899" s="53">
        <f>A900-2</f>
        <v>60731</v>
      </c>
      <c r="B899" s="54">
        <f t="shared" ref="B899:B962" si="88">A899</f>
        <v>60731</v>
      </c>
      <c r="C899" t="s">
        <v>112</v>
      </c>
      <c r="D899">
        <f t="shared" si="87"/>
        <v>2066</v>
      </c>
      <c r="E899" t="s">
        <v>110</v>
      </c>
      <c r="H899" s="53">
        <f>DATE(K899,11,2)</f>
        <v>61669</v>
      </c>
      <c r="I899" s="54">
        <f t="shared" si="84"/>
        <v>61669</v>
      </c>
      <c r="J899" t="s">
        <v>126</v>
      </c>
      <c r="K899">
        <f t="shared" si="86"/>
        <v>2068</v>
      </c>
      <c r="L899" t="s">
        <v>110</v>
      </c>
    </row>
    <row r="900" spans="1:12" x14ac:dyDescent="0.3">
      <c r="A900" s="53">
        <f>FLOOR(DAY(MINUTE(D900/38)/2+56)&amp;"/5"&amp;"/"&amp;D900,7)-34</f>
        <v>60733</v>
      </c>
      <c r="B900" s="54">
        <f t="shared" si="88"/>
        <v>60733</v>
      </c>
      <c r="C900" t="s">
        <v>113</v>
      </c>
      <c r="D900">
        <f t="shared" si="87"/>
        <v>2066</v>
      </c>
      <c r="E900" t="s">
        <v>110</v>
      </c>
      <c r="H900" s="53">
        <f>DATE(K900,11,15)</f>
        <v>61682</v>
      </c>
      <c r="I900" s="54">
        <f t="shared" si="84"/>
        <v>61682</v>
      </c>
      <c r="J900" t="s">
        <v>127</v>
      </c>
      <c r="K900">
        <f t="shared" si="86"/>
        <v>2068</v>
      </c>
      <c r="L900" t="s">
        <v>110</v>
      </c>
    </row>
    <row r="901" spans="1:12" x14ac:dyDescent="0.3">
      <c r="A901" s="53">
        <f>DATE(D901,4,14)</f>
        <v>60736</v>
      </c>
      <c r="B901" s="54">
        <f t="shared" si="88"/>
        <v>60736</v>
      </c>
      <c r="C901" t="s">
        <v>114</v>
      </c>
      <c r="D901">
        <f t="shared" si="87"/>
        <v>2066</v>
      </c>
      <c r="E901" t="s">
        <v>115</v>
      </c>
      <c r="H901" s="53">
        <f>DATE(K901,11,20)</f>
        <v>61687</v>
      </c>
      <c r="I901" s="54">
        <f t="shared" si="84"/>
        <v>61687</v>
      </c>
      <c r="J901" t="s">
        <v>128</v>
      </c>
      <c r="K901">
        <f t="shared" si="86"/>
        <v>2068</v>
      </c>
      <c r="L901" t="s">
        <v>110</v>
      </c>
    </row>
    <row r="902" spans="1:12" x14ac:dyDescent="0.3">
      <c r="A902" s="53">
        <f>DATE(D902,4,21)</f>
        <v>60743</v>
      </c>
      <c r="B902" s="54">
        <f t="shared" si="88"/>
        <v>60743</v>
      </c>
      <c r="C902" t="s">
        <v>116</v>
      </c>
      <c r="D902">
        <f t="shared" si="87"/>
        <v>2066</v>
      </c>
      <c r="E902" t="s">
        <v>110</v>
      </c>
      <c r="H902" s="53">
        <f>DATE(K902,12,25)</f>
        <v>61722</v>
      </c>
      <c r="I902" s="54">
        <f t="shared" si="84"/>
        <v>61722</v>
      </c>
      <c r="J902" t="s">
        <v>129</v>
      </c>
      <c r="K902">
        <f t="shared" si="86"/>
        <v>2068</v>
      </c>
      <c r="L902" t="s">
        <v>110</v>
      </c>
    </row>
    <row r="903" spans="1:12" x14ac:dyDescent="0.3">
      <c r="A903" s="53">
        <f>DATE(D903,5,1)</f>
        <v>60753</v>
      </c>
      <c r="B903" s="54">
        <f t="shared" si="88"/>
        <v>60753</v>
      </c>
      <c r="C903" t="s">
        <v>117</v>
      </c>
      <c r="D903">
        <f t="shared" si="87"/>
        <v>2066</v>
      </c>
      <c r="E903" t="s">
        <v>110</v>
      </c>
      <c r="H903" s="53">
        <f>DATE(K903,1,1)</f>
        <v>61729</v>
      </c>
      <c r="I903" s="54">
        <f t="shared" si="84"/>
        <v>61729</v>
      </c>
      <c r="J903" t="s">
        <v>109</v>
      </c>
      <c r="K903">
        <f>K885+1</f>
        <v>2069</v>
      </c>
      <c r="L903" t="s">
        <v>110</v>
      </c>
    </row>
    <row r="904" spans="1:12" x14ac:dyDescent="0.3">
      <c r="A904" s="53">
        <f>DATE(D904,5,1)+(14-WEEKDAY(DATE(D904,5,1),2))</f>
        <v>60761</v>
      </c>
      <c r="B904" s="54">
        <f t="shared" si="88"/>
        <v>60761</v>
      </c>
      <c r="C904" t="s">
        <v>118</v>
      </c>
      <c r="D904">
        <f t="shared" si="87"/>
        <v>2066</v>
      </c>
      <c r="E904" t="s">
        <v>110</v>
      </c>
      <c r="H904" s="53">
        <f>H907-48</f>
        <v>61784</v>
      </c>
      <c r="I904" s="54">
        <f t="shared" ref="I904:I967" si="89">H904</f>
        <v>61784</v>
      </c>
      <c r="J904" t="s">
        <v>111</v>
      </c>
      <c r="K904">
        <f t="shared" ref="K904:K920" si="90">K886+1</f>
        <v>2069</v>
      </c>
      <c r="L904" t="s">
        <v>110</v>
      </c>
    </row>
    <row r="905" spans="1:12" x14ac:dyDescent="0.3">
      <c r="A905" s="53">
        <f>A900+60</f>
        <v>60793</v>
      </c>
      <c r="B905" s="54">
        <f t="shared" si="88"/>
        <v>60793</v>
      </c>
      <c r="C905" t="s">
        <v>119</v>
      </c>
      <c r="D905">
        <f t="shared" si="87"/>
        <v>2066</v>
      </c>
      <c r="E905" t="s">
        <v>110</v>
      </c>
      <c r="H905" s="53">
        <f>H907-47</f>
        <v>61785</v>
      </c>
      <c r="I905" s="54">
        <f t="shared" si="89"/>
        <v>61785</v>
      </c>
      <c r="J905" t="s">
        <v>111</v>
      </c>
      <c r="K905">
        <f t="shared" si="90"/>
        <v>2069</v>
      </c>
      <c r="L905" t="s">
        <v>110</v>
      </c>
    </row>
    <row r="906" spans="1:12" x14ac:dyDescent="0.3">
      <c r="A906" s="53">
        <f>DATE(D906,7,9)</f>
        <v>60822</v>
      </c>
      <c r="B906" s="54">
        <f t="shared" si="88"/>
        <v>60822</v>
      </c>
      <c r="C906" t="s">
        <v>120</v>
      </c>
      <c r="D906">
        <f t="shared" si="87"/>
        <v>2066</v>
      </c>
      <c r="E906" t="s">
        <v>121</v>
      </c>
      <c r="H906" s="53">
        <f>H907-2</f>
        <v>61830</v>
      </c>
      <c r="I906" s="54">
        <f t="shared" si="89"/>
        <v>61830</v>
      </c>
      <c r="J906" t="s">
        <v>112</v>
      </c>
      <c r="K906">
        <f t="shared" si="90"/>
        <v>2069</v>
      </c>
      <c r="L906" t="s">
        <v>110</v>
      </c>
    </row>
    <row r="907" spans="1:12" x14ac:dyDescent="0.3">
      <c r="A907" s="53">
        <f>DATE(D907,8,8)</f>
        <v>60852</v>
      </c>
      <c r="B907" s="54">
        <f t="shared" si="88"/>
        <v>60852</v>
      </c>
      <c r="C907" t="s">
        <v>122</v>
      </c>
      <c r="D907">
        <f t="shared" si="87"/>
        <v>2066</v>
      </c>
      <c r="E907" t="s">
        <v>115</v>
      </c>
      <c r="H907" s="53">
        <f>FLOOR(DAY(MINUTE(K907/38)/2+56)&amp;"/5"&amp;"/"&amp;K907,7)-34</f>
        <v>61832</v>
      </c>
      <c r="I907" s="54">
        <f t="shared" si="89"/>
        <v>61832</v>
      </c>
      <c r="J907" t="s">
        <v>113</v>
      </c>
      <c r="K907">
        <f t="shared" si="90"/>
        <v>2069</v>
      </c>
      <c r="L907" t="s">
        <v>110</v>
      </c>
    </row>
    <row r="908" spans="1:12" x14ac:dyDescent="0.3">
      <c r="A908" s="53">
        <f>DATE(D908,8,1)+(14-WEEKDAY(DATE(D908,8,1),2))</f>
        <v>60852</v>
      </c>
      <c r="B908" s="54">
        <f t="shared" si="88"/>
        <v>60852</v>
      </c>
      <c r="C908" t="s">
        <v>123</v>
      </c>
      <c r="D908">
        <f t="shared" si="87"/>
        <v>2066</v>
      </c>
      <c r="E908" t="s">
        <v>110</v>
      </c>
      <c r="H908" s="53">
        <f>DATE(K908,4,21)</f>
        <v>61839</v>
      </c>
      <c r="I908" s="54">
        <f t="shared" si="89"/>
        <v>61839</v>
      </c>
      <c r="J908" t="s">
        <v>116</v>
      </c>
      <c r="K908">
        <f t="shared" si="90"/>
        <v>2069</v>
      </c>
      <c r="L908" t="s">
        <v>110</v>
      </c>
    </row>
    <row r="909" spans="1:12" x14ac:dyDescent="0.3">
      <c r="A909" s="53">
        <f>DATE(D909,9,7)</f>
        <v>60882</v>
      </c>
      <c r="B909" s="54">
        <f t="shared" si="88"/>
        <v>60882</v>
      </c>
      <c r="C909" t="s">
        <v>124</v>
      </c>
      <c r="D909">
        <f t="shared" si="87"/>
        <v>2066</v>
      </c>
      <c r="E909" t="s">
        <v>110</v>
      </c>
      <c r="H909" s="53">
        <f>DATE(K909,5,1)</f>
        <v>61849</v>
      </c>
      <c r="I909" s="54">
        <f t="shared" si="89"/>
        <v>61849</v>
      </c>
      <c r="J909" t="s">
        <v>117</v>
      </c>
      <c r="K909">
        <f t="shared" si="90"/>
        <v>2069</v>
      </c>
      <c r="L909" t="s">
        <v>110</v>
      </c>
    </row>
    <row r="910" spans="1:12" x14ac:dyDescent="0.3">
      <c r="A910" s="53">
        <f>DATE(D910,10,12)</f>
        <v>60917</v>
      </c>
      <c r="B910" s="54">
        <f t="shared" si="88"/>
        <v>60917</v>
      </c>
      <c r="C910" t="s">
        <v>125</v>
      </c>
      <c r="D910">
        <f t="shared" si="87"/>
        <v>2066</v>
      </c>
      <c r="E910" t="s">
        <v>110</v>
      </c>
      <c r="H910" s="53">
        <f>DATE(K910,5,1)+(14-WEEKDAY(DATE(K910,5,1),2))</f>
        <v>61860</v>
      </c>
      <c r="I910" s="54">
        <f t="shared" si="89"/>
        <v>61860</v>
      </c>
      <c r="J910" t="s">
        <v>118</v>
      </c>
      <c r="K910">
        <f t="shared" si="90"/>
        <v>2069</v>
      </c>
      <c r="L910" t="s">
        <v>110</v>
      </c>
    </row>
    <row r="911" spans="1:12" x14ac:dyDescent="0.3">
      <c r="A911" s="53">
        <f>DATE(D911,11,2)</f>
        <v>60938</v>
      </c>
      <c r="B911" s="54">
        <f t="shared" si="88"/>
        <v>60938</v>
      </c>
      <c r="C911" t="s">
        <v>126</v>
      </c>
      <c r="D911">
        <f t="shared" si="87"/>
        <v>2066</v>
      </c>
      <c r="E911" t="s">
        <v>110</v>
      </c>
      <c r="H911" s="53">
        <f>H907+60</f>
        <v>61892</v>
      </c>
      <c r="I911" s="54">
        <f t="shared" si="89"/>
        <v>61892</v>
      </c>
      <c r="J911" t="s">
        <v>119</v>
      </c>
      <c r="K911">
        <f t="shared" si="90"/>
        <v>2069</v>
      </c>
      <c r="L911" t="s">
        <v>110</v>
      </c>
    </row>
    <row r="912" spans="1:12" x14ac:dyDescent="0.3">
      <c r="A912" s="53">
        <f>DATE(D912,11,15)</f>
        <v>60951</v>
      </c>
      <c r="B912" s="54">
        <f t="shared" si="88"/>
        <v>60951</v>
      </c>
      <c r="C912" t="s">
        <v>127</v>
      </c>
      <c r="D912">
        <f t="shared" si="87"/>
        <v>2066</v>
      </c>
      <c r="E912" t="s">
        <v>110</v>
      </c>
      <c r="H912" s="53">
        <f>DATE(K912,6,19)</f>
        <v>61898</v>
      </c>
      <c r="I912" s="54">
        <f t="shared" si="89"/>
        <v>61898</v>
      </c>
      <c r="J912" t="s">
        <v>114</v>
      </c>
      <c r="K912">
        <f t="shared" si="90"/>
        <v>2069</v>
      </c>
      <c r="L912" t="s">
        <v>115</v>
      </c>
    </row>
    <row r="913" spans="1:12" x14ac:dyDescent="0.3">
      <c r="A913" s="53">
        <f>DATE(D913,11,20)</f>
        <v>60956</v>
      </c>
      <c r="B913" s="54">
        <f t="shared" si="88"/>
        <v>60956</v>
      </c>
      <c r="C913" t="s">
        <v>128</v>
      </c>
      <c r="D913">
        <f t="shared" si="87"/>
        <v>2066</v>
      </c>
      <c r="E913" t="s">
        <v>110</v>
      </c>
      <c r="H913" s="53">
        <f>DATE(K913,7,9)</f>
        <v>61918</v>
      </c>
      <c r="I913" s="54">
        <f t="shared" si="89"/>
        <v>61918</v>
      </c>
      <c r="J913" t="s">
        <v>120</v>
      </c>
      <c r="K913">
        <f t="shared" si="90"/>
        <v>2069</v>
      </c>
      <c r="L913" t="s">
        <v>121</v>
      </c>
    </row>
    <row r="914" spans="1:12" x14ac:dyDescent="0.3">
      <c r="A914" s="53">
        <f>DATE(D914,12,25)</f>
        <v>60991</v>
      </c>
      <c r="B914" s="54">
        <f t="shared" si="88"/>
        <v>60991</v>
      </c>
      <c r="C914" t="s">
        <v>129</v>
      </c>
      <c r="D914">
        <f t="shared" si="87"/>
        <v>2066</v>
      </c>
      <c r="E914" t="s">
        <v>110</v>
      </c>
      <c r="H914" s="53">
        <f>DATE(K914,8,1)+(14-WEEKDAY(DATE(K914,8,1),2))</f>
        <v>61951</v>
      </c>
      <c r="I914" s="54">
        <f t="shared" si="89"/>
        <v>61951</v>
      </c>
      <c r="J914" t="s">
        <v>123</v>
      </c>
      <c r="K914">
        <f t="shared" si="90"/>
        <v>2069</v>
      </c>
      <c r="L914" t="s">
        <v>110</v>
      </c>
    </row>
    <row r="915" spans="1:12" x14ac:dyDescent="0.3">
      <c r="A915" s="53">
        <f>DATE(D915,1,1)</f>
        <v>60998</v>
      </c>
      <c r="B915" s="54">
        <f t="shared" si="88"/>
        <v>60998</v>
      </c>
      <c r="C915" t="s">
        <v>109</v>
      </c>
      <c r="D915">
        <f>D896+1</f>
        <v>2067</v>
      </c>
      <c r="E915" t="s">
        <v>110</v>
      </c>
      <c r="H915" s="53">
        <f>DATE(K915,9,7)</f>
        <v>61978</v>
      </c>
      <c r="I915" s="54">
        <f t="shared" si="89"/>
        <v>61978</v>
      </c>
      <c r="J915" t="s">
        <v>124</v>
      </c>
      <c r="K915">
        <f t="shared" si="90"/>
        <v>2069</v>
      </c>
      <c r="L915" t="s">
        <v>110</v>
      </c>
    </row>
    <row r="916" spans="1:12" x14ac:dyDescent="0.3">
      <c r="A916" s="53">
        <f>A919-48</f>
        <v>61042</v>
      </c>
      <c r="B916" s="54">
        <f t="shared" si="88"/>
        <v>61042</v>
      </c>
      <c r="C916" t="s">
        <v>111</v>
      </c>
      <c r="D916">
        <f t="shared" ref="D916:D933" si="91">D897+1</f>
        <v>2067</v>
      </c>
      <c r="E916" t="s">
        <v>110</v>
      </c>
      <c r="H916" s="53">
        <f>DATE(K916,10,12)</f>
        <v>62013</v>
      </c>
      <c r="I916" s="54">
        <f t="shared" si="89"/>
        <v>62013</v>
      </c>
      <c r="J916" t="s">
        <v>125</v>
      </c>
      <c r="K916">
        <f t="shared" si="90"/>
        <v>2069</v>
      </c>
      <c r="L916" t="s">
        <v>110</v>
      </c>
    </row>
    <row r="917" spans="1:12" x14ac:dyDescent="0.3">
      <c r="A917" s="53">
        <f>A919-47</f>
        <v>61043</v>
      </c>
      <c r="B917" s="54">
        <f t="shared" si="88"/>
        <v>61043</v>
      </c>
      <c r="C917" t="s">
        <v>111</v>
      </c>
      <c r="D917">
        <f t="shared" si="91"/>
        <v>2067</v>
      </c>
      <c r="E917" t="s">
        <v>110</v>
      </c>
      <c r="H917" s="53">
        <f>DATE(K917,11,2)</f>
        <v>62034</v>
      </c>
      <c r="I917" s="54">
        <f t="shared" si="89"/>
        <v>62034</v>
      </c>
      <c r="J917" t="s">
        <v>126</v>
      </c>
      <c r="K917">
        <f t="shared" si="90"/>
        <v>2069</v>
      </c>
      <c r="L917" t="s">
        <v>110</v>
      </c>
    </row>
    <row r="918" spans="1:12" x14ac:dyDescent="0.3">
      <c r="A918" s="53">
        <f>A919-2</f>
        <v>61088</v>
      </c>
      <c r="B918" s="54">
        <f t="shared" si="88"/>
        <v>61088</v>
      </c>
      <c r="C918" t="s">
        <v>112</v>
      </c>
      <c r="D918">
        <f t="shared" si="91"/>
        <v>2067</v>
      </c>
      <c r="E918" t="s">
        <v>110</v>
      </c>
      <c r="H918" s="53">
        <f>DATE(K918,11,15)</f>
        <v>62047</v>
      </c>
      <c r="I918" s="54">
        <f t="shared" si="89"/>
        <v>62047</v>
      </c>
      <c r="J918" t="s">
        <v>127</v>
      </c>
      <c r="K918">
        <f t="shared" si="90"/>
        <v>2069</v>
      </c>
      <c r="L918" t="s">
        <v>110</v>
      </c>
    </row>
    <row r="919" spans="1:12" x14ac:dyDescent="0.3">
      <c r="A919" s="53">
        <f>FLOOR(DAY(MINUTE(D919/38)/2+56)&amp;"/5"&amp;"/"&amp;D919,7)-34</f>
        <v>61090</v>
      </c>
      <c r="B919" s="54">
        <f t="shared" si="88"/>
        <v>61090</v>
      </c>
      <c r="C919" t="s">
        <v>113</v>
      </c>
      <c r="D919">
        <f t="shared" si="91"/>
        <v>2067</v>
      </c>
      <c r="E919" t="s">
        <v>110</v>
      </c>
      <c r="H919" s="53">
        <f>DATE(K919,11,20)</f>
        <v>62052</v>
      </c>
      <c r="I919" s="54">
        <f t="shared" si="89"/>
        <v>62052</v>
      </c>
      <c r="J919" t="s">
        <v>128</v>
      </c>
      <c r="K919">
        <f t="shared" si="90"/>
        <v>2069</v>
      </c>
      <c r="L919" t="s">
        <v>110</v>
      </c>
    </row>
    <row r="920" spans="1:12" x14ac:dyDescent="0.3">
      <c r="A920" s="53">
        <f>DATE(D920,4,14)</f>
        <v>61101</v>
      </c>
      <c r="B920" s="54">
        <f t="shared" si="88"/>
        <v>61101</v>
      </c>
      <c r="C920" t="s">
        <v>114</v>
      </c>
      <c r="D920">
        <f t="shared" si="91"/>
        <v>2067</v>
      </c>
      <c r="E920" t="s">
        <v>115</v>
      </c>
      <c r="H920" s="53">
        <f>DATE(K920,12,25)</f>
        <v>62087</v>
      </c>
      <c r="I920" s="54">
        <f t="shared" si="89"/>
        <v>62087</v>
      </c>
      <c r="J920" t="s">
        <v>129</v>
      </c>
      <c r="K920">
        <f t="shared" si="90"/>
        <v>2069</v>
      </c>
      <c r="L920" t="s">
        <v>110</v>
      </c>
    </row>
    <row r="921" spans="1:12" x14ac:dyDescent="0.3">
      <c r="A921" s="53">
        <f>DATE(D921,4,21)</f>
        <v>61108</v>
      </c>
      <c r="B921" s="54">
        <f t="shared" si="88"/>
        <v>61108</v>
      </c>
      <c r="C921" t="s">
        <v>116</v>
      </c>
      <c r="D921">
        <f t="shared" si="91"/>
        <v>2067</v>
      </c>
      <c r="E921" t="s">
        <v>110</v>
      </c>
      <c r="H921" s="53">
        <f>DATE(K921,1,1)</f>
        <v>62094</v>
      </c>
      <c r="I921" s="54">
        <f t="shared" si="89"/>
        <v>62094</v>
      </c>
      <c r="J921" t="s">
        <v>109</v>
      </c>
      <c r="K921">
        <f>K903+1</f>
        <v>2070</v>
      </c>
      <c r="L921" t="s">
        <v>110</v>
      </c>
    </row>
    <row r="922" spans="1:12" x14ac:dyDescent="0.3">
      <c r="A922" s="53">
        <f>DATE(D922,5,1)</f>
        <v>61118</v>
      </c>
      <c r="B922" s="54">
        <f t="shared" si="88"/>
        <v>61118</v>
      </c>
      <c r="C922" t="s">
        <v>117</v>
      </c>
      <c r="D922">
        <f t="shared" si="91"/>
        <v>2067</v>
      </c>
      <c r="E922" t="s">
        <v>110</v>
      </c>
      <c r="H922" s="53">
        <f>H925-48</f>
        <v>62134</v>
      </c>
      <c r="I922" s="54">
        <f t="shared" si="89"/>
        <v>62134</v>
      </c>
      <c r="J922" t="s">
        <v>111</v>
      </c>
      <c r="K922">
        <f t="shared" ref="K922:K985" si="92">K904+1</f>
        <v>2070</v>
      </c>
      <c r="L922" t="s">
        <v>110</v>
      </c>
    </row>
    <row r="923" spans="1:12" x14ac:dyDescent="0.3">
      <c r="A923" s="53">
        <f>DATE(D923,5,1)+(14-WEEKDAY(DATE(D923,5,1),2))</f>
        <v>61125</v>
      </c>
      <c r="B923" s="54">
        <f t="shared" si="88"/>
        <v>61125</v>
      </c>
      <c r="C923" t="s">
        <v>118</v>
      </c>
      <c r="D923">
        <f t="shared" si="91"/>
        <v>2067</v>
      </c>
      <c r="E923" t="s">
        <v>110</v>
      </c>
      <c r="H923" s="53">
        <f>H925-47</f>
        <v>62135</v>
      </c>
      <c r="I923" s="54">
        <f t="shared" si="89"/>
        <v>62135</v>
      </c>
      <c r="J923" t="s">
        <v>111</v>
      </c>
      <c r="K923">
        <f t="shared" si="92"/>
        <v>2070</v>
      </c>
      <c r="L923" t="s">
        <v>110</v>
      </c>
    </row>
    <row r="924" spans="1:12" x14ac:dyDescent="0.3">
      <c r="A924" s="53">
        <f>A919+60</f>
        <v>61150</v>
      </c>
      <c r="B924" s="54">
        <f t="shared" si="88"/>
        <v>61150</v>
      </c>
      <c r="C924" t="s">
        <v>119</v>
      </c>
      <c r="D924">
        <f t="shared" si="91"/>
        <v>2067</v>
      </c>
      <c r="E924" t="s">
        <v>110</v>
      </c>
      <c r="H924" s="53">
        <f>H925-2</f>
        <v>62180</v>
      </c>
      <c r="I924" s="54">
        <f t="shared" si="89"/>
        <v>62180</v>
      </c>
      <c r="J924" t="s">
        <v>112</v>
      </c>
      <c r="K924">
        <f t="shared" si="92"/>
        <v>2070</v>
      </c>
      <c r="L924" t="s">
        <v>110</v>
      </c>
    </row>
    <row r="925" spans="1:12" x14ac:dyDescent="0.3">
      <c r="A925" s="53">
        <f>DATE(D925,7,9)</f>
        <v>61187</v>
      </c>
      <c r="B925" s="54">
        <f t="shared" si="88"/>
        <v>61187</v>
      </c>
      <c r="C925" t="s">
        <v>120</v>
      </c>
      <c r="D925">
        <f t="shared" si="91"/>
        <v>2067</v>
      </c>
      <c r="E925" t="s">
        <v>121</v>
      </c>
      <c r="H925" s="53">
        <f>FLOOR(DAY(MINUTE(K925/38)/2+56)&amp;"/5"&amp;"/"&amp;K925,7)-34</f>
        <v>62182</v>
      </c>
      <c r="I925" s="54">
        <f t="shared" si="89"/>
        <v>62182</v>
      </c>
      <c r="J925" t="s">
        <v>113</v>
      </c>
      <c r="K925">
        <f t="shared" si="92"/>
        <v>2070</v>
      </c>
      <c r="L925" t="s">
        <v>110</v>
      </c>
    </row>
    <row r="926" spans="1:12" x14ac:dyDescent="0.3">
      <c r="A926" s="53">
        <f>DATE(D926,8,8)</f>
        <v>61217</v>
      </c>
      <c r="B926" s="54">
        <f t="shared" si="88"/>
        <v>61217</v>
      </c>
      <c r="C926" t="s">
        <v>122</v>
      </c>
      <c r="D926">
        <f t="shared" si="91"/>
        <v>2067</v>
      </c>
      <c r="E926" t="s">
        <v>115</v>
      </c>
      <c r="H926" s="53">
        <f>DATE(K926,4,21)</f>
        <v>62204</v>
      </c>
      <c r="I926" s="54">
        <f t="shared" si="89"/>
        <v>62204</v>
      </c>
      <c r="J926" t="s">
        <v>116</v>
      </c>
      <c r="K926">
        <f t="shared" si="92"/>
        <v>2070</v>
      </c>
      <c r="L926" t="s">
        <v>110</v>
      </c>
    </row>
    <row r="927" spans="1:12" x14ac:dyDescent="0.3">
      <c r="A927" s="53">
        <f>DATE(D927,8,1)+(14-WEEKDAY(DATE(D927,8,1),2))</f>
        <v>61223</v>
      </c>
      <c r="B927" s="54">
        <f t="shared" si="88"/>
        <v>61223</v>
      </c>
      <c r="C927" t="s">
        <v>123</v>
      </c>
      <c r="D927">
        <f t="shared" si="91"/>
        <v>2067</v>
      </c>
      <c r="E927" t="s">
        <v>110</v>
      </c>
      <c r="H927" s="53">
        <f>DATE(K927,5,1)</f>
        <v>62214</v>
      </c>
      <c r="I927" s="54">
        <f t="shared" si="89"/>
        <v>62214</v>
      </c>
      <c r="J927" t="s">
        <v>117</v>
      </c>
      <c r="K927">
        <f t="shared" si="92"/>
        <v>2070</v>
      </c>
      <c r="L927" t="s">
        <v>110</v>
      </c>
    </row>
    <row r="928" spans="1:12" x14ac:dyDescent="0.3">
      <c r="A928" s="53">
        <f>DATE(D928,9,7)</f>
        <v>61247</v>
      </c>
      <c r="B928" s="54">
        <f t="shared" si="88"/>
        <v>61247</v>
      </c>
      <c r="C928" t="s">
        <v>124</v>
      </c>
      <c r="D928">
        <f t="shared" si="91"/>
        <v>2067</v>
      </c>
      <c r="E928" t="s">
        <v>110</v>
      </c>
      <c r="H928" s="53">
        <f>DATE(K928,5,1)+(14-WEEKDAY(DATE(K928,5,1),2))</f>
        <v>62224</v>
      </c>
      <c r="I928" s="54">
        <f t="shared" si="89"/>
        <v>62224</v>
      </c>
      <c r="J928" t="s">
        <v>118</v>
      </c>
      <c r="K928">
        <f t="shared" si="92"/>
        <v>2070</v>
      </c>
      <c r="L928" t="s">
        <v>110</v>
      </c>
    </row>
    <row r="929" spans="1:12" x14ac:dyDescent="0.3">
      <c r="A929" s="53">
        <f>DATE(D929,10,12)</f>
        <v>61282</v>
      </c>
      <c r="B929" s="54">
        <f t="shared" si="88"/>
        <v>61282</v>
      </c>
      <c r="C929" t="s">
        <v>125</v>
      </c>
      <c r="D929">
        <f t="shared" si="91"/>
        <v>2067</v>
      </c>
      <c r="E929" t="s">
        <v>110</v>
      </c>
      <c r="H929" s="53">
        <f>H925+60</f>
        <v>62242</v>
      </c>
      <c r="I929" s="54">
        <f t="shared" si="89"/>
        <v>62242</v>
      </c>
      <c r="J929" t="s">
        <v>119</v>
      </c>
      <c r="K929">
        <f t="shared" si="92"/>
        <v>2070</v>
      </c>
      <c r="L929" t="s">
        <v>110</v>
      </c>
    </row>
    <row r="930" spans="1:12" x14ac:dyDescent="0.3">
      <c r="A930" s="53">
        <f>DATE(D930,11,2)</f>
        <v>61303</v>
      </c>
      <c r="B930" s="54">
        <f t="shared" si="88"/>
        <v>61303</v>
      </c>
      <c r="C930" t="s">
        <v>126</v>
      </c>
      <c r="D930">
        <f t="shared" si="91"/>
        <v>2067</v>
      </c>
      <c r="E930" t="s">
        <v>110</v>
      </c>
      <c r="H930" s="53">
        <f>DATE(K930,6,19)</f>
        <v>62263</v>
      </c>
      <c r="I930" s="54">
        <f t="shared" si="89"/>
        <v>62263</v>
      </c>
      <c r="J930" t="s">
        <v>114</v>
      </c>
      <c r="K930">
        <f t="shared" si="92"/>
        <v>2070</v>
      </c>
      <c r="L930" t="s">
        <v>115</v>
      </c>
    </row>
    <row r="931" spans="1:12" x14ac:dyDescent="0.3">
      <c r="A931" s="53">
        <f>DATE(D931,11,15)</f>
        <v>61316</v>
      </c>
      <c r="B931" s="54">
        <f t="shared" si="88"/>
        <v>61316</v>
      </c>
      <c r="C931" t="s">
        <v>127</v>
      </c>
      <c r="D931">
        <f t="shared" si="91"/>
        <v>2067</v>
      </c>
      <c r="E931" t="s">
        <v>110</v>
      </c>
      <c r="H931" s="53">
        <f>DATE(K931,7,9)</f>
        <v>62283</v>
      </c>
      <c r="I931" s="54">
        <f t="shared" si="89"/>
        <v>62283</v>
      </c>
      <c r="J931" t="s">
        <v>120</v>
      </c>
      <c r="K931">
        <f t="shared" si="92"/>
        <v>2070</v>
      </c>
      <c r="L931" t="s">
        <v>121</v>
      </c>
    </row>
    <row r="932" spans="1:12" x14ac:dyDescent="0.3">
      <c r="A932" s="53">
        <f>DATE(D932,11,20)</f>
        <v>61321</v>
      </c>
      <c r="B932" s="54">
        <f t="shared" si="88"/>
        <v>61321</v>
      </c>
      <c r="C932" t="s">
        <v>128</v>
      </c>
      <c r="D932">
        <f t="shared" si="91"/>
        <v>2067</v>
      </c>
      <c r="E932" t="s">
        <v>110</v>
      </c>
      <c r="H932" s="53">
        <f>DATE(K932,8,1)+(14-WEEKDAY(DATE(K932,8,1),2))</f>
        <v>62315</v>
      </c>
      <c r="I932" s="54">
        <f t="shared" si="89"/>
        <v>62315</v>
      </c>
      <c r="J932" t="s">
        <v>123</v>
      </c>
      <c r="K932">
        <f t="shared" si="92"/>
        <v>2070</v>
      </c>
      <c r="L932" t="s">
        <v>110</v>
      </c>
    </row>
    <row r="933" spans="1:12" x14ac:dyDescent="0.3">
      <c r="A933" s="53">
        <f>DATE(D933,12,25)</f>
        <v>61356</v>
      </c>
      <c r="B933" s="54">
        <f t="shared" si="88"/>
        <v>61356</v>
      </c>
      <c r="C933" t="s">
        <v>129</v>
      </c>
      <c r="D933">
        <f t="shared" si="91"/>
        <v>2067</v>
      </c>
      <c r="E933" t="s">
        <v>110</v>
      </c>
      <c r="H933" s="53">
        <f>DATE(K933,9,7)</f>
        <v>62343</v>
      </c>
      <c r="I933" s="54">
        <f t="shared" si="89"/>
        <v>62343</v>
      </c>
      <c r="J933" t="s">
        <v>124</v>
      </c>
      <c r="K933">
        <f t="shared" si="92"/>
        <v>2070</v>
      </c>
      <c r="L933" t="s">
        <v>110</v>
      </c>
    </row>
    <row r="934" spans="1:12" x14ac:dyDescent="0.3">
      <c r="A934" s="53">
        <f>DATE(D934,1,1)</f>
        <v>61363</v>
      </c>
      <c r="B934" s="54">
        <f t="shared" si="88"/>
        <v>61363</v>
      </c>
      <c r="C934" t="s">
        <v>109</v>
      </c>
      <c r="D934">
        <f>D915+1</f>
        <v>2068</v>
      </c>
      <c r="E934" t="s">
        <v>110</v>
      </c>
      <c r="H934" s="53">
        <f>DATE(K934,10,12)</f>
        <v>62378</v>
      </c>
      <c r="I934" s="54">
        <f t="shared" si="89"/>
        <v>62378</v>
      </c>
      <c r="J934" t="s">
        <v>125</v>
      </c>
      <c r="K934">
        <f t="shared" si="92"/>
        <v>2070</v>
      </c>
      <c r="L934" t="s">
        <v>110</v>
      </c>
    </row>
    <row r="935" spans="1:12" x14ac:dyDescent="0.3">
      <c r="A935" s="53">
        <f>A938-48</f>
        <v>61427</v>
      </c>
      <c r="B935" s="54">
        <f t="shared" si="88"/>
        <v>61427</v>
      </c>
      <c r="C935" t="s">
        <v>111</v>
      </c>
      <c r="D935">
        <f t="shared" ref="D935:D998" si="93">D916+1</f>
        <v>2068</v>
      </c>
      <c r="E935" t="s">
        <v>110</v>
      </c>
      <c r="H935" s="53">
        <f>DATE(K935,11,2)</f>
        <v>62399</v>
      </c>
      <c r="I935" s="54">
        <f t="shared" si="89"/>
        <v>62399</v>
      </c>
      <c r="J935" t="s">
        <v>126</v>
      </c>
      <c r="K935">
        <f t="shared" si="92"/>
        <v>2070</v>
      </c>
      <c r="L935" t="s">
        <v>110</v>
      </c>
    </row>
    <row r="936" spans="1:12" x14ac:dyDescent="0.3">
      <c r="A936" s="53">
        <f>A938-47</f>
        <v>61428</v>
      </c>
      <c r="B936" s="54">
        <f t="shared" si="88"/>
        <v>61428</v>
      </c>
      <c r="C936" t="s">
        <v>111</v>
      </c>
      <c r="D936">
        <f t="shared" si="93"/>
        <v>2068</v>
      </c>
      <c r="E936" t="s">
        <v>110</v>
      </c>
      <c r="H936" s="53">
        <f>DATE(K936,11,15)</f>
        <v>62412</v>
      </c>
      <c r="I936" s="54">
        <f t="shared" si="89"/>
        <v>62412</v>
      </c>
      <c r="J936" t="s">
        <v>127</v>
      </c>
      <c r="K936">
        <f t="shared" si="92"/>
        <v>2070</v>
      </c>
      <c r="L936" t="s">
        <v>110</v>
      </c>
    </row>
    <row r="937" spans="1:12" x14ac:dyDescent="0.3">
      <c r="A937" s="53">
        <f>A938-2</f>
        <v>61473</v>
      </c>
      <c r="B937" s="54">
        <f t="shared" si="88"/>
        <v>61473</v>
      </c>
      <c r="C937" t="s">
        <v>112</v>
      </c>
      <c r="D937">
        <f t="shared" si="93"/>
        <v>2068</v>
      </c>
      <c r="E937" t="s">
        <v>110</v>
      </c>
      <c r="H937" s="53">
        <f>DATE(K937,11,20)</f>
        <v>62417</v>
      </c>
      <c r="I937" s="54">
        <f t="shared" si="89"/>
        <v>62417</v>
      </c>
      <c r="J937" t="s">
        <v>128</v>
      </c>
      <c r="K937">
        <f t="shared" si="92"/>
        <v>2070</v>
      </c>
      <c r="L937" t="s">
        <v>110</v>
      </c>
    </row>
    <row r="938" spans="1:12" x14ac:dyDescent="0.3">
      <c r="A938" s="53">
        <f>FLOOR(DAY(MINUTE(D938/38)/2+56)&amp;"/5"&amp;"/"&amp;D938,7)-34</f>
        <v>61475</v>
      </c>
      <c r="B938" s="54">
        <f t="shared" si="88"/>
        <v>61475</v>
      </c>
      <c r="C938" t="s">
        <v>113</v>
      </c>
      <c r="D938">
        <f t="shared" si="93"/>
        <v>2068</v>
      </c>
      <c r="E938" t="s">
        <v>110</v>
      </c>
      <c r="H938" s="53">
        <f>DATE(K938,12,25)</f>
        <v>62452</v>
      </c>
      <c r="I938" s="54">
        <f t="shared" si="89"/>
        <v>62452</v>
      </c>
      <c r="J938" t="s">
        <v>129</v>
      </c>
      <c r="K938">
        <f t="shared" si="92"/>
        <v>2070</v>
      </c>
      <c r="L938" t="s">
        <v>110</v>
      </c>
    </row>
    <row r="939" spans="1:12" x14ac:dyDescent="0.3">
      <c r="A939" s="53">
        <f>DATE(D939,4,14)</f>
        <v>61467</v>
      </c>
      <c r="B939" s="54">
        <f t="shared" si="88"/>
        <v>61467</v>
      </c>
      <c r="C939" t="s">
        <v>114</v>
      </c>
      <c r="D939">
        <f t="shared" si="93"/>
        <v>2068</v>
      </c>
      <c r="E939" t="s">
        <v>115</v>
      </c>
      <c r="H939" s="53">
        <f>DATE(K939,1,1)</f>
        <v>62459</v>
      </c>
      <c r="I939" s="54">
        <f t="shared" si="89"/>
        <v>62459</v>
      </c>
      <c r="J939" t="s">
        <v>109</v>
      </c>
      <c r="K939">
        <f>K921+1</f>
        <v>2071</v>
      </c>
      <c r="L939" t="s">
        <v>110</v>
      </c>
    </row>
    <row r="940" spans="1:12" x14ac:dyDescent="0.3">
      <c r="A940" s="53">
        <f>DATE(D940,4,21)</f>
        <v>61474</v>
      </c>
      <c r="B940" s="54">
        <f t="shared" si="88"/>
        <v>61474</v>
      </c>
      <c r="C940" t="s">
        <v>116</v>
      </c>
      <c r="D940">
        <f t="shared" si="93"/>
        <v>2068</v>
      </c>
      <c r="E940" t="s">
        <v>110</v>
      </c>
      <c r="H940" s="53">
        <f>H943-48</f>
        <v>62519</v>
      </c>
      <c r="I940" s="54">
        <f t="shared" si="89"/>
        <v>62519</v>
      </c>
      <c r="J940" t="s">
        <v>111</v>
      </c>
      <c r="K940">
        <f t="shared" si="92"/>
        <v>2071</v>
      </c>
      <c r="L940" t="s">
        <v>110</v>
      </c>
    </row>
    <row r="941" spans="1:12" x14ac:dyDescent="0.3">
      <c r="A941" s="53">
        <f>DATE(D941,5,1)</f>
        <v>61484</v>
      </c>
      <c r="B941" s="54">
        <f t="shared" si="88"/>
        <v>61484</v>
      </c>
      <c r="C941" t="s">
        <v>117</v>
      </c>
      <c r="D941">
        <f t="shared" si="93"/>
        <v>2068</v>
      </c>
      <c r="E941" t="s">
        <v>110</v>
      </c>
      <c r="H941" s="53">
        <f>H943-47</f>
        <v>62520</v>
      </c>
      <c r="I941" s="54">
        <f t="shared" si="89"/>
        <v>62520</v>
      </c>
      <c r="J941" t="s">
        <v>111</v>
      </c>
      <c r="K941">
        <f t="shared" si="92"/>
        <v>2071</v>
      </c>
      <c r="L941" t="s">
        <v>110</v>
      </c>
    </row>
    <row r="942" spans="1:12" x14ac:dyDescent="0.3">
      <c r="A942" s="53">
        <f>DATE(D942,5,1)+(14-WEEKDAY(DATE(D942,5,1),2))</f>
        <v>61496</v>
      </c>
      <c r="B942" s="54">
        <f t="shared" si="88"/>
        <v>61496</v>
      </c>
      <c r="C942" t="s">
        <v>118</v>
      </c>
      <c r="D942">
        <f t="shared" si="93"/>
        <v>2068</v>
      </c>
      <c r="E942" t="s">
        <v>110</v>
      </c>
      <c r="H942" s="53">
        <f>H943-2</f>
        <v>62565</v>
      </c>
      <c r="I942" s="54">
        <f t="shared" si="89"/>
        <v>62565</v>
      </c>
      <c r="J942" t="s">
        <v>112</v>
      </c>
      <c r="K942">
        <f t="shared" si="92"/>
        <v>2071</v>
      </c>
      <c r="L942" t="s">
        <v>110</v>
      </c>
    </row>
    <row r="943" spans="1:12" x14ac:dyDescent="0.3">
      <c r="A943" s="53">
        <f>A938+60</f>
        <v>61535</v>
      </c>
      <c r="B943" s="54">
        <f t="shared" si="88"/>
        <v>61535</v>
      </c>
      <c r="C943" t="s">
        <v>119</v>
      </c>
      <c r="D943">
        <f t="shared" si="93"/>
        <v>2068</v>
      </c>
      <c r="E943" t="s">
        <v>110</v>
      </c>
      <c r="H943" s="53">
        <f>FLOOR(DAY(MINUTE(K943/38)/2+56)&amp;"/5"&amp;"/"&amp;K943,7)-34</f>
        <v>62567</v>
      </c>
      <c r="I943" s="54">
        <f t="shared" si="89"/>
        <v>62567</v>
      </c>
      <c r="J943" t="s">
        <v>113</v>
      </c>
      <c r="K943">
        <f t="shared" si="92"/>
        <v>2071</v>
      </c>
      <c r="L943" t="s">
        <v>110</v>
      </c>
    </row>
    <row r="944" spans="1:12" x14ac:dyDescent="0.3">
      <c r="A944" s="53">
        <f>DATE(D944,7,9)</f>
        <v>61553</v>
      </c>
      <c r="B944" s="54">
        <f t="shared" si="88"/>
        <v>61553</v>
      </c>
      <c r="C944" t="s">
        <v>120</v>
      </c>
      <c r="D944">
        <f t="shared" si="93"/>
        <v>2068</v>
      </c>
      <c r="E944" t="s">
        <v>121</v>
      </c>
      <c r="H944" s="53">
        <f>DATE(K944,4,21)</f>
        <v>62569</v>
      </c>
      <c r="I944" s="54">
        <f t="shared" si="89"/>
        <v>62569</v>
      </c>
      <c r="J944" t="s">
        <v>116</v>
      </c>
      <c r="K944">
        <f t="shared" si="92"/>
        <v>2071</v>
      </c>
      <c r="L944" t="s">
        <v>110</v>
      </c>
    </row>
    <row r="945" spans="1:12" x14ac:dyDescent="0.3">
      <c r="A945" s="53">
        <f>DATE(D945,8,8)</f>
        <v>61583</v>
      </c>
      <c r="B945" s="54">
        <f t="shared" si="88"/>
        <v>61583</v>
      </c>
      <c r="C945" t="s">
        <v>122</v>
      </c>
      <c r="D945">
        <f t="shared" si="93"/>
        <v>2068</v>
      </c>
      <c r="E945" t="s">
        <v>115</v>
      </c>
      <c r="H945" s="53">
        <f>DATE(K945,5,1)</f>
        <v>62579</v>
      </c>
      <c r="I945" s="54">
        <f t="shared" si="89"/>
        <v>62579</v>
      </c>
      <c r="J945" t="s">
        <v>117</v>
      </c>
      <c r="K945">
        <f t="shared" si="92"/>
        <v>2071</v>
      </c>
      <c r="L945" t="s">
        <v>110</v>
      </c>
    </row>
    <row r="946" spans="1:12" x14ac:dyDescent="0.3">
      <c r="A946" s="53">
        <f>DATE(D946,8,1)+(14-WEEKDAY(DATE(D946,8,1),2))</f>
        <v>61587</v>
      </c>
      <c r="B946" s="54">
        <f t="shared" si="88"/>
        <v>61587</v>
      </c>
      <c r="C946" t="s">
        <v>123</v>
      </c>
      <c r="D946">
        <f t="shared" si="93"/>
        <v>2068</v>
      </c>
      <c r="E946" t="s">
        <v>110</v>
      </c>
      <c r="H946" s="53">
        <f>DATE(K946,5,1)+(14-WEEKDAY(DATE(K946,5,1),2))</f>
        <v>62588</v>
      </c>
      <c r="I946" s="54">
        <f t="shared" si="89"/>
        <v>62588</v>
      </c>
      <c r="J946" t="s">
        <v>118</v>
      </c>
      <c r="K946">
        <f t="shared" si="92"/>
        <v>2071</v>
      </c>
      <c r="L946" t="s">
        <v>110</v>
      </c>
    </row>
    <row r="947" spans="1:12" x14ac:dyDescent="0.3">
      <c r="A947" s="53">
        <f>DATE(D947,9,7)</f>
        <v>61613</v>
      </c>
      <c r="B947" s="54">
        <f t="shared" si="88"/>
        <v>61613</v>
      </c>
      <c r="C947" t="s">
        <v>124</v>
      </c>
      <c r="D947">
        <f t="shared" si="93"/>
        <v>2068</v>
      </c>
      <c r="E947" t="s">
        <v>110</v>
      </c>
      <c r="H947" s="53">
        <f>H943+60</f>
        <v>62627</v>
      </c>
      <c r="I947" s="54">
        <f t="shared" si="89"/>
        <v>62627</v>
      </c>
      <c r="J947" t="s">
        <v>119</v>
      </c>
      <c r="K947">
        <f t="shared" si="92"/>
        <v>2071</v>
      </c>
      <c r="L947" t="s">
        <v>110</v>
      </c>
    </row>
    <row r="948" spans="1:12" x14ac:dyDescent="0.3">
      <c r="A948" s="53">
        <f>DATE(D948,10,12)</f>
        <v>61648</v>
      </c>
      <c r="B948" s="54">
        <f t="shared" si="88"/>
        <v>61648</v>
      </c>
      <c r="C948" t="s">
        <v>125</v>
      </c>
      <c r="D948">
        <f t="shared" si="93"/>
        <v>2068</v>
      </c>
      <c r="E948" t="s">
        <v>110</v>
      </c>
      <c r="H948" s="53">
        <f>DATE(K948,6,19)</f>
        <v>62628</v>
      </c>
      <c r="I948" s="54">
        <f t="shared" si="89"/>
        <v>62628</v>
      </c>
      <c r="J948" t="s">
        <v>114</v>
      </c>
      <c r="K948">
        <f t="shared" si="92"/>
        <v>2071</v>
      </c>
      <c r="L948" t="s">
        <v>115</v>
      </c>
    </row>
    <row r="949" spans="1:12" x14ac:dyDescent="0.3">
      <c r="A949" s="53">
        <f>DATE(D949,11,2)</f>
        <v>61669</v>
      </c>
      <c r="B949" s="54">
        <f t="shared" si="88"/>
        <v>61669</v>
      </c>
      <c r="C949" t="s">
        <v>126</v>
      </c>
      <c r="D949">
        <f t="shared" si="93"/>
        <v>2068</v>
      </c>
      <c r="E949" t="s">
        <v>110</v>
      </c>
      <c r="H949" s="53">
        <f>DATE(K949,7,9)</f>
        <v>62648</v>
      </c>
      <c r="I949" s="54">
        <f t="shared" si="89"/>
        <v>62648</v>
      </c>
      <c r="J949" t="s">
        <v>120</v>
      </c>
      <c r="K949">
        <f t="shared" si="92"/>
        <v>2071</v>
      </c>
      <c r="L949" t="s">
        <v>121</v>
      </c>
    </row>
    <row r="950" spans="1:12" x14ac:dyDescent="0.3">
      <c r="A950" s="53">
        <f>DATE(D950,11,15)</f>
        <v>61682</v>
      </c>
      <c r="B950" s="54">
        <f t="shared" si="88"/>
        <v>61682</v>
      </c>
      <c r="C950" t="s">
        <v>127</v>
      </c>
      <c r="D950">
        <f t="shared" si="93"/>
        <v>2068</v>
      </c>
      <c r="E950" t="s">
        <v>110</v>
      </c>
      <c r="H950" s="53">
        <f>DATE(K950,8,1)+(14-WEEKDAY(DATE(K950,8,1),2))</f>
        <v>62679</v>
      </c>
      <c r="I950" s="54">
        <f t="shared" si="89"/>
        <v>62679</v>
      </c>
      <c r="J950" t="s">
        <v>123</v>
      </c>
      <c r="K950">
        <f t="shared" si="92"/>
        <v>2071</v>
      </c>
      <c r="L950" t="s">
        <v>110</v>
      </c>
    </row>
    <row r="951" spans="1:12" x14ac:dyDescent="0.3">
      <c r="A951" s="53">
        <f>DATE(D951,11,20)</f>
        <v>61687</v>
      </c>
      <c r="B951" s="54">
        <f t="shared" si="88"/>
        <v>61687</v>
      </c>
      <c r="C951" t="s">
        <v>128</v>
      </c>
      <c r="D951">
        <f t="shared" si="93"/>
        <v>2068</v>
      </c>
      <c r="E951" t="s">
        <v>110</v>
      </c>
      <c r="H951" s="53">
        <f>DATE(K951,9,7)</f>
        <v>62708</v>
      </c>
      <c r="I951" s="54">
        <f t="shared" si="89"/>
        <v>62708</v>
      </c>
      <c r="J951" t="s">
        <v>124</v>
      </c>
      <c r="K951">
        <f t="shared" si="92"/>
        <v>2071</v>
      </c>
      <c r="L951" t="s">
        <v>110</v>
      </c>
    </row>
    <row r="952" spans="1:12" x14ac:dyDescent="0.3">
      <c r="A952" s="53">
        <f>DATE(D952,12,25)</f>
        <v>61722</v>
      </c>
      <c r="B952" s="54">
        <f t="shared" si="88"/>
        <v>61722</v>
      </c>
      <c r="C952" t="s">
        <v>129</v>
      </c>
      <c r="D952">
        <f t="shared" si="93"/>
        <v>2068</v>
      </c>
      <c r="E952" t="s">
        <v>110</v>
      </c>
      <c r="H952" s="53">
        <f>DATE(K952,10,12)</f>
        <v>62743</v>
      </c>
      <c r="I952" s="54">
        <f t="shared" si="89"/>
        <v>62743</v>
      </c>
      <c r="J952" t="s">
        <v>125</v>
      </c>
      <c r="K952">
        <f t="shared" si="92"/>
        <v>2071</v>
      </c>
      <c r="L952" t="s">
        <v>110</v>
      </c>
    </row>
    <row r="953" spans="1:12" x14ac:dyDescent="0.3">
      <c r="A953" s="53">
        <f>DATE(D953,1,1)</f>
        <v>61729</v>
      </c>
      <c r="B953" s="54">
        <f t="shared" si="88"/>
        <v>61729</v>
      </c>
      <c r="C953" t="s">
        <v>109</v>
      </c>
      <c r="D953">
        <f>D934+1</f>
        <v>2069</v>
      </c>
      <c r="E953" t="s">
        <v>110</v>
      </c>
      <c r="H953" s="53">
        <f>DATE(K953,11,2)</f>
        <v>62764</v>
      </c>
      <c r="I953" s="54">
        <f t="shared" si="89"/>
        <v>62764</v>
      </c>
      <c r="J953" t="s">
        <v>126</v>
      </c>
      <c r="K953">
        <f t="shared" si="92"/>
        <v>2071</v>
      </c>
      <c r="L953" t="s">
        <v>110</v>
      </c>
    </row>
    <row r="954" spans="1:12" x14ac:dyDescent="0.3">
      <c r="A954" s="53">
        <f>A957-48</f>
        <v>61784</v>
      </c>
      <c r="B954" s="54">
        <f t="shared" si="88"/>
        <v>61784</v>
      </c>
      <c r="C954" t="s">
        <v>111</v>
      </c>
      <c r="D954">
        <f t="shared" si="93"/>
        <v>2069</v>
      </c>
      <c r="E954" t="s">
        <v>110</v>
      </c>
      <c r="H954" s="53">
        <f>DATE(K954,11,15)</f>
        <v>62777</v>
      </c>
      <c r="I954" s="54">
        <f t="shared" si="89"/>
        <v>62777</v>
      </c>
      <c r="J954" t="s">
        <v>127</v>
      </c>
      <c r="K954">
        <f t="shared" si="92"/>
        <v>2071</v>
      </c>
      <c r="L954" t="s">
        <v>110</v>
      </c>
    </row>
    <row r="955" spans="1:12" x14ac:dyDescent="0.3">
      <c r="A955" s="53">
        <f>A957-47</f>
        <v>61785</v>
      </c>
      <c r="B955" s="54">
        <f t="shared" si="88"/>
        <v>61785</v>
      </c>
      <c r="C955" t="s">
        <v>111</v>
      </c>
      <c r="D955">
        <f t="shared" si="93"/>
        <v>2069</v>
      </c>
      <c r="E955" t="s">
        <v>110</v>
      </c>
      <c r="H955" s="53">
        <f>DATE(K955,11,20)</f>
        <v>62782</v>
      </c>
      <c r="I955" s="54">
        <f t="shared" si="89"/>
        <v>62782</v>
      </c>
      <c r="J955" t="s">
        <v>128</v>
      </c>
      <c r="K955">
        <f t="shared" si="92"/>
        <v>2071</v>
      </c>
      <c r="L955" t="s">
        <v>110</v>
      </c>
    </row>
    <row r="956" spans="1:12" x14ac:dyDescent="0.3">
      <c r="A956" s="53">
        <f>A957-2</f>
        <v>61830</v>
      </c>
      <c r="B956" s="54">
        <f t="shared" si="88"/>
        <v>61830</v>
      </c>
      <c r="C956" t="s">
        <v>112</v>
      </c>
      <c r="D956">
        <f t="shared" si="93"/>
        <v>2069</v>
      </c>
      <c r="E956" t="s">
        <v>110</v>
      </c>
      <c r="H956" s="53">
        <f>DATE(K956,12,25)</f>
        <v>62817</v>
      </c>
      <c r="I956" s="54">
        <f t="shared" si="89"/>
        <v>62817</v>
      </c>
      <c r="J956" t="s">
        <v>129</v>
      </c>
      <c r="K956">
        <f t="shared" si="92"/>
        <v>2071</v>
      </c>
      <c r="L956" t="s">
        <v>110</v>
      </c>
    </row>
    <row r="957" spans="1:12" x14ac:dyDescent="0.3">
      <c r="A957" s="53">
        <f>FLOOR(DAY(MINUTE(D957/38)/2+56)&amp;"/5"&amp;"/"&amp;D957,7)-34</f>
        <v>61832</v>
      </c>
      <c r="B957" s="54">
        <f t="shared" si="88"/>
        <v>61832</v>
      </c>
      <c r="C957" t="s">
        <v>113</v>
      </c>
      <c r="D957">
        <f t="shared" si="93"/>
        <v>2069</v>
      </c>
      <c r="E957" t="s">
        <v>110</v>
      </c>
      <c r="H957" s="53">
        <f>DATE(K957,1,1)</f>
        <v>62824</v>
      </c>
      <c r="I957" s="54">
        <f t="shared" si="89"/>
        <v>62824</v>
      </c>
      <c r="J957" t="s">
        <v>109</v>
      </c>
      <c r="K957">
        <f>K939+1</f>
        <v>2072</v>
      </c>
      <c r="L957" t="s">
        <v>110</v>
      </c>
    </row>
    <row r="958" spans="1:12" x14ac:dyDescent="0.3">
      <c r="A958" s="53">
        <f>DATE(D958,4,14)</f>
        <v>61832</v>
      </c>
      <c r="B958" s="54">
        <f t="shared" si="88"/>
        <v>61832</v>
      </c>
      <c r="C958" t="s">
        <v>114</v>
      </c>
      <c r="D958">
        <f t="shared" si="93"/>
        <v>2069</v>
      </c>
      <c r="E958" t="s">
        <v>115</v>
      </c>
      <c r="H958" s="53">
        <f>H961-48</f>
        <v>62876</v>
      </c>
      <c r="I958" s="54">
        <f t="shared" si="89"/>
        <v>62876</v>
      </c>
      <c r="J958" t="s">
        <v>111</v>
      </c>
      <c r="K958">
        <f t="shared" si="92"/>
        <v>2072</v>
      </c>
      <c r="L958" t="s">
        <v>110</v>
      </c>
    </row>
    <row r="959" spans="1:12" x14ac:dyDescent="0.3">
      <c r="A959" s="53">
        <f>DATE(D959,4,21)</f>
        <v>61839</v>
      </c>
      <c r="B959" s="54">
        <f t="shared" si="88"/>
        <v>61839</v>
      </c>
      <c r="C959" t="s">
        <v>116</v>
      </c>
      <c r="D959">
        <f t="shared" si="93"/>
        <v>2069</v>
      </c>
      <c r="E959" t="s">
        <v>110</v>
      </c>
      <c r="H959" s="53">
        <f>H961-47</f>
        <v>62877</v>
      </c>
      <c r="I959" s="54">
        <f t="shared" si="89"/>
        <v>62877</v>
      </c>
      <c r="J959" t="s">
        <v>111</v>
      </c>
      <c r="K959">
        <f t="shared" si="92"/>
        <v>2072</v>
      </c>
      <c r="L959" t="s">
        <v>110</v>
      </c>
    </row>
    <row r="960" spans="1:12" x14ac:dyDescent="0.3">
      <c r="A960" s="53">
        <f>DATE(D960,5,1)</f>
        <v>61849</v>
      </c>
      <c r="B960" s="54">
        <f t="shared" si="88"/>
        <v>61849</v>
      </c>
      <c r="C960" t="s">
        <v>117</v>
      </c>
      <c r="D960">
        <f t="shared" si="93"/>
        <v>2069</v>
      </c>
      <c r="E960" t="s">
        <v>110</v>
      </c>
      <c r="H960" s="53">
        <f>H961-2</f>
        <v>62922</v>
      </c>
      <c r="I960" s="54">
        <f t="shared" si="89"/>
        <v>62922</v>
      </c>
      <c r="J960" t="s">
        <v>112</v>
      </c>
      <c r="K960">
        <f t="shared" si="92"/>
        <v>2072</v>
      </c>
      <c r="L960" t="s">
        <v>110</v>
      </c>
    </row>
    <row r="961" spans="1:12" x14ac:dyDescent="0.3">
      <c r="A961" s="53">
        <f>DATE(D961,5,1)+(14-WEEKDAY(DATE(D961,5,1),2))</f>
        <v>61860</v>
      </c>
      <c r="B961" s="54">
        <f t="shared" si="88"/>
        <v>61860</v>
      </c>
      <c r="C961" t="s">
        <v>118</v>
      </c>
      <c r="D961">
        <f t="shared" si="93"/>
        <v>2069</v>
      </c>
      <c r="E961" t="s">
        <v>110</v>
      </c>
      <c r="H961" s="53">
        <f>FLOOR(DAY(MINUTE(K961/38)/2+56)&amp;"/5"&amp;"/"&amp;K961,7)-34</f>
        <v>62924</v>
      </c>
      <c r="I961" s="54">
        <f t="shared" si="89"/>
        <v>62924</v>
      </c>
      <c r="J961" t="s">
        <v>113</v>
      </c>
      <c r="K961">
        <f t="shared" si="92"/>
        <v>2072</v>
      </c>
      <c r="L961" t="s">
        <v>110</v>
      </c>
    </row>
    <row r="962" spans="1:12" x14ac:dyDescent="0.3">
      <c r="A962" s="53">
        <f>A957+60</f>
        <v>61892</v>
      </c>
      <c r="B962" s="54">
        <f t="shared" si="88"/>
        <v>61892</v>
      </c>
      <c r="C962" t="s">
        <v>119</v>
      </c>
      <c r="D962">
        <f t="shared" si="93"/>
        <v>2069</v>
      </c>
      <c r="E962" t="s">
        <v>110</v>
      </c>
      <c r="H962" s="53">
        <f>DATE(K962,4,21)</f>
        <v>62935</v>
      </c>
      <c r="I962" s="54">
        <f t="shared" si="89"/>
        <v>62935</v>
      </c>
      <c r="J962" t="s">
        <v>116</v>
      </c>
      <c r="K962">
        <f t="shared" si="92"/>
        <v>2072</v>
      </c>
      <c r="L962" t="s">
        <v>110</v>
      </c>
    </row>
    <row r="963" spans="1:12" x14ac:dyDescent="0.3">
      <c r="A963" s="53">
        <f>DATE(D963,7,9)</f>
        <v>61918</v>
      </c>
      <c r="B963" s="54">
        <f t="shared" ref="B963:B1026" si="94">A963</f>
        <v>61918</v>
      </c>
      <c r="C963" t="s">
        <v>120</v>
      </c>
      <c r="D963">
        <f t="shared" si="93"/>
        <v>2069</v>
      </c>
      <c r="E963" t="s">
        <v>121</v>
      </c>
      <c r="H963" s="53">
        <f>DATE(K963,5,1)</f>
        <v>62945</v>
      </c>
      <c r="I963" s="54">
        <f t="shared" si="89"/>
        <v>62945</v>
      </c>
      <c r="J963" t="s">
        <v>117</v>
      </c>
      <c r="K963">
        <f t="shared" si="92"/>
        <v>2072</v>
      </c>
      <c r="L963" t="s">
        <v>110</v>
      </c>
    </row>
    <row r="964" spans="1:12" x14ac:dyDescent="0.3">
      <c r="A964" s="53">
        <f>DATE(D964,8,8)</f>
        <v>61948</v>
      </c>
      <c r="B964" s="54">
        <f t="shared" si="94"/>
        <v>61948</v>
      </c>
      <c r="C964" t="s">
        <v>122</v>
      </c>
      <c r="D964">
        <f t="shared" si="93"/>
        <v>2069</v>
      </c>
      <c r="E964" t="s">
        <v>115</v>
      </c>
      <c r="H964" s="53">
        <f>DATE(K964,5,1)+(14-WEEKDAY(DATE(K964,5,1),2))</f>
        <v>62952</v>
      </c>
      <c r="I964" s="54">
        <f t="shared" si="89"/>
        <v>62952</v>
      </c>
      <c r="J964" t="s">
        <v>118</v>
      </c>
      <c r="K964">
        <f t="shared" si="92"/>
        <v>2072</v>
      </c>
      <c r="L964" t="s">
        <v>110</v>
      </c>
    </row>
    <row r="965" spans="1:12" x14ac:dyDescent="0.3">
      <c r="A965" s="53">
        <f>DATE(D965,8,1)+(14-WEEKDAY(DATE(D965,8,1),2))</f>
        <v>61951</v>
      </c>
      <c r="B965" s="54">
        <f t="shared" si="94"/>
        <v>61951</v>
      </c>
      <c r="C965" t="s">
        <v>123</v>
      </c>
      <c r="D965">
        <f t="shared" si="93"/>
        <v>2069</v>
      </c>
      <c r="E965" t="s">
        <v>110</v>
      </c>
      <c r="H965" s="53">
        <f>H961+60</f>
        <v>62984</v>
      </c>
      <c r="I965" s="54">
        <f t="shared" si="89"/>
        <v>62984</v>
      </c>
      <c r="J965" t="s">
        <v>119</v>
      </c>
      <c r="K965">
        <f t="shared" si="92"/>
        <v>2072</v>
      </c>
      <c r="L965" t="s">
        <v>110</v>
      </c>
    </row>
    <row r="966" spans="1:12" x14ac:dyDescent="0.3">
      <c r="A966" s="53">
        <f>DATE(D966,9,7)</f>
        <v>61978</v>
      </c>
      <c r="B966" s="54">
        <f t="shared" si="94"/>
        <v>61978</v>
      </c>
      <c r="C966" t="s">
        <v>124</v>
      </c>
      <c r="D966">
        <f t="shared" si="93"/>
        <v>2069</v>
      </c>
      <c r="E966" t="s">
        <v>110</v>
      </c>
      <c r="H966" s="53">
        <f>DATE(K966,6,19)</f>
        <v>62994</v>
      </c>
      <c r="I966" s="54">
        <f t="shared" si="89"/>
        <v>62994</v>
      </c>
      <c r="J966" t="s">
        <v>114</v>
      </c>
      <c r="K966">
        <f t="shared" si="92"/>
        <v>2072</v>
      </c>
      <c r="L966" t="s">
        <v>115</v>
      </c>
    </row>
    <row r="967" spans="1:12" x14ac:dyDescent="0.3">
      <c r="A967" s="53">
        <f>DATE(D967,10,12)</f>
        <v>62013</v>
      </c>
      <c r="B967" s="54">
        <f t="shared" si="94"/>
        <v>62013</v>
      </c>
      <c r="C967" t="s">
        <v>125</v>
      </c>
      <c r="D967">
        <f t="shared" si="93"/>
        <v>2069</v>
      </c>
      <c r="E967" t="s">
        <v>110</v>
      </c>
      <c r="H967" s="53">
        <f>DATE(K967,7,9)</f>
        <v>63014</v>
      </c>
      <c r="I967" s="54">
        <f t="shared" si="89"/>
        <v>63014</v>
      </c>
      <c r="J967" t="s">
        <v>120</v>
      </c>
      <c r="K967">
        <f t="shared" si="92"/>
        <v>2072</v>
      </c>
      <c r="L967" t="s">
        <v>121</v>
      </c>
    </row>
    <row r="968" spans="1:12" x14ac:dyDescent="0.3">
      <c r="A968" s="53">
        <f>DATE(D968,11,2)</f>
        <v>62034</v>
      </c>
      <c r="B968" s="54">
        <f t="shared" si="94"/>
        <v>62034</v>
      </c>
      <c r="C968" t="s">
        <v>126</v>
      </c>
      <c r="D968">
        <f t="shared" si="93"/>
        <v>2069</v>
      </c>
      <c r="E968" t="s">
        <v>110</v>
      </c>
      <c r="H968" s="53">
        <f>DATE(K968,8,1)+(14-WEEKDAY(DATE(K968,8,1),2))</f>
        <v>63050</v>
      </c>
      <c r="I968" s="54">
        <f t="shared" ref="I968:I1031" si="95">H968</f>
        <v>63050</v>
      </c>
      <c r="J968" t="s">
        <v>123</v>
      </c>
      <c r="K968">
        <f t="shared" si="92"/>
        <v>2072</v>
      </c>
      <c r="L968" t="s">
        <v>110</v>
      </c>
    </row>
    <row r="969" spans="1:12" x14ac:dyDescent="0.3">
      <c r="A969" s="53">
        <f>DATE(D969,11,15)</f>
        <v>62047</v>
      </c>
      <c r="B969" s="54">
        <f t="shared" si="94"/>
        <v>62047</v>
      </c>
      <c r="C969" t="s">
        <v>127</v>
      </c>
      <c r="D969">
        <f t="shared" si="93"/>
        <v>2069</v>
      </c>
      <c r="E969" t="s">
        <v>110</v>
      </c>
      <c r="H969" s="53">
        <f>DATE(K969,9,7)</f>
        <v>63074</v>
      </c>
      <c r="I969" s="54">
        <f t="shared" si="95"/>
        <v>63074</v>
      </c>
      <c r="J969" t="s">
        <v>124</v>
      </c>
      <c r="K969">
        <f t="shared" si="92"/>
        <v>2072</v>
      </c>
      <c r="L969" t="s">
        <v>110</v>
      </c>
    </row>
    <row r="970" spans="1:12" x14ac:dyDescent="0.3">
      <c r="A970" s="53">
        <f>DATE(D970,11,20)</f>
        <v>62052</v>
      </c>
      <c r="B970" s="54">
        <f t="shared" si="94"/>
        <v>62052</v>
      </c>
      <c r="C970" t="s">
        <v>128</v>
      </c>
      <c r="D970">
        <f t="shared" si="93"/>
        <v>2069</v>
      </c>
      <c r="E970" t="s">
        <v>110</v>
      </c>
      <c r="H970" s="53">
        <f>DATE(K970,10,12)</f>
        <v>63109</v>
      </c>
      <c r="I970" s="54">
        <f t="shared" si="95"/>
        <v>63109</v>
      </c>
      <c r="J970" t="s">
        <v>125</v>
      </c>
      <c r="K970">
        <f t="shared" si="92"/>
        <v>2072</v>
      </c>
      <c r="L970" t="s">
        <v>110</v>
      </c>
    </row>
    <row r="971" spans="1:12" x14ac:dyDescent="0.3">
      <c r="A971" s="53">
        <f>DATE(D971,12,25)</f>
        <v>62087</v>
      </c>
      <c r="B971" s="54">
        <f t="shared" si="94"/>
        <v>62087</v>
      </c>
      <c r="C971" t="s">
        <v>129</v>
      </c>
      <c r="D971">
        <f t="shared" si="93"/>
        <v>2069</v>
      </c>
      <c r="E971" t="s">
        <v>110</v>
      </c>
      <c r="H971" s="53">
        <f>DATE(K971,11,2)</f>
        <v>63130</v>
      </c>
      <c r="I971" s="54">
        <f t="shared" si="95"/>
        <v>63130</v>
      </c>
      <c r="J971" t="s">
        <v>126</v>
      </c>
      <c r="K971">
        <f t="shared" si="92"/>
        <v>2072</v>
      </c>
      <c r="L971" t="s">
        <v>110</v>
      </c>
    </row>
    <row r="972" spans="1:12" x14ac:dyDescent="0.3">
      <c r="A972" s="53">
        <f>DATE(D972,1,1)</f>
        <v>62094</v>
      </c>
      <c r="B972" s="54">
        <f t="shared" si="94"/>
        <v>62094</v>
      </c>
      <c r="C972" t="s">
        <v>109</v>
      </c>
      <c r="D972">
        <f>D953+1</f>
        <v>2070</v>
      </c>
      <c r="E972" t="s">
        <v>110</v>
      </c>
      <c r="H972" s="53">
        <f>DATE(K972,11,15)</f>
        <v>63143</v>
      </c>
      <c r="I972" s="54">
        <f t="shared" si="95"/>
        <v>63143</v>
      </c>
      <c r="J972" t="s">
        <v>127</v>
      </c>
      <c r="K972">
        <f t="shared" si="92"/>
        <v>2072</v>
      </c>
      <c r="L972" t="s">
        <v>110</v>
      </c>
    </row>
    <row r="973" spans="1:12" x14ac:dyDescent="0.3">
      <c r="A973" s="53">
        <f>A976-48</f>
        <v>62134</v>
      </c>
      <c r="B973" s="54">
        <f t="shared" si="94"/>
        <v>62134</v>
      </c>
      <c r="C973" t="s">
        <v>111</v>
      </c>
      <c r="D973">
        <f t="shared" si="93"/>
        <v>2070</v>
      </c>
      <c r="E973" t="s">
        <v>110</v>
      </c>
      <c r="H973" s="53">
        <f>DATE(K973,11,20)</f>
        <v>63148</v>
      </c>
      <c r="I973" s="54">
        <f t="shared" si="95"/>
        <v>63148</v>
      </c>
      <c r="J973" t="s">
        <v>128</v>
      </c>
      <c r="K973">
        <f t="shared" si="92"/>
        <v>2072</v>
      </c>
      <c r="L973" t="s">
        <v>110</v>
      </c>
    </row>
    <row r="974" spans="1:12" x14ac:dyDescent="0.3">
      <c r="A974" s="53">
        <f>A976-47</f>
        <v>62135</v>
      </c>
      <c r="B974" s="54">
        <f t="shared" si="94"/>
        <v>62135</v>
      </c>
      <c r="C974" t="s">
        <v>111</v>
      </c>
      <c r="D974">
        <f t="shared" si="93"/>
        <v>2070</v>
      </c>
      <c r="E974" t="s">
        <v>110</v>
      </c>
      <c r="H974" s="53">
        <f>DATE(K974,12,25)</f>
        <v>63183</v>
      </c>
      <c r="I974" s="54">
        <f t="shared" si="95"/>
        <v>63183</v>
      </c>
      <c r="J974" t="s">
        <v>129</v>
      </c>
      <c r="K974">
        <f t="shared" si="92"/>
        <v>2072</v>
      </c>
      <c r="L974" t="s">
        <v>110</v>
      </c>
    </row>
    <row r="975" spans="1:12" x14ac:dyDescent="0.3">
      <c r="A975" s="53">
        <f>A976-2</f>
        <v>62180</v>
      </c>
      <c r="B975" s="54">
        <f t="shared" si="94"/>
        <v>62180</v>
      </c>
      <c r="C975" t="s">
        <v>112</v>
      </c>
      <c r="D975">
        <f t="shared" si="93"/>
        <v>2070</v>
      </c>
      <c r="E975" t="s">
        <v>110</v>
      </c>
      <c r="H975" s="53">
        <f>DATE(K975,1,1)</f>
        <v>63190</v>
      </c>
      <c r="I975" s="54">
        <f t="shared" si="95"/>
        <v>63190</v>
      </c>
      <c r="J975" t="s">
        <v>109</v>
      </c>
      <c r="K975">
        <f>K957+1</f>
        <v>2073</v>
      </c>
      <c r="L975" t="s">
        <v>110</v>
      </c>
    </row>
    <row r="976" spans="1:12" x14ac:dyDescent="0.3">
      <c r="A976" s="53">
        <f>FLOOR(DAY(MINUTE(D976/38)/2+56)&amp;"/5"&amp;"/"&amp;D976,7)-34</f>
        <v>62182</v>
      </c>
      <c r="B976" s="54">
        <f t="shared" si="94"/>
        <v>62182</v>
      </c>
      <c r="C976" t="s">
        <v>113</v>
      </c>
      <c r="D976">
        <f t="shared" si="93"/>
        <v>2070</v>
      </c>
      <c r="E976" t="s">
        <v>110</v>
      </c>
      <c r="H976" s="53">
        <f>H979-48</f>
        <v>63226</v>
      </c>
      <c r="I976" s="54">
        <f t="shared" si="95"/>
        <v>63226</v>
      </c>
      <c r="J976" t="s">
        <v>111</v>
      </c>
      <c r="K976">
        <f t="shared" si="92"/>
        <v>2073</v>
      </c>
      <c r="L976" t="s">
        <v>110</v>
      </c>
    </row>
    <row r="977" spans="1:12" x14ac:dyDescent="0.3">
      <c r="A977" s="53">
        <f>DATE(D977,4,14)</f>
        <v>62197</v>
      </c>
      <c r="B977" s="54">
        <f t="shared" si="94"/>
        <v>62197</v>
      </c>
      <c r="C977" t="s">
        <v>114</v>
      </c>
      <c r="D977">
        <f t="shared" si="93"/>
        <v>2070</v>
      </c>
      <c r="E977" t="s">
        <v>115</v>
      </c>
      <c r="H977" s="53">
        <f>H979-47</f>
        <v>63227</v>
      </c>
      <c r="I977" s="54">
        <f t="shared" si="95"/>
        <v>63227</v>
      </c>
      <c r="J977" t="s">
        <v>111</v>
      </c>
      <c r="K977">
        <f t="shared" si="92"/>
        <v>2073</v>
      </c>
      <c r="L977" t="s">
        <v>110</v>
      </c>
    </row>
    <row r="978" spans="1:12" x14ac:dyDescent="0.3">
      <c r="A978" s="53">
        <f>DATE(D978,4,21)</f>
        <v>62204</v>
      </c>
      <c r="B978" s="54">
        <f t="shared" si="94"/>
        <v>62204</v>
      </c>
      <c r="C978" t="s">
        <v>116</v>
      </c>
      <c r="D978">
        <f t="shared" si="93"/>
        <v>2070</v>
      </c>
      <c r="E978" t="s">
        <v>110</v>
      </c>
      <c r="H978" s="53">
        <f>H979-2</f>
        <v>63272</v>
      </c>
      <c r="I978" s="54">
        <f t="shared" si="95"/>
        <v>63272</v>
      </c>
      <c r="J978" t="s">
        <v>112</v>
      </c>
      <c r="K978">
        <f t="shared" si="92"/>
        <v>2073</v>
      </c>
      <c r="L978" t="s">
        <v>110</v>
      </c>
    </row>
    <row r="979" spans="1:12" x14ac:dyDescent="0.3">
      <c r="A979" s="53">
        <f>DATE(D979,5,1)</f>
        <v>62214</v>
      </c>
      <c r="B979" s="54">
        <f t="shared" si="94"/>
        <v>62214</v>
      </c>
      <c r="C979" t="s">
        <v>117</v>
      </c>
      <c r="D979">
        <f t="shared" si="93"/>
        <v>2070</v>
      </c>
      <c r="E979" t="s">
        <v>110</v>
      </c>
      <c r="H979" s="53">
        <f>FLOOR(DAY(MINUTE(K979/38)/2+56)&amp;"/5"&amp;"/"&amp;K979,7)-34</f>
        <v>63274</v>
      </c>
      <c r="I979" s="54">
        <f t="shared" si="95"/>
        <v>63274</v>
      </c>
      <c r="J979" t="s">
        <v>113</v>
      </c>
      <c r="K979">
        <f t="shared" si="92"/>
        <v>2073</v>
      </c>
      <c r="L979" t="s">
        <v>110</v>
      </c>
    </row>
    <row r="980" spans="1:12" x14ac:dyDescent="0.3">
      <c r="A980" s="53">
        <f>DATE(D980,5,1)+(14-WEEKDAY(DATE(D980,5,1),2))</f>
        <v>62224</v>
      </c>
      <c r="B980" s="54">
        <f t="shared" si="94"/>
        <v>62224</v>
      </c>
      <c r="C980" t="s">
        <v>118</v>
      </c>
      <c r="D980">
        <f t="shared" si="93"/>
        <v>2070</v>
      </c>
      <c r="E980" t="s">
        <v>110</v>
      </c>
      <c r="H980" s="53">
        <f>DATE(K980,4,21)</f>
        <v>63300</v>
      </c>
      <c r="I980" s="54">
        <f t="shared" si="95"/>
        <v>63300</v>
      </c>
      <c r="J980" t="s">
        <v>116</v>
      </c>
      <c r="K980">
        <f t="shared" si="92"/>
        <v>2073</v>
      </c>
      <c r="L980" t="s">
        <v>110</v>
      </c>
    </row>
    <row r="981" spans="1:12" x14ac:dyDescent="0.3">
      <c r="A981" s="53">
        <f>A976+60</f>
        <v>62242</v>
      </c>
      <c r="B981" s="54">
        <f t="shared" si="94"/>
        <v>62242</v>
      </c>
      <c r="C981" t="s">
        <v>119</v>
      </c>
      <c r="D981">
        <f t="shared" si="93"/>
        <v>2070</v>
      </c>
      <c r="E981" t="s">
        <v>110</v>
      </c>
      <c r="H981" s="53">
        <f>DATE(K981,5,1)</f>
        <v>63310</v>
      </c>
      <c r="I981" s="54">
        <f t="shared" si="95"/>
        <v>63310</v>
      </c>
      <c r="J981" t="s">
        <v>117</v>
      </c>
      <c r="K981">
        <f t="shared" si="92"/>
        <v>2073</v>
      </c>
      <c r="L981" t="s">
        <v>110</v>
      </c>
    </row>
    <row r="982" spans="1:12" x14ac:dyDescent="0.3">
      <c r="A982" s="53">
        <f>DATE(D982,7,9)</f>
        <v>62283</v>
      </c>
      <c r="B982" s="54">
        <f t="shared" si="94"/>
        <v>62283</v>
      </c>
      <c r="C982" t="s">
        <v>120</v>
      </c>
      <c r="D982">
        <f t="shared" si="93"/>
        <v>2070</v>
      </c>
      <c r="E982" t="s">
        <v>121</v>
      </c>
      <c r="H982" s="53">
        <f>DATE(K982,5,1)+(14-WEEKDAY(DATE(K982,5,1),2))</f>
        <v>63323</v>
      </c>
      <c r="I982" s="54">
        <f t="shared" si="95"/>
        <v>63323</v>
      </c>
      <c r="J982" t="s">
        <v>118</v>
      </c>
      <c r="K982">
        <f t="shared" si="92"/>
        <v>2073</v>
      </c>
      <c r="L982" t="s">
        <v>110</v>
      </c>
    </row>
    <row r="983" spans="1:12" x14ac:dyDescent="0.3">
      <c r="A983" s="53">
        <f>DATE(D983,8,8)</f>
        <v>62313</v>
      </c>
      <c r="B983" s="54">
        <f t="shared" si="94"/>
        <v>62313</v>
      </c>
      <c r="C983" t="s">
        <v>122</v>
      </c>
      <c r="D983">
        <f t="shared" si="93"/>
        <v>2070</v>
      </c>
      <c r="E983" t="s">
        <v>115</v>
      </c>
      <c r="H983" s="53">
        <f>H979+60</f>
        <v>63334</v>
      </c>
      <c r="I983" s="54">
        <f t="shared" si="95"/>
        <v>63334</v>
      </c>
      <c r="J983" t="s">
        <v>119</v>
      </c>
      <c r="K983">
        <f t="shared" si="92"/>
        <v>2073</v>
      </c>
      <c r="L983" t="s">
        <v>110</v>
      </c>
    </row>
    <row r="984" spans="1:12" x14ac:dyDescent="0.3">
      <c r="A984" s="53">
        <f>DATE(D984,8,1)+(14-WEEKDAY(DATE(D984,8,1),2))</f>
        <v>62315</v>
      </c>
      <c r="B984" s="54">
        <f t="shared" si="94"/>
        <v>62315</v>
      </c>
      <c r="C984" t="s">
        <v>123</v>
      </c>
      <c r="D984">
        <f t="shared" si="93"/>
        <v>2070</v>
      </c>
      <c r="E984" t="s">
        <v>110</v>
      </c>
      <c r="H984" s="53">
        <f>DATE(K984,6,19)</f>
        <v>63359</v>
      </c>
      <c r="I984" s="54">
        <f t="shared" si="95"/>
        <v>63359</v>
      </c>
      <c r="J984" t="s">
        <v>114</v>
      </c>
      <c r="K984">
        <f t="shared" si="92"/>
        <v>2073</v>
      </c>
      <c r="L984" t="s">
        <v>115</v>
      </c>
    </row>
    <row r="985" spans="1:12" x14ac:dyDescent="0.3">
      <c r="A985" s="53">
        <f>DATE(D985,9,7)</f>
        <v>62343</v>
      </c>
      <c r="B985" s="54">
        <f t="shared" si="94"/>
        <v>62343</v>
      </c>
      <c r="C985" t="s">
        <v>124</v>
      </c>
      <c r="D985">
        <f t="shared" si="93"/>
        <v>2070</v>
      </c>
      <c r="E985" t="s">
        <v>110</v>
      </c>
      <c r="H985" s="53">
        <f>DATE(K985,7,9)</f>
        <v>63379</v>
      </c>
      <c r="I985" s="54">
        <f t="shared" si="95"/>
        <v>63379</v>
      </c>
      <c r="J985" t="s">
        <v>120</v>
      </c>
      <c r="K985">
        <f t="shared" si="92"/>
        <v>2073</v>
      </c>
      <c r="L985" t="s">
        <v>121</v>
      </c>
    </row>
    <row r="986" spans="1:12" x14ac:dyDescent="0.3">
      <c r="A986" s="53">
        <f>DATE(D986,10,12)</f>
        <v>62378</v>
      </c>
      <c r="B986" s="54">
        <f t="shared" si="94"/>
        <v>62378</v>
      </c>
      <c r="C986" t="s">
        <v>125</v>
      </c>
      <c r="D986">
        <f t="shared" si="93"/>
        <v>2070</v>
      </c>
      <c r="E986" t="s">
        <v>110</v>
      </c>
      <c r="H986" s="53">
        <f>DATE(K986,8,1)+(14-WEEKDAY(DATE(K986,8,1),2))</f>
        <v>63414</v>
      </c>
      <c r="I986" s="54">
        <f t="shared" si="95"/>
        <v>63414</v>
      </c>
      <c r="J986" t="s">
        <v>123</v>
      </c>
      <c r="K986">
        <f t="shared" ref="K986:K992" si="96">K968+1</f>
        <v>2073</v>
      </c>
      <c r="L986" t="s">
        <v>110</v>
      </c>
    </row>
    <row r="987" spans="1:12" x14ac:dyDescent="0.3">
      <c r="A987" s="53">
        <f>DATE(D987,11,2)</f>
        <v>62399</v>
      </c>
      <c r="B987" s="54">
        <f t="shared" si="94"/>
        <v>62399</v>
      </c>
      <c r="C987" t="s">
        <v>126</v>
      </c>
      <c r="D987">
        <f t="shared" si="93"/>
        <v>2070</v>
      </c>
      <c r="E987" t="s">
        <v>110</v>
      </c>
      <c r="H987" s="53">
        <f>DATE(K987,9,7)</f>
        <v>63439</v>
      </c>
      <c r="I987" s="54">
        <f t="shared" si="95"/>
        <v>63439</v>
      </c>
      <c r="J987" t="s">
        <v>124</v>
      </c>
      <c r="K987">
        <f t="shared" si="96"/>
        <v>2073</v>
      </c>
      <c r="L987" t="s">
        <v>110</v>
      </c>
    </row>
    <row r="988" spans="1:12" x14ac:dyDescent="0.3">
      <c r="A988" s="53">
        <f>DATE(D988,11,15)</f>
        <v>62412</v>
      </c>
      <c r="B988" s="54">
        <f t="shared" si="94"/>
        <v>62412</v>
      </c>
      <c r="C988" t="s">
        <v>127</v>
      </c>
      <c r="D988">
        <f t="shared" si="93"/>
        <v>2070</v>
      </c>
      <c r="E988" t="s">
        <v>110</v>
      </c>
      <c r="H988" s="53">
        <f>DATE(K988,10,12)</f>
        <v>63474</v>
      </c>
      <c r="I988" s="54">
        <f t="shared" si="95"/>
        <v>63474</v>
      </c>
      <c r="J988" t="s">
        <v>125</v>
      </c>
      <c r="K988">
        <f t="shared" si="96"/>
        <v>2073</v>
      </c>
      <c r="L988" t="s">
        <v>110</v>
      </c>
    </row>
    <row r="989" spans="1:12" x14ac:dyDescent="0.3">
      <c r="A989" s="53">
        <f>DATE(D989,11,20)</f>
        <v>62417</v>
      </c>
      <c r="B989" s="54">
        <f t="shared" si="94"/>
        <v>62417</v>
      </c>
      <c r="C989" t="s">
        <v>128</v>
      </c>
      <c r="D989">
        <f t="shared" si="93"/>
        <v>2070</v>
      </c>
      <c r="E989" t="s">
        <v>110</v>
      </c>
      <c r="H989" s="53">
        <f>DATE(K989,11,2)</f>
        <v>63495</v>
      </c>
      <c r="I989" s="54">
        <f t="shared" si="95"/>
        <v>63495</v>
      </c>
      <c r="J989" t="s">
        <v>126</v>
      </c>
      <c r="K989">
        <f t="shared" si="96"/>
        <v>2073</v>
      </c>
      <c r="L989" t="s">
        <v>110</v>
      </c>
    </row>
    <row r="990" spans="1:12" x14ac:dyDescent="0.3">
      <c r="A990" s="53">
        <f>DATE(D990,12,25)</f>
        <v>62452</v>
      </c>
      <c r="B990" s="54">
        <f t="shared" si="94"/>
        <v>62452</v>
      </c>
      <c r="C990" t="s">
        <v>129</v>
      </c>
      <c r="D990">
        <f t="shared" si="93"/>
        <v>2070</v>
      </c>
      <c r="E990" t="s">
        <v>110</v>
      </c>
      <c r="H990" s="53">
        <f>DATE(K990,11,15)</f>
        <v>63508</v>
      </c>
      <c r="I990" s="54">
        <f t="shared" si="95"/>
        <v>63508</v>
      </c>
      <c r="J990" t="s">
        <v>127</v>
      </c>
      <c r="K990">
        <f t="shared" si="96"/>
        <v>2073</v>
      </c>
      <c r="L990" t="s">
        <v>110</v>
      </c>
    </row>
    <row r="991" spans="1:12" x14ac:dyDescent="0.3">
      <c r="A991" s="53">
        <f>DATE(D991,1,1)</f>
        <v>62459</v>
      </c>
      <c r="B991" s="54">
        <f t="shared" si="94"/>
        <v>62459</v>
      </c>
      <c r="C991" t="s">
        <v>109</v>
      </c>
      <c r="D991">
        <f>D972+1</f>
        <v>2071</v>
      </c>
      <c r="E991" t="s">
        <v>110</v>
      </c>
      <c r="H991" s="53">
        <f>DATE(K991,11,20)</f>
        <v>63513</v>
      </c>
      <c r="I991" s="54">
        <f t="shared" si="95"/>
        <v>63513</v>
      </c>
      <c r="J991" t="s">
        <v>128</v>
      </c>
      <c r="K991">
        <f t="shared" si="96"/>
        <v>2073</v>
      </c>
      <c r="L991" t="s">
        <v>110</v>
      </c>
    </row>
    <row r="992" spans="1:12" x14ac:dyDescent="0.3">
      <c r="A992" s="53">
        <f>A995-48</f>
        <v>62519</v>
      </c>
      <c r="B992" s="54">
        <f t="shared" si="94"/>
        <v>62519</v>
      </c>
      <c r="C992" t="s">
        <v>111</v>
      </c>
      <c r="D992">
        <f t="shared" si="93"/>
        <v>2071</v>
      </c>
      <c r="E992" t="s">
        <v>110</v>
      </c>
      <c r="H992" s="53">
        <f>DATE(K992,12,25)</f>
        <v>63548</v>
      </c>
      <c r="I992" s="54">
        <f t="shared" si="95"/>
        <v>63548</v>
      </c>
      <c r="J992" t="s">
        <v>129</v>
      </c>
      <c r="K992">
        <f t="shared" si="96"/>
        <v>2073</v>
      </c>
      <c r="L992" t="s">
        <v>110</v>
      </c>
    </row>
    <row r="993" spans="1:12" x14ac:dyDescent="0.3">
      <c r="A993" s="53">
        <f>A995-47</f>
        <v>62520</v>
      </c>
      <c r="B993" s="54">
        <f t="shared" si="94"/>
        <v>62520</v>
      </c>
      <c r="C993" t="s">
        <v>111</v>
      </c>
      <c r="D993">
        <f t="shared" si="93"/>
        <v>2071</v>
      </c>
      <c r="E993" t="s">
        <v>110</v>
      </c>
      <c r="H993" s="53">
        <f>DATE(K993,1,1)</f>
        <v>63555</v>
      </c>
      <c r="I993" s="54">
        <f t="shared" si="95"/>
        <v>63555</v>
      </c>
      <c r="J993" t="s">
        <v>109</v>
      </c>
      <c r="K993">
        <f>K975+1</f>
        <v>2074</v>
      </c>
      <c r="L993" t="s">
        <v>110</v>
      </c>
    </row>
    <row r="994" spans="1:12" x14ac:dyDescent="0.3">
      <c r="A994" s="53">
        <f>A995-2</f>
        <v>62565</v>
      </c>
      <c r="B994" s="54">
        <f t="shared" si="94"/>
        <v>62565</v>
      </c>
      <c r="C994" t="s">
        <v>112</v>
      </c>
      <c r="D994">
        <f t="shared" si="93"/>
        <v>2071</v>
      </c>
      <c r="E994" t="s">
        <v>110</v>
      </c>
      <c r="H994" s="53">
        <f>H997-48</f>
        <v>63611</v>
      </c>
      <c r="I994" s="54">
        <f t="shared" si="95"/>
        <v>63611</v>
      </c>
      <c r="J994" t="s">
        <v>111</v>
      </c>
      <c r="K994">
        <f t="shared" ref="K994:K1010" si="97">K976+1</f>
        <v>2074</v>
      </c>
      <c r="L994" t="s">
        <v>110</v>
      </c>
    </row>
    <row r="995" spans="1:12" x14ac:dyDescent="0.3">
      <c r="A995" s="53">
        <f>FLOOR(DAY(MINUTE(D995/38)/2+56)&amp;"/5"&amp;"/"&amp;D995,7)-34</f>
        <v>62567</v>
      </c>
      <c r="B995" s="54">
        <f t="shared" si="94"/>
        <v>62567</v>
      </c>
      <c r="C995" t="s">
        <v>113</v>
      </c>
      <c r="D995">
        <f t="shared" si="93"/>
        <v>2071</v>
      </c>
      <c r="E995" t="s">
        <v>110</v>
      </c>
      <c r="H995" s="53">
        <f>H997-47</f>
        <v>63612</v>
      </c>
      <c r="I995" s="54">
        <f t="shared" si="95"/>
        <v>63612</v>
      </c>
      <c r="J995" t="s">
        <v>111</v>
      </c>
      <c r="K995">
        <f t="shared" si="97"/>
        <v>2074</v>
      </c>
      <c r="L995" t="s">
        <v>110</v>
      </c>
    </row>
    <row r="996" spans="1:12" x14ac:dyDescent="0.3">
      <c r="A996" s="53">
        <f>DATE(D996,4,14)</f>
        <v>62562</v>
      </c>
      <c r="B996" s="54">
        <f t="shared" si="94"/>
        <v>62562</v>
      </c>
      <c r="C996" t="s">
        <v>114</v>
      </c>
      <c r="D996">
        <f t="shared" si="93"/>
        <v>2071</v>
      </c>
      <c r="E996" t="s">
        <v>115</v>
      </c>
      <c r="H996" s="53">
        <f>H997-2</f>
        <v>63657</v>
      </c>
      <c r="I996" s="54">
        <f t="shared" si="95"/>
        <v>63657</v>
      </c>
      <c r="J996" t="s">
        <v>112</v>
      </c>
      <c r="K996">
        <f t="shared" si="97"/>
        <v>2074</v>
      </c>
      <c r="L996" t="s">
        <v>110</v>
      </c>
    </row>
    <row r="997" spans="1:12" x14ac:dyDescent="0.3">
      <c r="A997" s="53">
        <f>DATE(D997,4,21)</f>
        <v>62569</v>
      </c>
      <c r="B997" s="54">
        <f t="shared" si="94"/>
        <v>62569</v>
      </c>
      <c r="C997" t="s">
        <v>116</v>
      </c>
      <c r="D997">
        <f t="shared" si="93"/>
        <v>2071</v>
      </c>
      <c r="E997" t="s">
        <v>110</v>
      </c>
      <c r="H997" s="53">
        <f>FLOOR(DAY(MINUTE(K997/38)/2+56)&amp;"/5"&amp;"/"&amp;K997,7)-34</f>
        <v>63659</v>
      </c>
      <c r="I997" s="54">
        <f t="shared" si="95"/>
        <v>63659</v>
      </c>
      <c r="J997" t="s">
        <v>113</v>
      </c>
      <c r="K997">
        <f t="shared" si="97"/>
        <v>2074</v>
      </c>
      <c r="L997" t="s">
        <v>110</v>
      </c>
    </row>
    <row r="998" spans="1:12" x14ac:dyDescent="0.3">
      <c r="A998" s="53">
        <f>DATE(D998,5,1)</f>
        <v>62579</v>
      </c>
      <c r="B998" s="54">
        <f t="shared" si="94"/>
        <v>62579</v>
      </c>
      <c r="C998" t="s">
        <v>117</v>
      </c>
      <c r="D998">
        <f t="shared" si="93"/>
        <v>2071</v>
      </c>
      <c r="E998" t="s">
        <v>110</v>
      </c>
      <c r="H998" s="53">
        <f>DATE(K998,4,21)</f>
        <v>63665</v>
      </c>
      <c r="I998" s="54">
        <f t="shared" si="95"/>
        <v>63665</v>
      </c>
      <c r="J998" t="s">
        <v>116</v>
      </c>
      <c r="K998">
        <f t="shared" si="97"/>
        <v>2074</v>
      </c>
      <c r="L998" t="s">
        <v>110</v>
      </c>
    </row>
    <row r="999" spans="1:12" x14ac:dyDescent="0.3">
      <c r="A999" s="53">
        <f>DATE(D999,5,1)+(14-WEEKDAY(DATE(D999,5,1),2))</f>
        <v>62588</v>
      </c>
      <c r="B999" s="54">
        <f t="shared" si="94"/>
        <v>62588</v>
      </c>
      <c r="C999" t="s">
        <v>118</v>
      </c>
      <c r="D999">
        <f t="shared" ref="D999:D1009" si="98">D980+1</f>
        <v>2071</v>
      </c>
      <c r="E999" t="s">
        <v>110</v>
      </c>
      <c r="H999" s="53">
        <f>DATE(K999,5,1)</f>
        <v>63675</v>
      </c>
      <c r="I999" s="54">
        <f t="shared" si="95"/>
        <v>63675</v>
      </c>
      <c r="J999" t="s">
        <v>117</v>
      </c>
      <c r="K999">
        <f t="shared" si="97"/>
        <v>2074</v>
      </c>
      <c r="L999" t="s">
        <v>110</v>
      </c>
    </row>
    <row r="1000" spans="1:12" x14ac:dyDescent="0.3">
      <c r="A1000" s="53">
        <f>A995+60</f>
        <v>62627</v>
      </c>
      <c r="B1000" s="54">
        <f t="shared" si="94"/>
        <v>62627</v>
      </c>
      <c r="C1000" t="s">
        <v>119</v>
      </c>
      <c r="D1000">
        <f t="shared" si="98"/>
        <v>2071</v>
      </c>
      <c r="E1000" t="s">
        <v>110</v>
      </c>
      <c r="H1000" s="53">
        <f>DATE(K1000,5,1)+(14-WEEKDAY(DATE(K1000,5,1),2))</f>
        <v>63687</v>
      </c>
      <c r="I1000" s="54">
        <f t="shared" si="95"/>
        <v>63687</v>
      </c>
      <c r="J1000" t="s">
        <v>118</v>
      </c>
      <c r="K1000">
        <f t="shared" si="97"/>
        <v>2074</v>
      </c>
      <c r="L1000" t="s">
        <v>110</v>
      </c>
    </row>
    <row r="1001" spans="1:12" x14ac:dyDescent="0.3">
      <c r="A1001" s="53">
        <f>DATE(D1001,7,9)</f>
        <v>62648</v>
      </c>
      <c r="B1001" s="54">
        <f t="shared" si="94"/>
        <v>62648</v>
      </c>
      <c r="C1001" t="s">
        <v>120</v>
      </c>
      <c r="D1001">
        <f t="shared" si="98"/>
        <v>2071</v>
      </c>
      <c r="E1001" t="s">
        <v>121</v>
      </c>
      <c r="H1001" s="53">
        <f>H997+60</f>
        <v>63719</v>
      </c>
      <c r="I1001" s="54">
        <f t="shared" si="95"/>
        <v>63719</v>
      </c>
      <c r="J1001" t="s">
        <v>119</v>
      </c>
      <c r="K1001">
        <f t="shared" si="97"/>
        <v>2074</v>
      </c>
      <c r="L1001" t="s">
        <v>110</v>
      </c>
    </row>
    <row r="1002" spans="1:12" x14ac:dyDescent="0.3">
      <c r="A1002" s="53">
        <f>DATE(D1002,8,8)</f>
        <v>62678</v>
      </c>
      <c r="B1002" s="54">
        <f t="shared" si="94"/>
        <v>62678</v>
      </c>
      <c r="C1002" t="s">
        <v>122</v>
      </c>
      <c r="D1002">
        <f t="shared" si="98"/>
        <v>2071</v>
      </c>
      <c r="E1002" t="s">
        <v>115</v>
      </c>
      <c r="H1002" s="53">
        <f>DATE(K1002,6,19)</f>
        <v>63724</v>
      </c>
      <c r="I1002" s="54">
        <f t="shared" si="95"/>
        <v>63724</v>
      </c>
      <c r="J1002" t="s">
        <v>114</v>
      </c>
      <c r="K1002">
        <f t="shared" si="97"/>
        <v>2074</v>
      </c>
      <c r="L1002" t="s">
        <v>115</v>
      </c>
    </row>
    <row r="1003" spans="1:12" x14ac:dyDescent="0.3">
      <c r="A1003" s="53">
        <f>DATE(D1003,8,1)+(14-WEEKDAY(DATE(D1003,8,1),2))</f>
        <v>62679</v>
      </c>
      <c r="B1003" s="54">
        <f t="shared" si="94"/>
        <v>62679</v>
      </c>
      <c r="C1003" t="s">
        <v>123</v>
      </c>
      <c r="D1003">
        <f t="shared" si="98"/>
        <v>2071</v>
      </c>
      <c r="E1003" t="s">
        <v>110</v>
      </c>
      <c r="H1003" s="53">
        <f>DATE(K1003,7,9)</f>
        <v>63744</v>
      </c>
      <c r="I1003" s="54">
        <f t="shared" si="95"/>
        <v>63744</v>
      </c>
      <c r="J1003" t="s">
        <v>120</v>
      </c>
      <c r="K1003">
        <f t="shared" si="97"/>
        <v>2074</v>
      </c>
      <c r="L1003" t="s">
        <v>121</v>
      </c>
    </row>
    <row r="1004" spans="1:12" x14ac:dyDescent="0.3">
      <c r="A1004" s="53">
        <f>DATE(D1004,9,7)</f>
        <v>62708</v>
      </c>
      <c r="B1004" s="54">
        <f t="shared" si="94"/>
        <v>62708</v>
      </c>
      <c r="C1004" t="s">
        <v>124</v>
      </c>
      <c r="D1004">
        <f t="shared" si="98"/>
        <v>2071</v>
      </c>
      <c r="E1004" t="s">
        <v>110</v>
      </c>
      <c r="H1004" s="53">
        <f>DATE(K1004,8,1)+(14-WEEKDAY(DATE(K1004,8,1),2))</f>
        <v>63778</v>
      </c>
      <c r="I1004" s="54">
        <f t="shared" si="95"/>
        <v>63778</v>
      </c>
      <c r="J1004" t="s">
        <v>123</v>
      </c>
      <c r="K1004">
        <f t="shared" si="97"/>
        <v>2074</v>
      </c>
      <c r="L1004" t="s">
        <v>110</v>
      </c>
    </row>
    <row r="1005" spans="1:12" x14ac:dyDescent="0.3">
      <c r="A1005" s="53">
        <f>DATE(D1005,10,12)</f>
        <v>62743</v>
      </c>
      <c r="B1005" s="54">
        <f t="shared" si="94"/>
        <v>62743</v>
      </c>
      <c r="C1005" t="s">
        <v>125</v>
      </c>
      <c r="D1005">
        <f t="shared" si="98"/>
        <v>2071</v>
      </c>
      <c r="E1005" t="s">
        <v>110</v>
      </c>
      <c r="H1005" s="53">
        <f>DATE(K1005,9,7)</f>
        <v>63804</v>
      </c>
      <c r="I1005" s="54">
        <f t="shared" si="95"/>
        <v>63804</v>
      </c>
      <c r="J1005" t="s">
        <v>124</v>
      </c>
      <c r="K1005">
        <f t="shared" si="97"/>
        <v>2074</v>
      </c>
      <c r="L1005" t="s">
        <v>110</v>
      </c>
    </row>
    <row r="1006" spans="1:12" x14ac:dyDescent="0.3">
      <c r="A1006" s="53">
        <f>DATE(D1006,11,2)</f>
        <v>62764</v>
      </c>
      <c r="B1006" s="54">
        <f t="shared" si="94"/>
        <v>62764</v>
      </c>
      <c r="C1006" t="s">
        <v>126</v>
      </c>
      <c r="D1006">
        <f t="shared" si="98"/>
        <v>2071</v>
      </c>
      <c r="E1006" t="s">
        <v>110</v>
      </c>
      <c r="H1006" s="53">
        <f>DATE(K1006,10,12)</f>
        <v>63839</v>
      </c>
      <c r="I1006" s="54">
        <f t="shared" si="95"/>
        <v>63839</v>
      </c>
      <c r="J1006" t="s">
        <v>125</v>
      </c>
      <c r="K1006">
        <f t="shared" si="97"/>
        <v>2074</v>
      </c>
      <c r="L1006" t="s">
        <v>110</v>
      </c>
    </row>
    <row r="1007" spans="1:12" x14ac:dyDescent="0.3">
      <c r="A1007" s="53">
        <f>DATE(D1007,11,15)</f>
        <v>62777</v>
      </c>
      <c r="B1007" s="54">
        <f t="shared" si="94"/>
        <v>62777</v>
      </c>
      <c r="C1007" t="s">
        <v>127</v>
      </c>
      <c r="D1007">
        <f t="shared" si="98"/>
        <v>2071</v>
      </c>
      <c r="E1007" t="s">
        <v>110</v>
      </c>
      <c r="H1007" s="53">
        <f>DATE(K1007,11,2)</f>
        <v>63860</v>
      </c>
      <c r="I1007" s="54">
        <f t="shared" si="95"/>
        <v>63860</v>
      </c>
      <c r="J1007" t="s">
        <v>126</v>
      </c>
      <c r="K1007">
        <f t="shared" si="97"/>
        <v>2074</v>
      </c>
      <c r="L1007" t="s">
        <v>110</v>
      </c>
    </row>
    <row r="1008" spans="1:12" x14ac:dyDescent="0.3">
      <c r="A1008" s="53">
        <f>DATE(D1008,11,20)</f>
        <v>62782</v>
      </c>
      <c r="B1008" s="54">
        <f t="shared" si="94"/>
        <v>62782</v>
      </c>
      <c r="C1008" t="s">
        <v>128</v>
      </c>
      <c r="D1008">
        <f t="shared" si="98"/>
        <v>2071</v>
      </c>
      <c r="E1008" t="s">
        <v>110</v>
      </c>
      <c r="H1008" s="53">
        <f>DATE(K1008,11,15)</f>
        <v>63873</v>
      </c>
      <c r="I1008" s="54">
        <f t="shared" si="95"/>
        <v>63873</v>
      </c>
      <c r="J1008" t="s">
        <v>127</v>
      </c>
      <c r="K1008">
        <f t="shared" si="97"/>
        <v>2074</v>
      </c>
      <c r="L1008" t="s">
        <v>110</v>
      </c>
    </row>
    <row r="1009" spans="1:12" x14ac:dyDescent="0.3">
      <c r="A1009" s="53">
        <f>DATE(D1009,12,25)</f>
        <v>62817</v>
      </c>
      <c r="B1009" s="54">
        <f t="shared" si="94"/>
        <v>62817</v>
      </c>
      <c r="C1009" t="s">
        <v>129</v>
      </c>
      <c r="D1009">
        <f t="shared" si="98"/>
        <v>2071</v>
      </c>
      <c r="E1009" t="s">
        <v>110</v>
      </c>
      <c r="H1009" s="53">
        <f>DATE(K1009,11,20)</f>
        <v>63878</v>
      </c>
      <c r="I1009" s="54">
        <f t="shared" si="95"/>
        <v>63878</v>
      </c>
      <c r="J1009" t="s">
        <v>128</v>
      </c>
      <c r="K1009">
        <f t="shared" si="97"/>
        <v>2074</v>
      </c>
      <c r="L1009" t="s">
        <v>110</v>
      </c>
    </row>
    <row r="1010" spans="1:12" x14ac:dyDescent="0.3">
      <c r="A1010" s="53">
        <f>DATE(D1010,1,1)</f>
        <v>62824</v>
      </c>
      <c r="B1010" s="54">
        <f t="shared" si="94"/>
        <v>62824</v>
      </c>
      <c r="C1010" t="s">
        <v>109</v>
      </c>
      <c r="D1010">
        <f>D991+1</f>
        <v>2072</v>
      </c>
      <c r="E1010" t="s">
        <v>110</v>
      </c>
      <c r="H1010" s="53">
        <f>DATE(K1010,12,25)</f>
        <v>63913</v>
      </c>
      <c r="I1010" s="54">
        <f t="shared" si="95"/>
        <v>63913</v>
      </c>
      <c r="J1010" t="s">
        <v>129</v>
      </c>
      <c r="K1010">
        <f t="shared" si="97"/>
        <v>2074</v>
      </c>
      <c r="L1010" t="s">
        <v>110</v>
      </c>
    </row>
    <row r="1011" spans="1:12" x14ac:dyDescent="0.3">
      <c r="A1011" s="53">
        <f>A1014-48</f>
        <v>62876</v>
      </c>
      <c r="B1011" s="54">
        <f t="shared" si="94"/>
        <v>62876</v>
      </c>
      <c r="C1011" t="s">
        <v>111</v>
      </c>
      <c r="D1011">
        <f t="shared" ref="D1011:D1028" si="99">D992+1</f>
        <v>2072</v>
      </c>
      <c r="E1011" t="s">
        <v>110</v>
      </c>
      <c r="H1011" s="53">
        <f>DATE(K1011,1,1)</f>
        <v>63920</v>
      </c>
      <c r="I1011" s="54">
        <f t="shared" si="95"/>
        <v>63920</v>
      </c>
      <c r="J1011" t="s">
        <v>109</v>
      </c>
      <c r="K1011">
        <f>K993+1</f>
        <v>2075</v>
      </c>
      <c r="L1011" t="s">
        <v>110</v>
      </c>
    </row>
    <row r="1012" spans="1:12" x14ac:dyDescent="0.3">
      <c r="A1012" s="53">
        <f>A1014-47</f>
        <v>62877</v>
      </c>
      <c r="B1012" s="54">
        <f t="shared" si="94"/>
        <v>62877</v>
      </c>
      <c r="C1012" t="s">
        <v>111</v>
      </c>
      <c r="D1012">
        <f t="shared" si="99"/>
        <v>2072</v>
      </c>
      <c r="E1012" t="s">
        <v>110</v>
      </c>
      <c r="H1012" s="53">
        <f>H1015-48</f>
        <v>63968</v>
      </c>
      <c r="I1012" s="54">
        <f t="shared" si="95"/>
        <v>63968</v>
      </c>
      <c r="J1012" t="s">
        <v>111</v>
      </c>
      <c r="K1012">
        <f t="shared" ref="K1012:K1075" si="100">K994+1</f>
        <v>2075</v>
      </c>
      <c r="L1012" t="s">
        <v>110</v>
      </c>
    </row>
    <row r="1013" spans="1:12" x14ac:dyDescent="0.3">
      <c r="A1013" s="53">
        <f>A1014-2</f>
        <v>62922</v>
      </c>
      <c r="B1013" s="54">
        <f t="shared" si="94"/>
        <v>62922</v>
      </c>
      <c r="C1013" t="s">
        <v>112</v>
      </c>
      <c r="D1013">
        <f t="shared" si="99"/>
        <v>2072</v>
      </c>
      <c r="E1013" t="s">
        <v>110</v>
      </c>
      <c r="H1013" s="53">
        <f>H1015-47</f>
        <v>63969</v>
      </c>
      <c r="I1013" s="54">
        <f t="shared" si="95"/>
        <v>63969</v>
      </c>
      <c r="J1013" t="s">
        <v>111</v>
      </c>
      <c r="K1013">
        <f t="shared" si="100"/>
        <v>2075</v>
      </c>
      <c r="L1013" t="s">
        <v>110</v>
      </c>
    </row>
    <row r="1014" spans="1:12" x14ac:dyDescent="0.3">
      <c r="A1014" s="53">
        <f>FLOOR(DAY(MINUTE(D1014/38)/2+56)&amp;"/5"&amp;"/"&amp;D1014,7)-34</f>
        <v>62924</v>
      </c>
      <c r="B1014" s="54">
        <f t="shared" si="94"/>
        <v>62924</v>
      </c>
      <c r="C1014" t="s">
        <v>113</v>
      </c>
      <c r="D1014">
        <f t="shared" si="99"/>
        <v>2072</v>
      </c>
      <c r="E1014" t="s">
        <v>110</v>
      </c>
      <c r="H1014" s="53">
        <f>H1015-2</f>
        <v>64014</v>
      </c>
      <c r="I1014" s="54">
        <f t="shared" si="95"/>
        <v>64014</v>
      </c>
      <c r="J1014" t="s">
        <v>112</v>
      </c>
      <c r="K1014">
        <f t="shared" si="100"/>
        <v>2075</v>
      </c>
      <c r="L1014" t="s">
        <v>110</v>
      </c>
    </row>
    <row r="1015" spans="1:12" x14ac:dyDescent="0.3">
      <c r="A1015" s="53">
        <f>DATE(D1015,4,14)</f>
        <v>62928</v>
      </c>
      <c r="B1015" s="54">
        <f t="shared" si="94"/>
        <v>62928</v>
      </c>
      <c r="C1015" t="s">
        <v>114</v>
      </c>
      <c r="D1015">
        <f t="shared" si="99"/>
        <v>2072</v>
      </c>
      <c r="E1015" t="s">
        <v>115</v>
      </c>
      <c r="H1015" s="53">
        <f>FLOOR(DAY(MINUTE(K1015/38)/2+56)&amp;"/5"&amp;"/"&amp;K1015,7)-34</f>
        <v>64016</v>
      </c>
      <c r="I1015" s="54">
        <f t="shared" si="95"/>
        <v>64016</v>
      </c>
      <c r="J1015" t="s">
        <v>113</v>
      </c>
      <c r="K1015">
        <f t="shared" si="100"/>
        <v>2075</v>
      </c>
      <c r="L1015" t="s">
        <v>110</v>
      </c>
    </row>
    <row r="1016" spans="1:12" x14ac:dyDescent="0.3">
      <c r="A1016" s="53">
        <f>DATE(D1016,4,21)</f>
        <v>62935</v>
      </c>
      <c r="B1016" s="54">
        <f t="shared" si="94"/>
        <v>62935</v>
      </c>
      <c r="C1016" t="s">
        <v>116</v>
      </c>
      <c r="D1016">
        <f t="shared" si="99"/>
        <v>2072</v>
      </c>
      <c r="E1016" t="s">
        <v>110</v>
      </c>
      <c r="H1016" s="53">
        <f>DATE(K1016,4,21)</f>
        <v>64030</v>
      </c>
      <c r="I1016" s="54">
        <f t="shared" si="95"/>
        <v>64030</v>
      </c>
      <c r="J1016" t="s">
        <v>116</v>
      </c>
      <c r="K1016">
        <f t="shared" si="100"/>
        <v>2075</v>
      </c>
      <c r="L1016" t="s">
        <v>110</v>
      </c>
    </row>
    <row r="1017" spans="1:12" x14ac:dyDescent="0.3">
      <c r="A1017" s="53">
        <f>DATE(D1017,5,1)</f>
        <v>62945</v>
      </c>
      <c r="B1017" s="54">
        <f t="shared" si="94"/>
        <v>62945</v>
      </c>
      <c r="C1017" t="s">
        <v>117</v>
      </c>
      <c r="D1017">
        <f t="shared" si="99"/>
        <v>2072</v>
      </c>
      <c r="E1017" t="s">
        <v>110</v>
      </c>
      <c r="H1017" s="53">
        <f>DATE(K1017,5,1)</f>
        <v>64040</v>
      </c>
      <c r="I1017" s="54">
        <f t="shared" si="95"/>
        <v>64040</v>
      </c>
      <c r="J1017" t="s">
        <v>117</v>
      </c>
      <c r="K1017">
        <f t="shared" si="100"/>
        <v>2075</v>
      </c>
      <c r="L1017" t="s">
        <v>110</v>
      </c>
    </row>
    <row r="1018" spans="1:12" x14ac:dyDescent="0.3">
      <c r="A1018" s="53">
        <f>DATE(D1018,5,1)+(14-WEEKDAY(DATE(D1018,5,1),2))</f>
        <v>62952</v>
      </c>
      <c r="B1018" s="54">
        <f t="shared" si="94"/>
        <v>62952</v>
      </c>
      <c r="C1018" t="s">
        <v>118</v>
      </c>
      <c r="D1018">
        <f t="shared" si="99"/>
        <v>2072</v>
      </c>
      <c r="E1018" t="s">
        <v>110</v>
      </c>
      <c r="H1018" s="53">
        <f>DATE(K1018,5,1)+(14-WEEKDAY(DATE(K1018,5,1),2))</f>
        <v>64051</v>
      </c>
      <c r="I1018" s="54">
        <f t="shared" si="95"/>
        <v>64051</v>
      </c>
      <c r="J1018" t="s">
        <v>118</v>
      </c>
      <c r="K1018">
        <f t="shared" si="100"/>
        <v>2075</v>
      </c>
      <c r="L1018" t="s">
        <v>110</v>
      </c>
    </row>
    <row r="1019" spans="1:12" x14ac:dyDescent="0.3">
      <c r="A1019" s="53">
        <f>A1014+60</f>
        <v>62984</v>
      </c>
      <c r="B1019" s="54">
        <f t="shared" si="94"/>
        <v>62984</v>
      </c>
      <c r="C1019" t="s">
        <v>119</v>
      </c>
      <c r="D1019">
        <f t="shared" si="99"/>
        <v>2072</v>
      </c>
      <c r="E1019" t="s">
        <v>110</v>
      </c>
      <c r="H1019" s="53">
        <f>H1015+60</f>
        <v>64076</v>
      </c>
      <c r="I1019" s="54">
        <f t="shared" si="95"/>
        <v>64076</v>
      </c>
      <c r="J1019" t="s">
        <v>119</v>
      </c>
      <c r="K1019">
        <f t="shared" si="100"/>
        <v>2075</v>
      </c>
      <c r="L1019" t="s">
        <v>110</v>
      </c>
    </row>
    <row r="1020" spans="1:12" x14ac:dyDescent="0.3">
      <c r="A1020" s="53">
        <f>DATE(D1020,7,9)</f>
        <v>63014</v>
      </c>
      <c r="B1020" s="54">
        <f t="shared" si="94"/>
        <v>63014</v>
      </c>
      <c r="C1020" t="s">
        <v>120</v>
      </c>
      <c r="D1020">
        <f t="shared" si="99"/>
        <v>2072</v>
      </c>
      <c r="E1020" t="s">
        <v>121</v>
      </c>
      <c r="H1020" s="53">
        <f>DATE(K1020,6,19)</f>
        <v>64089</v>
      </c>
      <c r="I1020" s="54">
        <f t="shared" si="95"/>
        <v>64089</v>
      </c>
      <c r="J1020" t="s">
        <v>114</v>
      </c>
      <c r="K1020">
        <f t="shared" si="100"/>
        <v>2075</v>
      </c>
      <c r="L1020" t="s">
        <v>115</v>
      </c>
    </row>
    <row r="1021" spans="1:12" x14ac:dyDescent="0.3">
      <c r="A1021" s="53">
        <f>DATE(D1021,8,8)</f>
        <v>63044</v>
      </c>
      <c r="B1021" s="54">
        <f t="shared" si="94"/>
        <v>63044</v>
      </c>
      <c r="C1021" t="s">
        <v>122</v>
      </c>
      <c r="D1021">
        <f t="shared" si="99"/>
        <v>2072</v>
      </c>
      <c r="E1021" t="s">
        <v>115</v>
      </c>
      <c r="H1021" s="53">
        <f>DATE(K1021,7,9)</f>
        <v>64109</v>
      </c>
      <c r="I1021" s="54">
        <f t="shared" si="95"/>
        <v>64109</v>
      </c>
      <c r="J1021" t="s">
        <v>120</v>
      </c>
      <c r="K1021">
        <f t="shared" si="100"/>
        <v>2075</v>
      </c>
      <c r="L1021" t="s">
        <v>121</v>
      </c>
    </row>
    <row r="1022" spans="1:12" x14ac:dyDescent="0.3">
      <c r="A1022" s="53">
        <f>DATE(D1022,8,1)+(14-WEEKDAY(DATE(D1022,8,1),2))</f>
        <v>63050</v>
      </c>
      <c r="B1022" s="54">
        <f t="shared" si="94"/>
        <v>63050</v>
      </c>
      <c r="C1022" t="s">
        <v>123</v>
      </c>
      <c r="D1022">
        <f t="shared" si="99"/>
        <v>2072</v>
      </c>
      <c r="E1022" t="s">
        <v>110</v>
      </c>
      <c r="H1022" s="53">
        <f>DATE(K1022,8,1)+(14-WEEKDAY(DATE(K1022,8,1),2))</f>
        <v>64142</v>
      </c>
      <c r="I1022" s="54">
        <f t="shared" si="95"/>
        <v>64142</v>
      </c>
      <c r="J1022" t="s">
        <v>123</v>
      </c>
      <c r="K1022">
        <f t="shared" si="100"/>
        <v>2075</v>
      </c>
      <c r="L1022" t="s">
        <v>110</v>
      </c>
    </row>
    <row r="1023" spans="1:12" x14ac:dyDescent="0.3">
      <c r="A1023" s="53">
        <f>DATE(D1023,9,7)</f>
        <v>63074</v>
      </c>
      <c r="B1023" s="54">
        <f t="shared" si="94"/>
        <v>63074</v>
      </c>
      <c r="C1023" t="s">
        <v>124</v>
      </c>
      <c r="D1023">
        <f t="shared" si="99"/>
        <v>2072</v>
      </c>
      <c r="E1023" t="s">
        <v>110</v>
      </c>
      <c r="H1023" s="53">
        <f>DATE(K1023,9,7)</f>
        <v>64169</v>
      </c>
      <c r="I1023" s="54">
        <f t="shared" si="95"/>
        <v>64169</v>
      </c>
      <c r="J1023" t="s">
        <v>124</v>
      </c>
      <c r="K1023">
        <f t="shared" si="100"/>
        <v>2075</v>
      </c>
      <c r="L1023" t="s">
        <v>110</v>
      </c>
    </row>
    <row r="1024" spans="1:12" x14ac:dyDescent="0.3">
      <c r="A1024" s="53">
        <f>DATE(D1024,10,12)</f>
        <v>63109</v>
      </c>
      <c r="B1024" s="54">
        <f t="shared" si="94"/>
        <v>63109</v>
      </c>
      <c r="C1024" t="s">
        <v>125</v>
      </c>
      <c r="D1024">
        <f t="shared" si="99"/>
        <v>2072</v>
      </c>
      <c r="E1024" t="s">
        <v>110</v>
      </c>
      <c r="H1024" s="53">
        <f>DATE(K1024,10,12)</f>
        <v>64204</v>
      </c>
      <c r="I1024" s="54">
        <f t="shared" si="95"/>
        <v>64204</v>
      </c>
      <c r="J1024" t="s">
        <v>125</v>
      </c>
      <c r="K1024">
        <f t="shared" si="100"/>
        <v>2075</v>
      </c>
      <c r="L1024" t="s">
        <v>110</v>
      </c>
    </row>
    <row r="1025" spans="1:12" x14ac:dyDescent="0.3">
      <c r="A1025" s="53">
        <f>DATE(D1025,11,2)</f>
        <v>63130</v>
      </c>
      <c r="B1025" s="54">
        <f t="shared" si="94"/>
        <v>63130</v>
      </c>
      <c r="C1025" t="s">
        <v>126</v>
      </c>
      <c r="D1025">
        <f t="shared" si="99"/>
        <v>2072</v>
      </c>
      <c r="E1025" t="s">
        <v>110</v>
      </c>
      <c r="H1025" s="53">
        <f>DATE(K1025,11,2)</f>
        <v>64225</v>
      </c>
      <c r="I1025" s="54">
        <f t="shared" si="95"/>
        <v>64225</v>
      </c>
      <c r="J1025" t="s">
        <v>126</v>
      </c>
      <c r="K1025">
        <f t="shared" si="100"/>
        <v>2075</v>
      </c>
      <c r="L1025" t="s">
        <v>110</v>
      </c>
    </row>
    <row r="1026" spans="1:12" x14ac:dyDescent="0.3">
      <c r="A1026" s="53">
        <f>DATE(D1026,11,15)</f>
        <v>63143</v>
      </c>
      <c r="B1026" s="54">
        <f t="shared" si="94"/>
        <v>63143</v>
      </c>
      <c r="C1026" t="s">
        <v>127</v>
      </c>
      <c r="D1026">
        <f t="shared" si="99"/>
        <v>2072</v>
      </c>
      <c r="E1026" t="s">
        <v>110</v>
      </c>
      <c r="H1026" s="53">
        <f>DATE(K1026,11,15)</f>
        <v>64238</v>
      </c>
      <c r="I1026" s="54">
        <f t="shared" si="95"/>
        <v>64238</v>
      </c>
      <c r="J1026" t="s">
        <v>127</v>
      </c>
      <c r="K1026">
        <f t="shared" si="100"/>
        <v>2075</v>
      </c>
      <c r="L1026" t="s">
        <v>110</v>
      </c>
    </row>
    <row r="1027" spans="1:12" x14ac:dyDescent="0.3">
      <c r="A1027" s="53">
        <f>DATE(D1027,11,20)</f>
        <v>63148</v>
      </c>
      <c r="B1027" s="54">
        <f t="shared" ref="B1027:B1090" si="101">A1027</f>
        <v>63148</v>
      </c>
      <c r="C1027" t="s">
        <v>128</v>
      </c>
      <c r="D1027">
        <f t="shared" si="99"/>
        <v>2072</v>
      </c>
      <c r="E1027" t="s">
        <v>110</v>
      </c>
      <c r="H1027" s="53">
        <f>DATE(K1027,11,20)</f>
        <v>64243</v>
      </c>
      <c r="I1027" s="54">
        <f t="shared" si="95"/>
        <v>64243</v>
      </c>
      <c r="J1027" t="s">
        <v>128</v>
      </c>
      <c r="K1027">
        <f t="shared" si="100"/>
        <v>2075</v>
      </c>
      <c r="L1027" t="s">
        <v>110</v>
      </c>
    </row>
    <row r="1028" spans="1:12" x14ac:dyDescent="0.3">
      <c r="A1028" s="53">
        <f>DATE(D1028,12,25)</f>
        <v>63183</v>
      </c>
      <c r="B1028" s="54">
        <f t="shared" si="101"/>
        <v>63183</v>
      </c>
      <c r="C1028" t="s">
        <v>129</v>
      </c>
      <c r="D1028">
        <f t="shared" si="99"/>
        <v>2072</v>
      </c>
      <c r="E1028" t="s">
        <v>110</v>
      </c>
      <c r="H1028" s="53">
        <f>DATE(K1028,12,25)</f>
        <v>64278</v>
      </c>
      <c r="I1028" s="54">
        <f t="shared" si="95"/>
        <v>64278</v>
      </c>
      <c r="J1028" t="s">
        <v>129</v>
      </c>
      <c r="K1028">
        <f t="shared" si="100"/>
        <v>2075</v>
      </c>
      <c r="L1028" t="s">
        <v>110</v>
      </c>
    </row>
    <row r="1029" spans="1:12" x14ac:dyDescent="0.3">
      <c r="A1029" s="53">
        <f>DATE(D1029,1,1)</f>
        <v>63190</v>
      </c>
      <c r="B1029" s="54">
        <f t="shared" si="101"/>
        <v>63190</v>
      </c>
      <c r="C1029" t="s">
        <v>109</v>
      </c>
      <c r="D1029">
        <f>D1010+1</f>
        <v>2073</v>
      </c>
      <c r="E1029" t="s">
        <v>110</v>
      </c>
      <c r="H1029" s="53">
        <f>DATE(K1029,1,1)</f>
        <v>64285</v>
      </c>
      <c r="I1029" s="54">
        <f t="shared" si="95"/>
        <v>64285</v>
      </c>
      <c r="J1029" t="s">
        <v>109</v>
      </c>
      <c r="K1029">
        <f>K1011+1</f>
        <v>2076</v>
      </c>
      <c r="L1029" t="s">
        <v>110</v>
      </c>
    </row>
    <row r="1030" spans="1:12" x14ac:dyDescent="0.3">
      <c r="A1030" s="53">
        <f>A1033-48</f>
        <v>63226</v>
      </c>
      <c r="B1030" s="54">
        <f t="shared" si="101"/>
        <v>63226</v>
      </c>
      <c r="C1030" t="s">
        <v>111</v>
      </c>
      <c r="D1030">
        <f t="shared" ref="D1030:D1047" si="102">D1011+1</f>
        <v>2073</v>
      </c>
      <c r="E1030" t="s">
        <v>110</v>
      </c>
      <c r="H1030" s="53">
        <f>H1033-48</f>
        <v>64346</v>
      </c>
      <c r="I1030" s="54">
        <f t="shared" si="95"/>
        <v>64346</v>
      </c>
      <c r="J1030" t="s">
        <v>111</v>
      </c>
      <c r="K1030">
        <f t="shared" si="100"/>
        <v>2076</v>
      </c>
      <c r="L1030" t="s">
        <v>110</v>
      </c>
    </row>
    <row r="1031" spans="1:12" x14ac:dyDescent="0.3">
      <c r="A1031" s="53">
        <f>A1033-47</f>
        <v>63227</v>
      </c>
      <c r="B1031" s="54">
        <f t="shared" si="101"/>
        <v>63227</v>
      </c>
      <c r="C1031" t="s">
        <v>111</v>
      </c>
      <c r="D1031">
        <f t="shared" si="102"/>
        <v>2073</v>
      </c>
      <c r="E1031" t="s">
        <v>110</v>
      </c>
      <c r="H1031" s="53">
        <f>H1033-47</f>
        <v>64347</v>
      </c>
      <c r="I1031" s="54">
        <f t="shared" si="95"/>
        <v>64347</v>
      </c>
      <c r="J1031" t="s">
        <v>111</v>
      </c>
      <c r="K1031">
        <f t="shared" si="100"/>
        <v>2076</v>
      </c>
      <c r="L1031" t="s">
        <v>110</v>
      </c>
    </row>
    <row r="1032" spans="1:12" x14ac:dyDescent="0.3">
      <c r="A1032" s="53">
        <f>A1033-2</f>
        <v>63272</v>
      </c>
      <c r="B1032" s="54">
        <f t="shared" si="101"/>
        <v>63272</v>
      </c>
      <c r="C1032" t="s">
        <v>112</v>
      </c>
      <c r="D1032">
        <f t="shared" si="102"/>
        <v>2073</v>
      </c>
      <c r="E1032" t="s">
        <v>110</v>
      </c>
      <c r="H1032" s="53">
        <f>H1033-2</f>
        <v>64392</v>
      </c>
      <c r="I1032" s="54">
        <f t="shared" ref="I1032:I1095" si="103">H1032</f>
        <v>64392</v>
      </c>
      <c r="J1032" t="s">
        <v>112</v>
      </c>
      <c r="K1032">
        <f t="shared" si="100"/>
        <v>2076</v>
      </c>
      <c r="L1032" t="s">
        <v>110</v>
      </c>
    </row>
    <row r="1033" spans="1:12" x14ac:dyDescent="0.3">
      <c r="A1033" s="53">
        <f>FLOOR(DAY(MINUTE(D1033/38)/2+56)&amp;"/5"&amp;"/"&amp;D1033,7)-34</f>
        <v>63274</v>
      </c>
      <c r="B1033" s="54">
        <f t="shared" si="101"/>
        <v>63274</v>
      </c>
      <c r="C1033" t="s">
        <v>113</v>
      </c>
      <c r="D1033">
        <f t="shared" si="102"/>
        <v>2073</v>
      </c>
      <c r="E1033" t="s">
        <v>110</v>
      </c>
      <c r="H1033" s="53">
        <f>FLOOR(DAY(MINUTE(K1033/38)/2+56)&amp;"/5"&amp;"/"&amp;K1033,7)-34</f>
        <v>64394</v>
      </c>
      <c r="I1033" s="54">
        <f t="shared" si="103"/>
        <v>64394</v>
      </c>
      <c r="J1033" t="s">
        <v>113</v>
      </c>
      <c r="K1033">
        <f t="shared" si="100"/>
        <v>2076</v>
      </c>
      <c r="L1033" t="s">
        <v>110</v>
      </c>
    </row>
    <row r="1034" spans="1:12" x14ac:dyDescent="0.3">
      <c r="A1034" s="53">
        <f>DATE(D1034,4,14)</f>
        <v>63293</v>
      </c>
      <c r="B1034" s="54">
        <f t="shared" si="101"/>
        <v>63293</v>
      </c>
      <c r="C1034" t="s">
        <v>114</v>
      </c>
      <c r="D1034">
        <f t="shared" si="102"/>
        <v>2073</v>
      </c>
      <c r="E1034" t="s">
        <v>115</v>
      </c>
      <c r="H1034" s="53">
        <f>DATE(K1034,4,21)</f>
        <v>64396</v>
      </c>
      <c r="I1034" s="54">
        <f t="shared" si="103"/>
        <v>64396</v>
      </c>
      <c r="J1034" t="s">
        <v>116</v>
      </c>
      <c r="K1034">
        <f t="shared" si="100"/>
        <v>2076</v>
      </c>
      <c r="L1034" t="s">
        <v>110</v>
      </c>
    </row>
    <row r="1035" spans="1:12" x14ac:dyDescent="0.3">
      <c r="A1035" s="53">
        <f>DATE(D1035,4,21)</f>
        <v>63300</v>
      </c>
      <c r="B1035" s="54">
        <f t="shared" si="101"/>
        <v>63300</v>
      </c>
      <c r="C1035" t="s">
        <v>116</v>
      </c>
      <c r="D1035">
        <f t="shared" si="102"/>
        <v>2073</v>
      </c>
      <c r="E1035" t="s">
        <v>110</v>
      </c>
      <c r="H1035" s="53">
        <f>DATE(K1035,5,1)</f>
        <v>64406</v>
      </c>
      <c r="I1035" s="54">
        <f t="shared" si="103"/>
        <v>64406</v>
      </c>
      <c r="J1035" t="s">
        <v>117</v>
      </c>
      <c r="K1035">
        <f t="shared" si="100"/>
        <v>2076</v>
      </c>
      <c r="L1035" t="s">
        <v>110</v>
      </c>
    </row>
    <row r="1036" spans="1:12" x14ac:dyDescent="0.3">
      <c r="A1036" s="53">
        <f>DATE(D1036,5,1)</f>
        <v>63310</v>
      </c>
      <c r="B1036" s="54">
        <f t="shared" si="101"/>
        <v>63310</v>
      </c>
      <c r="C1036" t="s">
        <v>117</v>
      </c>
      <c r="D1036">
        <f t="shared" si="102"/>
        <v>2073</v>
      </c>
      <c r="E1036" t="s">
        <v>110</v>
      </c>
      <c r="H1036" s="53">
        <f>DATE(K1036,5,1)+(14-WEEKDAY(DATE(K1036,5,1),2))</f>
        <v>64415</v>
      </c>
      <c r="I1036" s="54">
        <f t="shared" si="103"/>
        <v>64415</v>
      </c>
      <c r="J1036" t="s">
        <v>118</v>
      </c>
      <c r="K1036">
        <f t="shared" si="100"/>
        <v>2076</v>
      </c>
      <c r="L1036" t="s">
        <v>110</v>
      </c>
    </row>
    <row r="1037" spans="1:12" x14ac:dyDescent="0.3">
      <c r="A1037" s="53">
        <f>DATE(D1037,5,1)+(14-WEEKDAY(DATE(D1037,5,1),2))</f>
        <v>63323</v>
      </c>
      <c r="B1037" s="54">
        <f t="shared" si="101"/>
        <v>63323</v>
      </c>
      <c r="C1037" t="s">
        <v>118</v>
      </c>
      <c r="D1037">
        <f t="shared" si="102"/>
        <v>2073</v>
      </c>
      <c r="E1037" t="s">
        <v>110</v>
      </c>
      <c r="H1037" s="53">
        <f>H1033+60</f>
        <v>64454</v>
      </c>
      <c r="I1037" s="54">
        <f t="shared" si="103"/>
        <v>64454</v>
      </c>
      <c r="J1037" t="s">
        <v>119</v>
      </c>
      <c r="K1037">
        <f t="shared" si="100"/>
        <v>2076</v>
      </c>
      <c r="L1037" t="s">
        <v>110</v>
      </c>
    </row>
    <row r="1038" spans="1:12" x14ac:dyDescent="0.3">
      <c r="A1038" s="53">
        <f>A1033+60</f>
        <v>63334</v>
      </c>
      <c r="B1038" s="54">
        <f t="shared" si="101"/>
        <v>63334</v>
      </c>
      <c r="C1038" t="s">
        <v>119</v>
      </c>
      <c r="D1038">
        <f t="shared" si="102"/>
        <v>2073</v>
      </c>
      <c r="E1038" t="s">
        <v>110</v>
      </c>
      <c r="H1038" s="53">
        <f>DATE(K1038,6,19)</f>
        <v>64455</v>
      </c>
      <c r="I1038" s="54">
        <f t="shared" si="103"/>
        <v>64455</v>
      </c>
      <c r="J1038" t="s">
        <v>114</v>
      </c>
      <c r="K1038">
        <f t="shared" si="100"/>
        <v>2076</v>
      </c>
      <c r="L1038" t="s">
        <v>115</v>
      </c>
    </row>
    <row r="1039" spans="1:12" x14ac:dyDescent="0.3">
      <c r="A1039" s="53">
        <f>DATE(D1039,7,9)</f>
        <v>63379</v>
      </c>
      <c r="B1039" s="54">
        <f t="shared" si="101"/>
        <v>63379</v>
      </c>
      <c r="C1039" t="s">
        <v>120</v>
      </c>
      <c r="D1039">
        <f t="shared" si="102"/>
        <v>2073</v>
      </c>
      <c r="E1039" t="s">
        <v>121</v>
      </c>
      <c r="H1039" s="53">
        <f>DATE(K1039,7,9)</f>
        <v>64475</v>
      </c>
      <c r="I1039" s="54">
        <f t="shared" si="103"/>
        <v>64475</v>
      </c>
      <c r="J1039" t="s">
        <v>120</v>
      </c>
      <c r="K1039">
        <f t="shared" si="100"/>
        <v>2076</v>
      </c>
      <c r="L1039" t="s">
        <v>121</v>
      </c>
    </row>
    <row r="1040" spans="1:12" x14ac:dyDescent="0.3">
      <c r="A1040" s="53">
        <f>DATE(D1040,8,8)</f>
        <v>63409</v>
      </c>
      <c r="B1040" s="54">
        <f t="shared" si="101"/>
        <v>63409</v>
      </c>
      <c r="C1040" t="s">
        <v>122</v>
      </c>
      <c r="D1040">
        <f t="shared" si="102"/>
        <v>2073</v>
      </c>
      <c r="E1040" t="s">
        <v>115</v>
      </c>
      <c r="H1040" s="53">
        <f>DATE(K1040,8,1)+(14-WEEKDAY(DATE(K1040,8,1),2))</f>
        <v>64506</v>
      </c>
      <c r="I1040" s="54">
        <f t="shared" si="103"/>
        <v>64506</v>
      </c>
      <c r="J1040" t="s">
        <v>123</v>
      </c>
      <c r="K1040">
        <f t="shared" si="100"/>
        <v>2076</v>
      </c>
      <c r="L1040" t="s">
        <v>110</v>
      </c>
    </row>
    <row r="1041" spans="1:12" x14ac:dyDescent="0.3">
      <c r="A1041" s="53">
        <f>DATE(D1041,8,1)+(14-WEEKDAY(DATE(D1041,8,1),2))</f>
        <v>63414</v>
      </c>
      <c r="B1041" s="54">
        <f t="shared" si="101"/>
        <v>63414</v>
      </c>
      <c r="C1041" t="s">
        <v>123</v>
      </c>
      <c r="D1041">
        <f t="shared" si="102"/>
        <v>2073</v>
      </c>
      <c r="E1041" t="s">
        <v>110</v>
      </c>
      <c r="H1041" s="53">
        <f>DATE(K1041,9,7)</f>
        <v>64535</v>
      </c>
      <c r="I1041" s="54">
        <f t="shared" si="103"/>
        <v>64535</v>
      </c>
      <c r="J1041" t="s">
        <v>124</v>
      </c>
      <c r="K1041">
        <f t="shared" si="100"/>
        <v>2076</v>
      </c>
      <c r="L1041" t="s">
        <v>110</v>
      </c>
    </row>
    <row r="1042" spans="1:12" x14ac:dyDescent="0.3">
      <c r="A1042" s="53">
        <f>DATE(D1042,9,7)</f>
        <v>63439</v>
      </c>
      <c r="B1042" s="54">
        <f t="shared" si="101"/>
        <v>63439</v>
      </c>
      <c r="C1042" t="s">
        <v>124</v>
      </c>
      <c r="D1042">
        <f t="shared" si="102"/>
        <v>2073</v>
      </c>
      <c r="E1042" t="s">
        <v>110</v>
      </c>
      <c r="H1042" s="53">
        <f>DATE(K1042,10,12)</f>
        <v>64570</v>
      </c>
      <c r="I1042" s="54">
        <f t="shared" si="103"/>
        <v>64570</v>
      </c>
      <c r="J1042" t="s">
        <v>125</v>
      </c>
      <c r="K1042">
        <f t="shared" si="100"/>
        <v>2076</v>
      </c>
      <c r="L1042" t="s">
        <v>110</v>
      </c>
    </row>
    <row r="1043" spans="1:12" x14ac:dyDescent="0.3">
      <c r="A1043" s="53">
        <f>DATE(D1043,10,12)</f>
        <v>63474</v>
      </c>
      <c r="B1043" s="54">
        <f t="shared" si="101"/>
        <v>63474</v>
      </c>
      <c r="C1043" t="s">
        <v>125</v>
      </c>
      <c r="D1043">
        <f t="shared" si="102"/>
        <v>2073</v>
      </c>
      <c r="E1043" t="s">
        <v>110</v>
      </c>
      <c r="H1043" s="53">
        <f>DATE(K1043,11,2)</f>
        <v>64591</v>
      </c>
      <c r="I1043" s="54">
        <f t="shared" si="103"/>
        <v>64591</v>
      </c>
      <c r="J1043" t="s">
        <v>126</v>
      </c>
      <c r="K1043">
        <f t="shared" si="100"/>
        <v>2076</v>
      </c>
      <c r="L1043" t="s">
        <v>110</v>
      </c>
    </row>
    <row r="1044" spans="1:12" x14ac:dyDescent="0.3">
      <c r="A1044" s="53">
        <f>DATE(D1044,11,2)</f>
        <v>63495</v>
      </c>
      <c r="B1044" s="54">
        <f t="shared" si="101"/>
        <v>63495</v>
      </c>
      <c r="C1044" t="s">
        <v>126</v>
      </c>
      <c r="D1044">
        <f t="shared" si="102"/>
        <v>2073</v>
      </c>
      <c r="E1044" t="s">
        <v>110</v>
      </c>
      <c r="H1044" s="53">
        <f>DATE(K1044,11,15)</f>
        <v>64604</v>
      </c>
      <c r="I1044" s="54">
        <f t="shared" si="103"/>
        <v>64604</v>
      </c>
      <c r="J1044" t="s">
        <v>127</v>
      </c>
      <c r="K1044">
        <f t="shared" si="100"/>
        <v>2076</v>
      </c>
      <c r="L1044" t="s">
        <v>110</v>
      </c>
    </row>
    <row r="1045" spans="1:12" x14ac:dyDescent="0.3">
      <c r="A1045" s="53">
        <f>DATE(D1045,11,15)</f>
        <v>63508</v>
      </c>
      <c r="B1045" s="54">
        <f t="shared" si="101"/>
        <v>63508</v>
      </c>
      <c r="C1045" t="s">
        <v>127</v>
      </c>
      <c r="D1045">
        <f t="shared" si="102"/>
        <v>2073</v>
      </c>
      <c r="E1045" t="s">
        <v>110</v>
      </c>
      <c r="H1045" s="53">
        <f>DATE(K1045,11,20)</f>
        <v>64609</v>
      </c>
      <c r="I1045" s="54">
        <f t="shared" si="103"/>
        <v>64609</v>
      </c>
      <c r="J1045" t="s">
        <v>128</v>
      </c>
      <c r="K1045">
        <f t="shared" si="100"/>
        <v>2076</v>
      </c>
      <c r="L1045" t="s">
        <v>110</v>
      </c>
    </row>
    <row r="1046" spans="1:12" x14ac:dyDescent="0.3">
      <c r="A1046" s="53">
        <f>DATE(D1046,11,20)</f>
        <v>63513</v>
      </c>
      <c r="B1046" s="54">
        <f t="shared" si="101"/>
        <v>63513</v>
      </c>
      <c r="C1046" t="s">
        <v>128</v>
      </c>
      <c r="D1046">
        <f t="shared" si="102"/>
        <v>2073</v>
      </c>
      <c r="E1046" t="s">
        <v>110</v>
      </c>
      <c r="H1046" s="53">
        <f>DATE(K1046,12,25)</f>
        <v>64644</v>
      </c>
      <c r="I1046" s="54">
        <f t="shared" si="103"/>
        <v>64644</v>
      </c>
      <c r="J1046" t="s">
        <v>129</v>
      </c>
      <c r="K1046">
        <f t="shared" si="100"/>
        <v>2076</v>
      </c>
      <c r="L1046" t="s">
        <v>110</v>
      </c>
    </row>
    <row r="1047" spans="1:12" x14ac:dyDescent="0.3">
      <c r="A1047" s="53">
        <f>DATE(D1047,12,25)</f>
        <v>63548</v>
      </c>
      <c r="B1047" s="54">
        <f t="shared" si="101"/>
        <v>63548</v>
      </c>
      <c r="C1047" t="s">
        <v>129</v>
      </c>
      <c r="D1047">
        <f t="shared" si="102"/>
        <v>2073</v>
      </c>
      <c r="E1047" t="s">
        <v>110</v>
      </c>
      <c r="H1047" s="53">
        <f>DATE(K1047,1,1)</f>
        <v>64651</v>
      </c>
      <c r="I1047" s="54">
        <f t="shared" si="103"/>
        <v>64651</v>
      </c>
      <c r="J1047" t="s">
        <v>109</v>
      </c>
      <c r="K1047">
        <f>K1029+1</f>
        <v>2077</v>
      </c>
      <c r="L1047" t="s">
        <v>110</v>
      </c>
    </row>
    <row r="1048" spans="1:12" x14ac:dyDescent="0.3">
      <c r="A1048" s="53">
        <f>DATE(D1048,1,1)</f>
        <v>63555</v>
      </c>
      <c r="B1048" s="54">
        <f t="shared" si="101"/>
        <v>63555</v>
      </c>
      <c r="C1048" t="s">
        <v>109</v>
      </c>
      <c r="D1048">
        <f>D1029+1</f>
        <v>2074</v>
      </c>
      <c r="E1048" t="s">
        <v>110</v>
      </c>
      <c r="H1048" s="53">
        <f>H1051-48</f>
        <v>64703</v>
      </c>
      <c r="I1048" s="54">
        <f t="shared" si="103"/>
        <v>64703</v>
      </c>
      <c r="J1048" t="s">
        <v>111</v>
      </c>
      <c r="K1048">
        <f t="shared" si="100"/>
        <v>2077</v>
      </c>
      <c r="L1048" t="s">
        <v>110</v>
      </c>
    </row>
    <row r="1049" spans="1:12" x14ac:dyDescent="0.3">
      <c r="A1049" s="53">
        <f>A1052-48</f>
        <v>63611</v>
      </c>
      <c r="B1049" s="54">
        <f t="shared" si="101"/>
        <v>63611</v>
      </c>
      <c r="C1049" t="s">
        <v>111</v>
      </c>
      <c r="D1049">
        <f t="shared" ref="D1049:D1112" si="104">D1030+1</f>
        <v>2074</v>
      </c>
      <c r="E1049" t="s">
        <v>110</v>
      </c>
      <c r="H1049" s="53">
        <f>H1051-47</f>
        <v>64704</v>
      </c>
      <c r="I1049" s="54">
        <f t="shared" si="103"/>
        <v>64704</v>
      </c>
      <c r="J1049" t="s">
        <v>111</v>
      </c>
      <c r="K1049">
        <f t="shared" si="100"/>
        <v>2077</v>
      </c>
      <c r="L1049" t="s">
        <v>110</v>
      </c>
    </row>
    <row r="1050" spans="1:12" x14ac:dyDescent="0.3">
      <c r="A1050" s="53">
        <f>A1052-47</f>
        <v>63612</v>
      </c>
      <c r="B1050" s="54">
        <f t="shared" si="101"/>
        <v>63612</v>
      </c>
      <c r="C1050" t="s">
        <v>111</v>
      </c>
      <c r="D1050">
        <f t="shared" si="104"/>
        <v>2074</v>
      </c>
      <c r="E1050" t="s">
        <v>110</v>
      </c>
      <c r="H1050" s="53">
        <f>H1051-2</f>
        <v>64749</v>
      </c>
      <c r="I1050" s="54">
        <f t="shared" si="103"/>
        <v>64749</v>
      </c>
      <c r="J1050" t="s">
        <v>112</v>
      </c>
      <c r="K1050">
        <f t="shared" si="100"/>
        <v>2077</v>
      </c>
      <c r="L1050" t="s">
        <v>110</v>
      </c>
    </row>
    <row r="1051" spans="1:12" x14ac:dyDescent="0.3">
      <c r="A1051" s="53">
        <f>A1052-2</f>
        <v>63657</v>
      </c>
      <c r="B1051" s="54">
        <f t="shared" si="101"/>
        <v>63657</v>
      </c>
      <c r="C1051" t="s">
        <v>112</v>
      </c>
      <c r="D1051">
        <f t="shared" si="104"/>
        <v>2074</v>
      </c>
      <c r="E1051" t="s">
        <v>110</v>
      </c>
      <c r="H1051" s="53">
        <f>FLOOR(DAY(MINUTE(K1051/38)/2+56)&amp;"/5"&amp;"/"&amp;K1051,7)-34</f>
        <v>64751</v>
      </c>
      <c r="I1051" s="54">
        <f t="shared" si="103"/>
        <v>64751</v>
      </c>
      <c r="J1051" t="s">
        <v>113</v>
      </c>
      <c r="K1051">
        <f t="shared" si="100"/>
        <v>2077</v>
      </c>
      <c r="L1051" t="s">
        <v>110</v>
      </c>
    </row>
    <row r="1052" spans="1:12" x14ac:dyDescent="0.3">
      <c r="A1052" s="53">
        <f>FLOOR(DAY(MINUTE(D1052/38)/2+56)&amp;"/5"&amp;"/"&amp;D1052,7)-34</f>
        <v>63659</v>
      </c>
      <c r="B1052" s="54">
        <f t="shared" si="101"/>
        <v>63659</v>
      </c>
      <c r="C1052" t="s">
        <v>113</v>
      </c>
      <c r="D1052">
        <f t="shared" si="104"/>
        <v>2074</v>
      </c>
      <c r="E1052" t="s">
        <v>110</v>
      </c>
      <c r="H1052" s="53">
        <f>DATE(K1052,4,21)</f>
        <v>64761</v>
      </c>
      <c r="I1052" s="54">
        <f t="shared" si="103"/>
        <v>64761</v>
      </c>
      <c r="J1052" t="s">
        <v>116</v>
      </c>
      <c r="K1052">
        <f t="shared" si="100"/>
        <v>2077</v>
      </c>
      <c r="L1052" t="s">
        <v>110</v>
      </c>
    </row>
    <row r="1053" spans="1:12" x14ac:dyDescent="0.3">
      <c r="A1053" s="53">
        <f>DATE(D1053,4,14)</f>
        <v>63658</v>
      </c>
      <c r="B1053" s="54">
        <f t="shared" si="101"/>
        <v>63658</v>
      </c>
      <c r="C1053" t="s">
        <v>114</v>
      </c>
      <c r="D1053">
        <f t="shared" si="104"/>
        <v>2074</v>
      </c>
      <c r="E1053" t="s">
        <v>115</v>
      </c>
      <c r="H1053" s="53">
        <f>DATE(K1053,5,1)</f>
        <v>64771</v>
      </c>
      <c r="I1053" s="54">
        <f t="shared" si="103"/>
        <v>64771</v>
      </c>
      <c r="J1053" t="s">
        <v>117</v>
      </c>
      <c r="K1053">
        <f t="shared" si="100"/>
        <v>2077</v>
      </c>
      <c r="L1053" t="s">
        <v>110</v>
      </c>
    </row>
    <row r="1054" spans="1:12" x14ac:dyDescent="0.3">
      <c r="A1054" s="53">
        <f>DATE(D1054,4,21)</f>
        <v>63665</v>
      </c>
      <c r="B1054" s="54">
        <f t="shared" si="101"/>
        <v>63665</v>
      </c>
      <c r="C1054" t="s">
        <v>116</v>
      </c>
      <c r="D1054">
        <f t="shared" si="104"/>
        <v>2074</v>
      </c>
      <c r="E1054" t="s">
        <v>110</v>
      </c>
      <c r="H1054" s="53">
        <f>DATE(K1054,5,1)+(14-WEEKDAY(DATE(K1054,5,1),2))</f>
        <v>64779</v>
      </c>
      <c r="I1054" s="54">
        <f t="shared" si="103"/>
        <v>64779</v>
      </c>
      <c r="J1054" t="s">
        <v>118</v>
      </c>
      <c r="K1054">
        <f t="shared" si="100"/>
        <v>2077</v>
      </c>
      <c r="L1054" t="s">
        <v>110</v>
      </c>
    </row>
    <row r="1055" spans="1:12" x14ac:dyDescent="0.3">
      <c r="A1055" s="53">
        <f>DATE(D1055,5,1)</f>
        <v>63675</v>
      </c>
      <c r="B1055" s="54">
        <f t="shared" si="101"/>
        <v>63675</v>
      </c>
      <c r="C1055" t="s">
        <v>117</v>
      </c>
      <c r="D1055">
        <f t="shared" si="104"/>
        <v>2074</v>
      </c>
      <c r="E1055" t="s">
        <v>110</v>
      </c>
      <c r="H1055" s="53">
        <f>H1051+60</f>
        <v>64811</v>
      </c>
      <c r="I1055" s="54">
        <f t="shared" si="103"/>
        <v>64811</v>
      </c>
      <c r="J1055" t="s">
        <v>119</v>
      </c>
      <c r="K1055">
        <f t="shared" si="100"/>
        <v>2077</v>
      </c>
      <c r="L1055" t="s">
        <v>110</v>
      </c>
    </row>
    <row r="1056" spans="1:12" x14ac:dyDescent="0.3">
      <c r="A1056" s="53">
        <f>DATE(D1056,5,1)+(14-WEEKDAY(DATE(D1056,5,1),2))</f>
        <v>63687</v>
      </c>
      <c r="B1056" s="54">
        <f t="shared" si="101"/>
        <v>63687</v>
      </c>
      <c r="C1056" t="s">
        <v>118</v>
      </c>
      <c r="D1056">
        <f t="shared" si="104"/>
        <v>2074</v>
      </c>
      <c r="E1056" t="s">
        <v>110</v>
      </c>
      <c r="H1056" s="53">
        <f>DATE(K1056,6,19)</f>
        <v>64820</v>
      </c>
      <c r="I1056" s="54">
        <f t="shared" si="103"/>
        <v>64820</v>
      </c>
      <c r="J1056" t="s">
        <v>114</v>
      </c>
      <c r="K1056">
        <f t="shared" si="100"/>
        <v>2077</v>
      </c>
      <c r="L1056" t="s">
        <v>115</v>
      </c>
    </row>
    <row r="1057" spans="1:12" x14ac:dyDescent="0.3">
      <c r="A1057" s="53">
        <f>A1052+60</f>
        <v>63719</v>
      </c>
      <c r="B1057" s="54">
        <f t="shared" si="101"/>
        <v>63719</v>
      </c>
      <c r="C1057" t="s">
        <v>119</v>
      </c>
      <c r="D1057">
        <f t="shared" si="104"/>
        <v>2074</v>
      </c>
      <c r="E1057" t="s">
        <v>110</v>
      </c>
      <c r="H1057" s="53">
        <f>DATE(K1057,7,9)</f>
        <v>64840</v>
      </c>
      <c r="I1057" s="54">
        <f t="shared" si="103"/>
        <v>64840</v>
      </c>
      <c r="J1057" t="s">
        <v>120</v>
      </c>
      <c r="K1057">
        <f t="shared" si="100"/>
        <v>2077</v>
      </c>
      <c r="L1057" t="s">
        <v>121</v>
      </c>
    </row>
    <row r="1058" spans="1:12" x14ac:dyDescent="0.3">
      <c r="A1058" s="53">
        <f>DATE(D1058,7,9)</f>
        <v>63744</v>
      </c>
      <c r="B1058" s="54">
        <f t="shared" si="101"/>
        <v>63744</v>
      </c>
      <c r="C1058" t="s">
        <v>120</v>
      </c>
      <c r="D1058">
        <f t="shared" si="104"/>
        <v>2074</v>
      </c>
      <c r="E1058" t="s">
        <v>121</v>
      </c>
      <c r="H1058" s="53">
        <f>DATE(K1058,8,1)+(14-WEEKDAY(DATE(K1058,8,1),2))</f>
        <v>64870</v>
      </c>
      <c r="I1058" s="54">
        <f t="shared" si="103"/>
        <v>64870</v>
      </c>
      <c r="J1058" t="s">
        <v>123</v>
      </c>
      <c r="K1058">
        <f t="shared" si="100"/>
        <v>2077</v>
      </c>
      <c r="L1058" t="s">
        <v>110</v>
      </c>
    </row>
    <row r="1059" spans="1:12" x14ac:dyDescent="0.3">
      <c r="A1059" s="53">
        <f>DATE(D1059,8,8)</f>
        <v>63774</v>
      </c>
      <c r="B1059" s="54">
        <f t="shared" si="101"/>
        <v>63774</v>
      </c>
      <c r="C1059" t="s">
        <v>122</v>
      </c>
      <c r="D1059">
        <f t="shared" si="104"/>
        <v>2074</v>
      </c>
      <c r="E1059" t="s">
        <v>115</v>
      </c>
      <c r="H1059" s="53">
        <f>DATE(K1059,9,7)</f>
        <v>64900</v>
      </c>
      <c r="I1059" s="54">
        <f t="shared" si="103"/>
        <v>64900</v>
      </c>
      <c r="J1059" t="s">
        <v>124</v>
      </c>
      <c r="K1059">
        <f t="shared" si="100"/>
        <v>2077</v>
      </c>
      <c r="L1059" t="s">
        <v>110</v>
      </c>
    </row>
    <row r="1060" spans="1:12" x14ac:dyDescent="0.3">
      <c r="A1060" s="53">
        <f>DATE(D1060,8,1)+(14-WEEKDAY(DATE(D1060,8,1),2))</f>
        <v>63778</v>
      </c>
      <c r="B1060" s="54">
        <f t="shared" si="101"/>
        <v>63778</v>
      </c>
      <c r="C1060" t="s">
        <v>123</v>
      </c>
      <c r="D1060">
        <f t="shared" si="104"/>
        <v>2074</v>
      </c>
      <c r="E1060" t="s">
        <v>110</v>
      </c>
      <c r="H1060" s="53">
        <f>DATE(K1060,10,12)</f>
        <v>64935</v>
      </c>
      <c r="I1060" s="54">
        <f t="shared" si="103"/>
        <v>64935</v>
      </c>
      <c r="J1060" t="s">
        <v>125</v>
      </c>
      <c r="K1060">
        <f t="shared" si="100"/>
        <v>2077</v>
      </c>
      <c r="L1060" t="s">
        <v>110</v>
      </c>
    </row>
    <row r="1061" spans="1:12" x14ac:dyDescent="0.3">
      <c r="A1061" s="53">
        <f>DATE(D1061,9,7)</f>
        <v>63804</v>
      </c>
      <c r="B1061" s="54">
        <f t="shared" si="101"/>
        <v>63804</v>
      </c>
      <c r="C1061" t="s">
        <v>124</v>
      </c>
      <c r="D1061">
        <f t="shared" si="104"/>
        <v>2074</v>
      </c>
      <c r="E1061" t="s">
        <v>110</v>
      </c>
      <c r="H1061" s="53">
        <f>DATE(K1061,11,2)</f>
        <v>64956</v>
      </c>
      <c r="I1061" s="54">
        <f t="shared" si="103"/>
        <v>64956</v>
      </c>
      <c r="J1061" t="s">
        <v>126</v>
      </c>
      <c r="K1061">
        <f t="shared" si="100"/>
        <v>2077</v>
      </c>
      <c r="L1061" t="s">
        <v>110</v>
      </c>
    </row>
    <row r="1062" spans="1:12" x14ac:dyDescent="0.3">
      <c r="A1062" s="53">
        <f>DATE(D1062,10,12)</f>
        <v>63839</v>
      </c>
      <c r="B1062" s="54">
        <f t="shared" si="101"/>
        <v>63839</v>
      </c>
      <c r="C1062" t="s">
        <v>125</v>
      </c>
      <c r="D1062">
        <f t="shared" si="104"/>
        <v>2074</v>
      </c>
      <c r="E1062" t="s">
        <v>110</v>
      </c>
      <c r="H1062" s="53">
        <f>DATE(K1062,11,15)</f>
        <v>64969</v>
      </c>
      <c r="I1062" s="54">
        <f t="shared" si="103"/>
        <v>64969</v>
      </c>
      <c r="J1062" t="s">
        <v>127</v>
      </c>
      <c r="K1062">
        <f t="shared" si="100"/>
        <v>2077</v>
      </c>
      <c r="L1062" t="s">
        <v>110</v>
      </c>
    </row>
    <row r="1063" spans="1:12" x14ac:dyDescent="0.3">
      <c r="A1063" s="53">
        <f>DATE(D1063,11,2)</f>
        <v>63860</v>
      </c>
      <c r="B1063" s="54">
        <f t="shared" si="101"/>
        <v>63860</v>
      </c>
      <c r="C1063" t="s">
        <v>126</v>
      </c>
      <c r="D1063">
        <f t="shared" si="104"/>
        <v>2074</v>
      </c>
      <c r="E1063" t="s">
        <v>110</v>
      </c>
      <c r="H1063" s="53">
        <f>DATE(K1063,11,20)</f>
        <v>64974</v>
      </c>
      <c r="I1063" s="54">
        <f t="shared" si="103"/>
        <v>64974</v>
      </c>
      <c r="J1063" t="s">
        <v>128</v>
      </c>
      <c r="K1063">
        <f t="shared" si="100"/>
        <v>2077</v>
      </c>
      <c r="L1063" t="s">
        <v>110</v>
      </c>
    </row>
    <row r="1064" spans="1:12" x14ac:dyDescent="0.3">
      <c r="A1064" s="53">
        <f>DATE(D1064,11,15)</f>
        <v>63873</v>
      </c>
      <c r="B1064" s="54">
        <f t="shared" si="101"/>
        <v>63873</v>
      </c>
      <c r="C1064" t="s">
        <v>127</v>
      </c>
      <c r="D1064">
        <f t="shared" si="104"/>
        <v>2074</v>
      </c>
      <c r="E1064" t="s">
        <v>110</v>
      </c>
      <c r="H1064" s="53">
        <f>DATE(K1064,12,25)</f>
        <v>65009</v>
      </c>
      <c r="I1064" s="54">
        <f t="shared" si="103"/>
        <v>65009</v>
      </c>
      <c r="J1064" t="s">
        <v>129</v>
      </c>
      <c r="K1064">
        <f t="shared" si="100"/>
        <v>2077</v>
      </c>
      <c r="L1064" t="s">
        <v>110</v>
      </c>
    </row>
    <row r="1065" spans="1:12" x14ac:dyDescent="0.3">
      <c r="A1065" s="53">
        <f>DATE(D1065,11,20)</f>
        <v>63878</v>
      </c>
      <c r="B1065" s="54">
        <f t="shared" si="101"/>
        <v>63878</v>
      </c>
      <c r="C1065" t="s">
        <v>128</v>
      </c>
      <c r="D1065">
        <f t="shared" si="104"/>
        <v>2074</v>
      </c>
      <c r="E1065" t="s">
        <v>110</v>
      </c>
      <c r="H1065" s="53">
        <f>DATE(K1065,1,1)</f>
        <v>65016</v>
      </c>
      <c r="I1065" s="54">
        <f t="shared" si="103"/>
        <v>65016</v>
      </c>
      <c r="J1065" t="s">
        <v>109</v>
      </c>
      <c r="K1065">
        <f>K1047+1</f>
        <v>2078</v>
      </c>
      <c r="L1065" t="s">
        <v>110</v>
      </c>
    </row>
    <row r="1066" spans="1:12" x14ac:dyDescent="0.3">
      <c r="A1066" s="53">
        <f>DATE(D1066,12,25)</f>
        <v>63913</v>
      </c>
      <c r="B1066" s="54">
        <f t="shared" si="101"/>
        <v>63913</v>
      </c>
      <c r="C1066" t="s">
        <v>129</v>
      </c>
      <c r="D1066">
        <f t="shared" si="104"/>
        <v>2074</v>
      </c>
      <c r="E1066" t="s">
        <v>110</v>
      </c>
      <c r="H1066" s="53">
        <f>H1069-48</f>
        <v>65060</v>
      </c>
      <c r="I1066" s="54">
        <f t="shared" si="103"/>
        <v>65060</v>
      </c>
      <c r="J1066" t="s">
        <v>111</v>
      </c>
      <c r="K1066">
        <f t="shared" si="100"/>
        <v>2078</v>
      </c>
      <c r="L1066" t="s">
        <v>110</v>
      </c>
    </row>
    <row r="1067" spans="1:12" x14ac:dyDescent="0.3">
      <c r="A1067" s="53">
        <f>DATE(D1067,1,1)</f>
        <v>63920</v>
      </c>
      <c r="B1067" s="54">
        <f t="shared" si="101"/>
        <v>63920</v>
      </c>
      <c r="C1067" t="s">
        <v>109</v>
      </c>
      <c r="D1067">
        <f>D1048+1</f>
        <v>2075</v>
      </c>
      <c r="E1067" t="s">
        <v>110</v>
      </c>
      <c r="H1067" s="53">
        <f>H1069-47</f>
        <v>65061</v>
      </c>
      <c r="I1067" s="54">
        <f t="shared" si="103"/>
        <v>65061</v>
      </c>
      <c r="J1067" t="s">
        <v>111</v>
      </c>
      <c r="K1067">
        <f t="shared" si="100"/>
        <v>2078</v>
      </c>
      <c r="L1067" t="s">
        <v>110</v>
      </c>
    </row>
    <row r="1068" spans="1:12" x14ac:dyDescent="0.3">
      <c r="A1068" s="53">
        <f>A1071-48</f>
        <v>63968</v>
      </c>
      <c r="B1068" s="54">
        <f t="shared" si="101"/>
        <v>63968</v>
      </c>
      <c r="C1068" t="s">
        <v>111</v>
      </c>
      <c r="D1068">
        <f t="shared" si="104"/>
        <v>2075</v>
      </c>
      <c r="E1068" t="s">
        <v>110</v>
      </c>
      <c r="H1068" s="53">
        <f>H1069-2</f>
        <v>65106</v>
      </c>
      <c r="I1068" s="54">
        <f t="shared" si="103"/>
        <v>65106</v>
      </c>
      <c r="J1068" t="s">
        <v>112</v>
      </c>
      <c r="K1068">
        <f t="shared" si="100"/>
        <v>2078</v>
      </c>
      <c r="L1068" t="s">
        <v>110</v>
      </c>
    </row>
    <row r="1069" spans="1:12" x14ac:dyDescent="0.3">
      <c r="A1069" s="53">
        <f>A1071-47</f>
        <v>63969</v>
      </c>
      <c r="B1069" s="54">
        <f t="shared" si="101"/>
        <v>63969</v>
      </c>
      <c r="C1069" t="s">
        <v>111</v>
      </c>
      <c r="D1069">
        <f t="shared" si="104"/>
        <v>2075</v>
      </c>
      <c r="E1069" t="s">
        <v>110</v>
      </c>
      <c r="H1069" s="53">
        <f>FLOOR(DAY(MINUTE(K1069/38)/2+56)&amp;"/5"&amp;"/"&amp;K1069,7)-34</f>
        <v>65108</v>
      </c>
      <c r="I1069" s="54">
        <f t="shared" si="103"/>
        <v>65108</v>
      </c>
      <c r="J1069" t="s">
        <v>113</v>
      </c>
      <c r="K1069">
        <f t="shared" si="100"/>
        <v>2078</v>
      </c>
      <c r="L1069" t="s">
        <v>110</v>
      </c>
    </row>
    <row r="1070" spans="1:12" x14ac:dyDescent="0.3">
      <c r="A1070" s="53">
        <f>A1071-2</f>
        <v>64014</v>
      </c>
      <c r="B1070" s="54">
        <f t="shared" si="101"/>
        <v>64014</v>
      </c>
      <c r="C1070" t="s">
        <v>112</v>
      </c>
      <c r="D1070">
        <f t="shared" si="104"/>
        <v>2075</v>
      </c>
      <c r="E1070" t="s">
        <v>110</v>
      </c>
      <c r="H1070" s="53">
        <f>DATE(K1070,4,21)</f>
        <v>65126</v>
      </c>
      <c r="I1070" s="54">
        <f t="shared" si="103"/>
        <v>65126</v>
      </c>
      <c r="J1070" t="s">
        <v>116</v>
      </c>
      <c r="K1070">
        <f t="shared" si="100"/>
        <v>2078</v>
      </c>
      <c r="L1070" t="s">
        <v>110</v>
      </c>
    </row>
    <row r="1071" spans="1:12" x14ac:dyDescent="0.3">
      <c r="A1071" s="53">
        <f>FLOOR(DAY(MINUTE(D1071/38)/2+56)&amp;"/5"&amp;"/"&amp;D1071,7)-34</f>
        <v>64016</v>
      </c>
      <c r="B1071" s="54">
        <f t="shared" si="101"/>
        <v>64016</v>
      </c>
      <c r="C1071" t="s">
        <v>113</v>
      </c>
      <c r="D1071">
        <f t="shared" si="104"/>
        <v>2075</v>
      </c>
      <c r="E1071" t="s">
        <v>110</v>
      </c>
      <c r="H1071" s="53">
        <f>DATE(K1071,5,1)</f>
        <v>65136</v>
      </c>
      <c r="I1071" s="54">
        <f t="shared" si="103"/>
        <v>65136</v>
      </c>
      <c r="J1071" t="s">
        <v>117</v>
      </c>
      <c r="K1071">
        <f t="shared" si="100"/>
        <v>2078</v>
      </c>
      <c r="L1071" t="s">
        <v>110</v>
      </c>
    </row>
    <row r="1072" spans="1:12" x14ac:dyDescent="0.3">
      <c r="A1072" s="53">
        <f>DATE(D1072,4,14)</f>
        <v>64023</v>
      </c>
      <c r="B1072" s="54">
        <f t="shared" si="101"/>
        <v>64023</v>
      </c>
      <c r="C1072" t="s">
        <v>114</v>
      </c>
      <c r="D1072">
        <f t="shared" si="104"/>
        <v>2075</v>
      </c>
      <c r="E1072" t="s">
        <v>115</v>
      </c>
      <c r="H1072" s="53">
        <f>DATE(K1072,5,1)+(14-WEEKDAY(DATE(K1072,5,1),2))</f>
        <v>65143</v>
      </c>
      <c r="I1072" s="54">
        <f t="shared" si="103"/>
        <v>65143</v>
      </c>
      <c r="J1072" t="s">
        <v>118</v>
      </c>
      <c r="K1072">
        <f t="shared" si="100"/>
        <v>2078</v>
      </c>
      <c r="L1072" t="s">
        <v>110</v>
      </c>
    </row>
    <row r="1073" spans="1:12" x14ac:dyDescent="0.3">
      <c r="A1073" s="53">
        <f>DATE(D1073,4,21)</f>
        <v>64030</v>
      </c>
      <c r="B1073" s="54">
        <f t="shared" si="101"/>
        <v>64030</v>
      </c>
      <c r="C1073" t="s">
        <v>116</v>
      </c>
      <c r="D1073">
        <f t="shared" si="104"/>
        <v>2075</v>
      </c>
      <c r="E1073" t="s">
        <v>110</v>
      </c>
      <c r="H1073" s="53">
        <f>H1069+60</f>
        <v>65168</v>
      </c>
      <c r="I1073" s="54">
        <f t="shared" si="103"/>
        <v>65168</v>
      </c>
      <c r="J1073" t="s">
        <v>119</v>
      </c>
      <c r="K1073">
        <f t="shared" si="100"/>
        <v>2078</v>
      </c>
      <c r="L1073" t="s">
        <v>110</v>
      </c>
    </row>
    <row r="1074" spans="1:12" x14ac:dyDescent="0.3">
      <c r="A1074" s="53">
        <f>DATE(D1074,5,1)</f>
        <v>64040</v>
      </c>
      <c r="B1074" s="54">
        <f t="shared" si="101"/>
        <v>64040</v>
      </c>
      <c r="C1074" t="s">
        <v>117</v>
      </c>
      <c r="D1074">
        <f t="shared" si="104"/>
        <v>2075</v>
      </c>
      <c r="E1074" t="s">
        <v>110</v>
      </c>
      <c r="H1074" s="53">
        <f>DATE(K1074,6,19)</f>
        <v>65185</v>
      </c>
      <c r="I1074" s="54">
        <f t="shared" si="103"/>
        <v>65185</v>
      </c>
      <c r="J1074" t="s">
        <v>114</v>
      </c>
      <c r="K1074">
        <f t="shared" si="100"/>
        <v>2078</v>
      </c>
      <c r="L1074" t="s">
        <v>115</v>
      </c>
    </row>
    <row r="1075" spans="1:12" x14ac:dyDescent="0.3">
      <c r="A1075" s="53">
        <f>DATE(D1075,5,1)+(14-WEEKDAY(DATE(D1075,5,1),2))</f>
        <v>64051</v>
      </c>
      <c r="B1075" s="54">
        <f t="shared" si="101"/>
        <v>64051</v>
      </c>
      <c r="C1075" t="s">
        <v>118</v>
      </c>
      <c r="D1075">
        <f t="shared" si="104"/>
        <v>2075</v>
      </c>
      <c r="E1075" t="s">
        <v>110</v>
      </c>
      <c r="H1075" s="53">
        <f>DATE(K1075,7,9)</f>
        <v>65205</v>
      </c>
      <c r="I1075" s="54">
        <f t="shared" si="103"/>
        <v>65205</v>
      </c>
      <c r="J1075" t="s">
        <v>120</v>
      </c>
      <c r="K1075">
        <f t="shared" si="100"/>
        <v>2078</v>
      </c>
      <c r="L1075" t="s">
        <v>121</v>
      </c>
    </row>
    <row r="1076" spans="1:12" x14ac:dyDescent="0.3">
      <c r="A1076" s="53">
        <f>A1071+60</f>
        <v>64076</v>
      </c>
      <c r="B1076" s="54">
        <f t="shared" si="101"/>
        <v>64076</v>
      </c>
      <c r="C1076" t="s">
        <v>119</v>
      </c>
      <c r="D1076">
        <f t="shared" si="104"/>
        <v>2075</v>
      </c>
      <c r="E1076" t="s">
        <v>110</v>
      </c>
      <c r="H1076" s="53">
        <f>DATE(K1076,8,1)+(14-WEEKDAY(DATE(K1076,8,1),2))</f>
        <v>65241</v>
      </c>
      <c r="I1076" s="54">
        <f t="shared" si="103"/>
        <v>65241</v>
      </c>
      <c r="J1076" t="s">
        <v>123</v>
      </c>
      <c r="K1076">
        <f t="shared" ref="K1076:K1082" si="105">K1058+1</f>
        <v>2078</v>
      </c>
      <c r="L1076" t="s">
        <v>110</v>
      </c>
    </row>
    <row r="1077" spans="1:12" x14ac:dyDescent="0.3">
      <c r="A1077" s="53">
        <f>DATE(D1077,7,9)</f>
        <v>64109</v>
      </c>
      <c r="B1077" s="54">
        <f t="shared" si="101"/>
        <v>64109</v>
      </c>
      <c r="C1077" t="s">
        <v>120</v>
      </c>
      <c r="D1077">
        <f t="shared" si="104"/>
        <v>2075</v>
      </c>
      <c r="E1077" t="s">
        <v>121</v>
      </c>
      <c r="H1077" s="53">
        <f>DATE(K1077,9,7)</f>
        <v>65265</v>
      </c>
      <c r="I1077" s="54">
        <f t="shared" si="103"/>
        <v>65265</v>
      </c>
      <c r="J1077" t="s">
        <v>124</v>
      </c>
      <c r="K1077">
        <f t="shared" si="105"/>
        <v>2078</v>
      </c>
      <c r="L1077" t="s">
        <v>110</v>
      </c>
    </row>
    <row r="1078" spans="1:12" x14ac:dyDescent="0.3">
      <c r="A1078" s="53">
        <f>DATE(D1078,8,8)</f>
        <v>64139</v>
      </c>
      <c r="B1078" s="54">
        <f t="shared" si="101"/>
        <v>64139</v>
      </c>
      <c r="C1078" t="s">
        <v>122</v>
      </c>
      <c r="D1078">
        <f t="shared" si="104"/>
        <v>2075</v>
      </c>
      <c r="E1078" t="s">
        <v>115</v>
      </c>
      <c r="H1078" s="53">
        <f>DATE(K1078,10,12)</f>
        <v>65300</v>
      </c>
      <c r="I1078" s="54">
        <f t="shared" si="103"/>
        <v>65300</v>
      </c>
      <c r="J1078" t="s">
        <v>125</v>
      </c>
      <c r="K1078">
        <f t="shared" si="105"/>
        <v>2078</v>
      </c>
      <c r="L1078" t="s">
        <v>110</v>
      </c>
    </row>
    <row r="1079" spans="1:12" x14ac:dyDescent="0.3">
      <c r="A1079" s="53">
        <f>DATE(D1079,8,1)+(14-WEEKDAY(DATE(D1079,8,1),2))</f>
        <v>64142</v>
      </c>
      <c r="B1079" s="54">
        <f t="shared" si="101"/>
        <v>64142</v>
      </c>
      <c r="C1079" t="s">
        <v>123</v>
      </c>
      <c r="D1079">
        <f t="shared" si="104"/>
        <v>2075</v>
      </c>
      <c r="E1079" t="s">
        <v>110</v>
      </c>
      <c r="H1079" s="53">
        <f>DATE(K1079,11,2)</f>
        <v>65321</v>
      </c>
      <c r="I1079" s="54">
        <f t="shared" si="103"/>
        <v>65321</v>
      </c>
      <c r="J1079" t="s">
        <v>126</v>
      </c>
      <c r="K1079">
        <f t="shared" si="105"/>
        <v>2078</v>
      </c>
      <c r="L1079" t="s">
        <v>110</v>
      </c>
    </row>
    <row r="1080" spans="1:12" x14ac:dyDescent="0.3">
      <c r="A1080" s="53">
        <f>DATE(D1080,9,7)</f>
        <v>64169</v>
      </c>
      <c r="B1080" s="54">
        <f t="shared" si="101"/>
        <v>64169</v>
      </c>
      <c r="C1080" t="s">
        <v>124</v>
      </c>
      <c r="D1080">
        <f t="shared" si="104"/>
        <v>2075</v>
      </c>
      <c r="E1080" t="s">
        <v>110</v>
      </c>
      <c r="H1080" s="53">
        <f>DATE(K1080,11,15)</f>
        <v>65334</v>
      </c>
      <c r="I1080" s="54">
        <f t="shared" si="103"/>
        <v>65334</v>
      </c>
      <c r="J1080" t="s">
        <v>127</v>
      </c>
      <c r="K1080">
        <f t="shared" si="105"/>
        <v>2078</v>
      </c>
      <c r="L1080" t="s">
        <v>110</v>
      </c>
    </row>
    <row r="1081" spans="1:12" x14ac:dyDescent="0.3">
      <c r="A1081" s="53">
        <f>DATE(D1081,10,12)</f>
        <v>64204</v>
      </c>
      <c r="B1081" s="54">
        <f t="shared" si="101"/>
        <v>64204</v>
      </c>
      <c r="C1081" t="s">
        <v>125</v>
      </c>
      <c r="D1081">
        <f t="shared" si="104"/>
        <v>2075</v>
      </c>
      <c r="E1081" t="s">
        <v>110</v>
      </c>
      <c r="H1081" s="53">
        <f>DATE(K1081,11,20)</f>
        <v>65339</v>
      </c>
      <c r="I1081" s="54">
        <f t="shared" si="103"/>
        <v>65339</v>
      </c>
      <c r="J1081" t="s">
        <v>128</v>
      </c>
      <c r="K1081">
        <f t="shared" si="105"/>
        <v>2078</v>
      </c>
      <c r="L1081" t="s">
        <v>110</v>
      </c>
    </row>
    <row r="1082" spans="1:12" x14ac:dyDescent="0.3">
      <c r="A1082" s="53">
        <f>DATE(D1082,11,2)</f>
        <v>64225</v>
      </c>
      <c r="B1082" s="54">
        <f t="shared" si="101"/>
        <v>64225</v>
      </c>
      <c r="C1082" t="s">
        <v>126</v>
      </c>
      <c r="D1082">
        <f t="shared" si="104"/>
        <v>2075</v>
      </c>
      <c r="E1082" t="s">
        <v>110</v>
      </c>
      <c r="H1082" s="53">
        <f>DATE(K1082,12,25)</f>
        <v>65374</v>
      </c>
      <c r="I1082" s="54">
        <f t="shared" si="103"/>
        <v>65374</v>
      </c>
      <c r="J1082" t="s">
        <v>129</v>
      </c>
      <c r="K1082">
        <f t="shared" si="105"/>
        <v>2078</v>
      </c>
      <c r="L1082" t="s">
        <v>110</v>
      </c>
    </row>
    <row r="1083" spans="1:12" x14ac:dyDescent="0.3">
      <c r="A1083" s="53">
        <f>DATE(D1083,11,15)</f>
        <v>64238</v>
      </c>
      <c r="B1083" s="54">
        <f t="shared" si="101"/>
        <v>64238</v>
      </c>
      <c r="C1083" t="s">
        <v>127</v>
      </c>
      <c r="D1083">
        <f t="shared" si="104"/>
        <v>2075</v>
      </c>
      <c r="E1083" t="s">
        <v>110</v>
      </c>
      <c r="H1083" s="53">
        <f>DATE(K1083,1,1)</f>
        <v>65381</v>
      </c>
      <c r="I1083" s="54">
        <f t="shared" si="103"/>
        <v>65381</v>
      </c>
      <c r="J1083" t="s">
        <v>109</v>
      </c>
      <c r="K1083">
        <f>K1065+1</f>
        <v>2079</v>
      </c>
      <c r="L1083" t="s">
        <v>110</v>
      </c>
    </row>
    <row r="1084" spans="1:12" x14ac:dyDescent="0.3">
      <c r="A1084" s="53">
        <f>DATE(D1084,11,20)</f>
        <v>64243</v>
      </c>
      <c r="B1084" s="54">
        <f t="shared" si="101"/>
        <v>64243</v>
      </c>
      <c r="C1084" t="s">
        <v>128</v>
      </c>
      <c r="D1084">
        <f t="shared" si="104"/>
        <v>2075</v>
      </c>
      <c r="E1084" t="s">
        <v>110</v>
      </c>
      <c r="H1084" s="53">
        <f>H1087-48</f>
        <v>65438</v>
      </c>
      <c r="I1084" s="54">
        <f t="shared" si="103"/>
        <v>65438</v>
      </c>
      <c r="J1084" t="s">
        <v>111</v>
      </c>
      <c r="K1084">
        <f t="shared" ref="K1084:K1100" si="106">K1066+1</f>
        <v>2079</v>
      </c>
      <c r="L1084" t="s">
        <v>110</v>
      </c>
    </row>
    <row r="1085" spans="1:12" x14ac:dyDescent="0.3">
      <c r="A1085" s="53">
        <f>DATE(D1085,12,25)</f>
        <v>64278</v>
      </c>
      <c r="B1085" s="54">
        <f t="shared" si="101"/>
        <v>64278</v>
      </c>
      <c r="C1085" t="s">
        <v>129</v>
      </c>
      <c r="D1085">
        <f t="shared" si="104"/>
        <v>2075</v>
      </c>
      <c r="E1085" t="s">
        <v>110</v>
      </c>
      <c r="H1085" s="53">
        <f>H1087-47</f>
        <v>65439</v>
      </c>
      <c r="I1085" s="54">
        <f t="shared" si="103"/>
        <v>65439</v>
      </c>
      <c r="J1085" t="s">
        <v>111</v>
      </c>
      <c r="K1085">
        <f t="shared" si="106"/>
        <v>2079</v>
      </c>
      <c r="L1085" t="s">
        <v>110</v>
      </c>
    </row>
    <row r="1086" spans="1:12" x14ac:dyDescent="0.3">
      <c r="A1086" s="53">
        <f>DATE(D1086,1,1)</f>
        <v>64285</v>
      </c>
      <c r="B1086" s="54">
        <f t="shared" si="101"/>
        <v>64285</v>
      </c>
      <c r="C1086" t="s">
        <v>109</v>
      </c>
      <c r="D1086">
        <f>D1067+1</f>
        <v>2076</v>
      </c>
      <c r="E1086" t="s">
        <v>110</v>
      </c>
      <c r="H1086" s="53">
        <f>H1087-2</f>
        <v>65484</v>
      </c>
      <c r="I1086" s="54">
        <f t="shared" si="103"/>
        <v>65484</v>
      </c>
      <c r="J1086" t="s">
        <v>112</v>
      </c>
      <c r="K1086">
        <f t="shared" si="106"/>
        <v>2079</v>
      </c>
      <c r="L1086" t="s">
        <v>110</v>
      </c>
    </row>
    <row r="1087" spans="1:12" x14ac:dyDescent="0.3">
      <c r="A1087" s="53">
        <f>A1090-48</f>
        <v>64346</v>
      </c>
      <c r="B1087" s="54">
        <f t="shared" si="101"/>
        <v>64346</v>
      </c>
      <c r="C1087" t="s">
        <v>111</v>
      </c>
      <c r="D1087">
        <f t="shared" si="104"/>
        <v>2076</v>
      </c>
      <c r="E1087" t="s">
        <v>110</v>
      </c>
      <c r="H1087" s="53">
        <f>FLOOR(DAY(MINUTE(K1087/38)/2+56)&amp;"/5"&amp;"/"&amp;K1087,7)-34</f>
        <v>65486</v>
      </c>
      <c r="I1087" s="54">
        <f t="shared" si="103"/>
        <v>65486</v>
      </c>
      <c r="J1087" t="s">
        <v>113</v>
      </c>
      <c r="K1087">
        <f t="shared" si="106"/>
        <v>2079</v>
      </c>
      <c r="L1087" t="s">
        <v>110</v>
      </c>
    </row>
    <row r="1088" spans="1:12" x14ac:dyDescent="0.3">
      <c r="A1088" s="53">
        <f>A1090-47</f>
        <v>64347</v>
      </c>
      <c r="B1088" s="54">
        <f t="shared" si="101"/>
        <v>64347</v>
      </c>
      <c r="C1088" t="s">
        <v>111</v>
      </c>
      <c r="D1088">
        <f t="shared" si="104"/>
        <v>2076</v>
      </c>
      <c r="E1088" t="s">
        <v>110</v>
      </c>
      <c r="H1088" s="53">
        <f>DATE(K1088,4,21)</f>
        <v>65491</v>
      </c>
      <c r="I1088" s="54">
        <f t="shared" si="103"/>
        <v>65491</v>
      </c>
      <c r="J1088" t="s">
        <v>116</v>
      </c>
      <c r="K1088">
        <f t="shared" si="106"/>
        <v>2079</v>
      </c>
      <c r="L1088" t="s">
        <v>110</v>
      </c>
    </row>
    <row r="1089" spans="1:12" x14ac:dyDescent="0.3">
      <c r="A1089" s="53">
        <f>A1090-2</f>
        <v>64392</v>
      </c>
      <c r="B1089" s="54">
        <f t="shared" si="101"/>
        <v>64392</v>
      </c>
      <c r="C1089" t="s">
        <v>112</v>
      </c>
      <c r="D1089">
        <f t="shared" si="104"/>
        <v>2076</v>
      </c>
      <c r="E1089" t="s">
        <v>110</v>
      </c>
      <c r="H1089" s="53">
        <f>DATE(K1089,5,1)</f>
        <v>65501</v>
      </c>
      <c r="I1089" s="54">
        <f t="shared" si="103"/>
        <v>65501</v>
      </c>
      <c r="J1089" t="s">
        <v>117</v>
      </c>
      <c r="K1089">
        <f t="shared" si="106"/>
        <v>2079</v>
      </c>
      <c r="L1089" t="s">
        <v>110</v>
      </c>
    </row>
    <row r="1090" spans="1:12" x14ac:dyDescent="0.3">
      <c r="A1090" s="53">
        <f>FLOOR(DAY(MINUTE(D1090/38)/2+56)&amp;"/5"&amp;"/"&amp;D1090,7)-34</f>
        <v>64394</v>
      </c>
      <c r="B1090" s="54">
        <f t="shared" si="101"/>
        <v>64394</v>
      </c>
      <c r="C1090" t="s">
        <v>113</v>
      </c>
      <c r="D1090">
        <f t="shared" si="104"/>
        <v>2076</v>
      </c>
      <c r="E1090" t="s">
        <v>110</v>
      </c>
      <c r="H1090" s="53">
        <f>DATE(K1090,5,1)+(14-WEEKDAY(DATE(K1090,5,1),2))</f>
        <v>65514</v>
      </c>
      <c r="I1090" s="54">
        <f t="shared" si="103"/>
        <v>65514</v>
      </c>
      <c r="J1090" t="s">
        <v>118</v>
      </c>
      <c r="K1090">
        <f t="shared" si="106"/>
        <v>2079</v>
      </c>
      <c r="L1090" t="s">
        <v>110</v>
      </c>
    </row>
    <row r="1091" spans="1:12" x14ac:dyDescent="0.3">
      <c r="A1091" s="53">
        <f>DATE(D1091,4,14)</f>
        <v>64389</v>
      </c>
      <c r="B1091" s="54">
        <f t="shared" ref="B1091:B1154" si="107">A1091</f>
        <v>64389</v>
      </c>
      <c r="C1091" t="s">
        <v>114</v>
      </c>
      <c r="D1091">
        <f t="shared" si="104"/>
        <v>2076</v>
      </c>
      <c r="E1091" t="s">
        <v>115</v>
      </c>
      <c r="H1091" s="53">
        <f>H1087+60</f>
        <v>65546</v>
      </c>
      <c r="I1091" s="54">
        <f t="shared" si="103"/>
        <v>65546</v>
      </c>
      <c r="J1091" t="s">
        <v>119</v>
      </c>
      <c r="K1091">
        <f t="shared" si="106"/>
        <v>2079</v>
      </c>
      <c r="L1091" t="s">
        <v>110</v>
      </c>
    </row>
    <row r="1092" spans="1:12" x14ac:dyDescent="0.3">
      <c r="A1092" s="53">
        <f>DATE(D1092,4,21)</f>
        <v>64396</v>
      </c>
      <c r="B1092" s="54">
        <f t="shared" si="107"/>
        <v>64396</v>
      </c>
      <c r="C1092" t="s">
        <v>116</v>
      </c>
      <c r="D1092">
        <f t="shared" si="104"/>
        <v>2076</v>
      </c>
      <c r="E1092" t="s">
        <v>110</v>
      </c>
      <c r="H1092" s="53">
        <f>DATE(K1092,6,19)</f>
        <v>65550</v>
      </c>
      <c r="I1092" s="54">
        <f t="shared" si="103"/>
        <v>65550</v>
      </c>
      <c r="J1092" t="s">
        <v>114</v>
      </c>
      <c r="K1092">
        <f t="shared" si="106"/>
        <v>2079</v>
      </c>
      <c r="L1092" t="s">
        <v>115</v>
      </c>
    </row>
    <row r="1093" spans="1:12" x14ac:dyDescent="0.3">
      <c r="A1093" s="53">
        <f>DATE(D1093,5,1)</f>
        <v>64406</v>
      </c>
      <c r="B1093" s="54">
        <f t="shared" si="107"/>
        <v>64406</v>
      </c>
      <c r="C1093" t="s">
        <v>117</v>
      </c>
      <c r="D1093">
        <f t="shared" si="104"/>
        <v>2076</v>
      </c>
      <c r="E1093" t="s">
        <v>110</v>
      </c>
      <c r="H1093" s="53">
        <f>DATE(K1093,7,9)</f>
        <v>65570</v>
      </c>
      <c r="I1093" s="54">
        <f t="shared" si="103"/>
        <v>65570</v>
      </c>
      <c r="J1093" t="s">
        <v>120</v>
      </c>
      <c r="K1093">
        <f t="shared" si="106"/>
        <v>2079</v>
      </c>
      <c r="L1093" t="s">
        <v>121</v>
      </c>
    </row>
    <row r="1094" spans="1:12" x14ac:dyDescent="0.3">
      <c r="A1094" s="53">
        <f>DATE(D1094,5,1)+(14-WEEKDAY(DATE(D1094,5,1),2))</f>
        <v>64415</v>
      </c>
      <c r="B1094" s="54">
        <f t="shared" si="107"/>
        <v>64415</v>
      </c>
      <c r="C1094" t="s">
        <v>118</v>
      </c>
      <c r="D1094">
        <f t="shared" si="104"/>
        <v>2076</v>
      </c>
      <c r="E1094" t="s">
        <v>110</v>
      </c>
      <c r="H1094" s="53">
        <f>DATE(K1094,8,1)+(14-WEEKDAY(DATE(K1094,8,1),2))</f>
        <v>65605</v>
      </c>
      <c r="I1094" s="54">
        <f t="shared" si="103"/>
        <v>65605</v>
      </c>
      <c r="J1094" t="s">
        <v>123</v>
      </c>
      <c r="K1094">
        <f t="shared" si="106"/>
        <v>2079</v>
      </c>
      <c r="L1094" t="s">
        <v>110</v>
      </c>
    </row>
    <row r="1095" spans="1:12" x14ac:dyDescent="0.3">
      <c r="A1095" s="53">
        <f>A1090+60</f>
        <v>64454</v>
      </c>
      <c r="B1095" s="54">
        <f t="shared" si="107"/>
        <v>64454</v>
      </c>
      <c r="C1095" t="s">
        <v>119</v>
      </c>
      <c r="D1095">
        <f t="shared" si="104"/>
        <v>2076</v>
      </c>
      <c r="E1095" t="s">
        <v>110</v>
      </c>
      <c r="H1095" s="53">
        <f>DATE(K1095,9,7)</f>
        <v>65630</v>
      </c>
      <c r="I1095" s="54">
        <f t="shared" si="103"/>
        <v>65630</v>
      </c>
      <c r="J1095" t="s">
        <v>124</v>
      </c>
      <c r="K1095">
        <f t="shared" si="106"/>
        <v>2079</v>
      </c>
      <c r="L1095" t="s">
        <v>110</v>
      </c>
    </row>
    <row r="1096" spans="1:12" x14ac:dyDescent="0.3">
      <c r="A1096" s="53">
        <f>DATE(D1096,7,9)</f>
        <v>64475</v>
      </c>
      <c r="B1096" s="54">
        <f t="shared" si="107"/>
        <v>64475</v>
      </c>
      <c r="C1096" t="s">
        <v>120</v>
      </c>
      <c r="D1096">
        <f t="shared" si="104"/>
        <v>2076</v>
      </c>
      <c r="E1096" t="s">
        <v>121</v>
      </c>
      <c r="H1096" s="53">
        <f>DATE(K1096,10,12)</f>
        <v>65665</v>
      </c>
      <c r="I1096" s="54">
        <f t="shared" ref="I1096:I1159" si="108">H1096</f>
        <v>65665</v>
      </c>
      <c r="J1096" t="s">
        <v>125</v>
      </c>
      <c r="K1096">
        <f t="shared" si="106"/>
        <v>2079</v>
      </c>
      <c r="L1096" t="s">
        <v>110</v>
      </c>
    </row>
    <row r="1097" spans="1:12" x14ac:dyDescent="0.3">
      <c r="A1097" s="53">
        <f>DATE(D1097,8,8)</f>
        <v>64505</v>
      </c>
      <c r="B1097" s="54">
        <f t="shared" si="107"/>
        <v>64505</v>
      </c>
      <c r="C1097" t="s">
        <v>122</v>
      </c>
      <c r="D1097">
        <f t="shared" si="104"/>
        <v>2076</v>
      </c>
      <c r="E1097" t="s">
        <v>115</v>
      </c>
      <c r="H1097" s="53">
        <f>DATE(K1097,11,2)</f>
        <v>65686</v>
      </c>
      <c r="I1097" s="54">
        <f t="shared" si="108"/>
        <v>65686</v>
      </c>
      <c r="J1097" t="s">
        <v>126</v>
      </c>
      <c r="K1097">
        <f t="shared" si="106"/>
        <v>2079</v>
      </c>
      <c r="L1097" t="s">
        <v>110</v>
      </c>
    </row>
    <row r="1098" spans="1:12" x14ac:dyDescent="0.3">
      <c r="A1098" s="53">
        <f>DATE(D1098,8,1)+(14-WEEKDAY(DATE(D1098,8,1),2))</f>
        <v>64506</v>
      </c>
      <c r="B1098" s="54">
        <f t="shared" si="107"/>
        <v>64506</v>
      </c>
      <c r="C1098" t="s">
        <v>123</v>
      </c>
      <c r="D1098">
        <f t="shared" si="104"/>
        <v>2076</v>
      </c>
      <c r="E1098" t="s">
        <v>110</v>
      </c>
      <c r="H1098" s="53">
        <f>DATE(K1098,11,15)</f>
        <v>65699</v>
      </c>
      <c r="I1098" s="54">
        <f t="shared" si="108"/>
        <v>65699</v>
      </c>
      <c r="J1098" t="s">
        <v>127</v>
      </c>
      <c r="K1098">
        <f t="shared" si="106"/>
        <v>2079</v>
      </c>
      <c r="L1098" t="s">
        <v>110</v>
      </c>
    </row>
    <row r="1099" spans="1:12" x14ac:dyDescent="0.3">
      <c r="A1099" s="53">
        <f>DATE(D1099,9,7)</f>
        <v>64535</v>
      </c>
      <c r="B1099" s="54">
        <f t="shared" si="107"/>
        <v>64535</v>
      </c>
      <c r="C1099" t="s">
        <v>124</v>
      </c>
      <c r="D1099">
        <f t="shared" si="104"/>
        <v>2076</v>
      </c>
      <c r="E1099" t="s">
        <v>110</v>
      </c>
      <c r="H1099" s="53">
        <f>DATE(K1099,11,20)</f>
        <v>65704</v>
      </c>
      <c r="I1099" s="54">
        <f t="shared" si="108"/>
        <v>65704</v>
      </c>
      <c r="J1099" t="s">
        <v>128</v>
      </c>
      <c r="K1099">
        <f t="shared" si="106"/>
        <v>2079</v>
      </c>
      <c r="L1099" t="s">
        <v>110</v>
      </c>
    </row>
    <row r="1100" spans="1:12" x14ac:dyDescent="0.3">
      <c r="A1100" s="53">
        <f>DATE(D1100,10,12)</f>
        <v>64570</v>
      </c>
      <c r="B1100" s="54">
        <f t="shared" si="107"/>
        <v>64570</v>
      </c>
      <c r="C1100" t="s">
        <v>125</v>
      </c>
      <c r="D1100">
        <f t="shared" si="104"/>
        <v>2076</v>
      </c>
      <c r="E1100" t="s">
        <v>110</v>
      </c>
      <c r="H1100" s="53">
        <f>DATE(K1100,12,25)</f>
        <v>65739</v>
      </c>
      <c r="I1100" s="54">
        <f t="shared" si="108"/>
        <v>65739</v>
      </c>
      <c r="J1100" t="s">
        <v>129</v>
      </c>
      <c r="K1100">
        <f t="shared" si="106"/>
        <v>2079</v>
      </c>
      <c r="L1100" t="s">
        <v>110</v>
      </c>
    </row>
    <row r="1101" spans="1:12" x14ac:dyDescent="0.3">
      <c r="A1101" s="53">
        <f>DATE(D1101,11,2)</f>
        <v>64591</v>
      </c>
      <c r="B1101" s="54">
        <f t="shared" si="107"/>
        <v>64591</v>
      </c>
      <c r="C1101" t="s">
        <v>126</v>
      </c>
      <c r="D1101">
        <f t="shared" si="104"/>
        <v>2076</v>
      </c>
      <c r="E1101" t="s">
        <v>110</v>
      </c>
      <c r="H1101" s="53">
        <f>DATE(K1101,1,1)</f>
        <v>65746</v>
      </c>
      <c r="I1101" s="54">
        <f t="shared" si="108"/>
        <v>65746</v>
      </c>
      <c r="J1101" t="s">
        <v>109</v>
      </c>
      <c r="K1101">
        <f>K1083+1</f>
        <v>2080</v>
      </c>
      <c r="L1101" t="s">
        <v>110</v>
      </c>
    </row>
    <row r="1102" spans="1:12" x14ac:dyDescent="0.3">
      <c r="A1102" s="53">
        <f>DATE(D1102,11,15)</f>
        <v>64604</v>
      </c>
      <c r="B1102" s="54">
        <f t="shared" si="107"/>
        <v>64604</v>
      </c>
      <c r="C1102" t="s">
        <v>127</v>
      </c>
      <c r="D1102">
        <f t="shared" si="104"/>
        <v>2076</v>
      </c>
      <c r="E1102" t="s">
        <v>110</v>
      </c>
      <c r="H1102" s="53">
        <f>H1105-48</f>
        <v>65795</v>
      </c>
      <c r="I1102" s="54">
        <f t="shared" si="108"/>
        <v>65795</v>
      </c>
      <c r="J1102" t="s">
        <v>111</v>
      </c>
      <c r="K1102">
        <f t="shared" ref="K1102:K1165" si="109">K1084+1</f>
        <v>2080</v>
      </c>
      <c r="L1102" t="s">
        <v>110</v>
      </c>
    </row>
    <row r="1103" spans="1:12" x14ac:dyDescent="0.3">
      <c r="A1103" s="53">
        <f>DATE(D1103,11,20)</f>
        <v>64609</v>
      </c>
      <c r="B1103" s="54">
        <f t="shared" si="107"/>
        <v>64609</v>
      </c>
      <c r="C1103" t="s">
        <v>128</v>
      </c>
      <c r="D1103">
        <f t="shared" si="104"/>
        <v>2076</v>
      </c>
      <c r="E1103" t="s">
        <v>110</v>
      </c>
      <c r="H1103" s="53">
        <f>H1105-47</f>
        <v>65796</v>
      </c>
      <c r="I1103" s="54">
        <f t="shared" si="108"/>
        <v>65796</v>
      </c>
      <c r="J1103" t="s">
        <v>111</v>
      </c>
      <c r="K1103">
        <f t="shared" si="109"/>
        <v>2080</v>
      </c>
      <c r="L1103" t="s">
        <v>110</v>
      </c>
    </row>
    <row r="1104" spans="1:12" x14ac:dyDescent="0.3">
      <c r="A1104" s="53">
        <f>DATE(D1104,12,25)</f>
        <v>64644</v>
      </c>
      <c r="B1104" s="54">
        <f t="shared" si="107"/>
        <v>64644</v>
      </c>
      <c r="C1104" t="s">
        <v>129</v>
      </c>
      <c r="D1104">
        <f t="shared" si="104"/>
        <v>2076</v>
      </c>
      <c r="E1104" t="s">
        <v>110</v>
      </c>
      <c r="H1104" s="53">
        <f>H1105-2</f>
        <v>65841</v>
      </c>
      <c r="I1104" s="54">
        <f t="shared" si="108"/>
        <v>65841</v>
      </c>
      <c r="J1104" t="s">
        <v>112</v>
      </c>
      <c r="K1104">
        <f t="shared" si="109"/>
        <v>2080</v>
      </c>
      <c r="L1104" t="s">
        <v>110</v>
      </c>
    </row>
    <row r="1105" spans="1:12" x14ac:dyDescent="0.3">
      <c r="A1105" s="53">
        <f>DATE(D1105,1,1)</f>
        <v>64651</v>
      </c>
      <c r="B1105" s="54">
        <f t="shared" si="107"/>
        <v>64651</v>
      </c>
      <c r="C1105" t="s">
        <v>109</v>
      </c>
      <c r="D1105">
        <f>D1086+1</f>
        <v>2077</v>
      </c>
      <c r="E1105" t="s">
        <v>110</v>
      </c>
      <c r="H1105" s="53">
        <f>FLOOR(DAY(MINUTE(K1105/38)/2+56)&amp;"/5"&amp;"/"&amp;K1105,7)-34</f>
        <v>65843</v>
      </c>
      <c r="I1105" s="54">
        <f t="shared" si="108"/>
        <v>65843</v>
      </c>
      <c r="J1105" t="s">
        <v>113</v>
      </c>
      <c r="K1105">
        <f t="shared" si="109"/>
        <v>2080</v>
      </c>
      <c r="L1105" t="s">
        <v>110</v>
      </c>
    </row>
    <row r="1106" spans="1:12" x14ac:dyDescent="0.3">
      <c r="A1106" s="53">
        <f>A1109-48</f>
        <v>64703</v>
      </c>
      <c r="B1106" s="54">
        <f t="shared" si="107"/>
        <v>64703</v>
      </c>
      <c r="C1106" t="s">
        <v>111</v>
      </c>
      <c r="D1106">
        <f t="shared" si="104"/>
        <v>2077</v>
      </c>
      <c r="E1106" t="s">
        <v>110</v>
      </c>
      <c r="H1106" s="53">
        <f>DATE(K1106,4,21)</f>
        <v>65857</v>
      </c>
      <c r="I1106" s="54">
        <f t="shared" si="108"/>
        <v>65857</v>
      </c>
      <c r="J1106" t="s">
        <v>116</v>
      </c>
      <c r="K1106">
        <f t="shared" si="109"/>
        <v>2080</v>
      </c>
      <c r="L1106" t="s">
        <v>110</v>
      </c>
    </row>
    <row r="1107" spans="1:12" x14ac:dyDescent="0.3">
      <c r="A1107" s="53">
        <f>A1109-47</f>
        <v>64704</v>
      </c>
      <c r="B1107" s="54">
        <f t="shared" si="107"/>
        <v>64704</v>
      </c>
      <c r="C1107" t="s">
        <v>111</v>
      </c>
      <c r="D1107">
        <f t="shared" si="104"/>
        <v>2077</v>
      </c>
      <c r="E1107" t="s">
        <v>110</v>
      </c>
      <c r="H1107" s="53">
        <f>DATE(K1107,5,1)</f>
        <v>65867</v>
      </c>
      <c r="I1107" s="54">
        <f t="shared" si="108"/>
        <v>65867</v>
      </c>
      <c r="J1107" t="s">
        <v>117</v>
      </c>
      <c r="K1107">
        <f t="shared" si="109"/>
        <v>2080</v>
      </c>
      <c r="L1107" t="s">
        <v>110</v>
      </c>
    </row>
    <row r="1108" spans="1:12" x14ac:dyDescent="0.3">
      <c r="A1108" s="53">
        <f>A1109-2</f>
        <v>64749</v>
      </c>
      <c r="B1108" s="54">
        <f t="shared" si="107"/>
        <v>64749</v>
      </c>
      <c r="C1108" t="s">
        <v>112</v>
      </c>
      <c r="D1108">
        <f t="shared" si="104"/>
        <v>2077</v>
      </c>
      <c r="E1108" t="s">
        <v>110</v>
      </c>
      <c r="H1108" s="53">
        <f>DATE(K1108,5,1)+(14-WEEKDAY(DATE(K1108,5,1),2))</f>
        <v>65878</v>
      </c>
      <c r="I1108" s="54">
        <f t="shared" si="108"/>
        <v>65878</v>
      </c>
      <c r="J1108" t="s">
        <v>118</v>
      </c>
      <c r="K1108">
        <f t="shared" si="109"/>
        <v>2080</v>
      </c>
      <c r="L1108" t="s">
        <v>110</v>
      </c>
    </row>
    <row r="1109" spans="1:12" x14ac:dyDescent="0.3">
      <c r="A1109" s="53">
        <f>FLOOR(DAY(MINUTE(D1109/38)/2+56)&amp;"/5"&amp;"/"&amp;D1109,7)-34</f>
        <v>64751</v>
      </c>
      <c r="B1109" s="54">
        <f t="shared" si="107"/>
        <v>64751</v>
      </c>
      <c r="C1109" t="s">
        <v>113</v>
      </c>
      <c r="D1109">
        <f t="shared" si="104"/>
        <v>2077</v>
      </c>
      <c r="E1109" t="s">
        <v>110</v>
      </c>
      <c r="H1109" s="53">
        <f>H1105+60</f>
        <v>65903</v>
      </c>
      <c r="I1109" s="54">
        <f t="shared" si="108"/>
        <v>65903</v>
      </c>
      <c r="J1109" t="s">
        <v>119</v>
      </c>
      <c r="K1109">
        <f t="shared" si="109"/>
        <v>2080</v>
      </c>
      <c r="L1109" t="s">
        <v>110</v>
      </c>
    </row>
    <row r="1110" spans="1:12" x14ac:dyDescent="0.3">
      <c r="A1110" s="53">
        <f>DATE(D1110,4,14)</f>
        <v>64754</v>
      </c>
      <c r="B1110" s="54">
        <f t="shared" si="107"/>
        <v>64754</v>
      </c>
      <c r="C1110" t="s">
        <v>114</v>
      </c>
      <c r="D1110">
        <f t="shared" si="104"/>
        <v>2077</v>
      </c>
      <c r="E1110" t="s">
        <v>115</v>
      </c>
      <c r="H1110" s="53">
        <f>DATE(K1110,6,19)</f>
        <v>65916</v>
      </c>
      <c r="I1110" s="54">
        <f t="shared" si="108"/>
        <v>65916</v>
      </c>
      <c r="J1110" t="s">
        <v>114</v>
      </c>
      <c r="K1110">
        <f t="shared" si="109"/>
        <v>2080</v>
      </c>
      <c r="L1110" t="s">
        <v>115</v>
      </c>
    </row>
    <row r="1111" spans="1:12" x14ac:dyDescent="0.3">
      <c r="A1111" s="53">
        <f>DATE(D1111,4,21)</f>
        <v>64761</v>
      </c>
      <c r="B1111" s="54">
        <f t="shared" si="107"/>
        <v>64761</v>
      </c>
      <c r="C1111" t="s">
        <v>116</v>
      </c>
      <c r="D1111">
        <f t="shared" si="104"/>
        <v>2077</v>
      </c>
      <c r="E1111" t="s">
        <v>110</v>
      </c>
      <c r="H1111" s="53">
        <f>DATE(K1111,7,9)</f>
        <v>65936</v>
      </c>
      <c r="I1111" s="54">
        <f t="shared" si="108"/>
        <v>65936</v>
      </c>
      <c r="J1111" t="s">
        <v>120</v>
      </c>
      <c r="K1111">
        <f t="shared" si="109"/>
        <v>2080</v>
      </c>
      <c r="L1111" t="s">
        <v>121</v>
      </c>
    </row>
    <row r="1112" spans="1:12" x14ac:dyDescent="0.3">
      <c r="A1112" s="53">
        <f>DATE(D1112,5,1)</f>
        <v>64771</v>
      </c>
      <c r="B1112" s="54">
        <f t="shared" si="107"/>
        <v>64771</v>
      </c>
      <c r="C1112" t="s">
        <v>117</v>
      </c>
      <c r="D1112">
        <f t="shared" si="104"/>
        <v>2077</v>
      </c>
      <c r="E1112" t="s">
        <v>110</v>
      </c>
      <c r="H1112" s="53">
        <f>DATE(K1112,8,1)+(14-WEEKDAY(DATE(K1112,8,1),2))</f>
        <v>65969</v>
      </c>
      <c r="I1112" s="54">
        <f t="shared" si="108"/>
        <v>65969</v>
      </c>
      <c r="J1112" t="s">
        <v>123</v>
      </c>
      <c r="K1112">
        <f t="shared" si="109"/>
        <v>2080</v>
      </c>
      <c r="L1112" t="s">
        <v>110</v>
      </c>
    </row>
    <row r="1113" spans="1:12" x14ac:dyDescent="0.3">
      <c r="A1113" s="53">
        <f>DATE(D1113,5,1)+(14-WEEKDAY(DATE(D1113,5,1),2))</f>
        <v>64779</v>
      </c>
      <c r="B1113" s="54">
        <f t="shared" si="107"/>
        <v>64779</v>
      </c>
      <c r="C1113" t="s">
        <v>118</v>
      </c>
      <c r="D1113">
        <f t="shared" ref="D1113:D1123" si="110">D1094+1</f>
        <v>2077</v>
      </c>
      <c r="E1113" t="s">
        <v>110</v>
      </c>
      <c r="H1113" s="53">
        <f>DATE(K1113,9,7)</f>
        <v>65996</v>
      </c>
      <c r="I1113" s="54">
        <f t="shared" si="108"/>
        <v>65996</v>
      </c>
      <c r="J1113" t="s">
        <v>124</v>
      </c>
      <c r="K1113">
        <f t="shared" si="109"/>
        <v>2080</v>
      </c>
      <c r="L1113" t="s">
        <v>110</v>
      </c>
    </row>
    <row r="1114" spans="1:12" x14ac:dyDescent="0.3">
      <c r="A1114" s="53">
        <f>A1109+60</f>
        <v>64811</v>
      </c>
      <c r="B1114" s="54">
        <f t="shared" si="107"/>
        <v>64811</v>
      </c>
      <c r="C1114" t="s">
        <v>119</v>
      </c>
      <c r="D1114">
        <f t="shared" si="110"/>
        <v>2077</v>
      </c>
      <c r="E1114" t="s">
        <v>110</v>
      </c>
      <c r="H1114" s="53">
        <f>DATE(K1114,10,12)</f>
        <v>66031</v>
      </c>
      <c r="I1114" s="54">
        <f t="shared" si="108"/>
        <v>66031</v>
      </c>
      <c r="J1114" t="s">
        <v>125</v>
      </c>
      <c r="K1114">
        <f t="shared" si="109"/>
        <v>2080</v>
      </c>
      <c r="L1114" t="s">
        <v>110</v>
      </c>
    </row>
    <row r="1115" spans="1:12" x14ac:dyDescent="0.3">
      <c r="A1115" s="53">
        <f>DATE(D1115,7,9)</f>
        <v>64840</v>
      </c>
      <c r="B1115" s="54">
        <f t="shared" si="107"/>
        <v>64840</v>
      </c>
      <c r="C1115" t="s">
        <v>120</v>
      </c>
      <c r="D1115">
        <f t="shared" si="110"/>
        <v>2077</v>
      </c>
      <c r="E1115" t="s">
        <v>121</v>
      </c>
      <c r="H1115" s="53">
        <f>DATE(K1115,11,2)</f>
        <v>66052</v>
      </c>
      <c r="I1115" s="54">
        <f t="shared" si="108"/>
        <v>66052</v>
      </c>
      <c r="J1115" t="s">
        <v>126</v>
      </c>
      <c r="K1115">
        <f t="shared" si="109"/>
        <v>2080</v>
      </c>
      <c r="L1115" t="s">
        <v>110</v>
      </c>
    </row>
    <row r="1116" spans="1:12" x14ac:dyDescent="0.3">
      <c r="A1116" s="53">
        <f>DATE(D1116,8,8)</f>
        <v>64870</v>
      </c>
      <c r="B1116" s="54">
        <f t="shared" si="107"/>
        <v>64870</v>
      </c>
      <c r="C1116" t="s">
        <v>122</v>
      </c>
      <c r="D1116">
        <f t="shared" si="110"/>
        <v>2077</v>
      </c>
      <c r="E1116" t="s">
        <v>115</v>
      </c>
      <c r="H1116" s="53">
        <f>DATE(K1116,11,15)</f>
        <v>66065</v>
      </c>
      <c r="I1116" s="54">
        <f t="shared" si="108"/>
        <v>66065</v>
      </c>
      <c r="J1116" t="s">
        <v>127</v>
      </c>
      <c r="K1116">
        <f t="shared" si="109"/>
        <v>2080</v>
      </c>
      <c r="L1116" t="s">
        <v>110</v>
      </c>
    </row>
    <row r="1117" spans="1:12" x14ac:dyDescent="0.3">
      <c r="A1117" s="53">
        <f>DATE(D1117,8,1)+(14-WEEKDAY(DATE(D1117,8,1),2))</f>
        <v>64870</v>
      </c>
      <c r="B1117" s="54">
        <f t="shared" si="107"/>
        <v>64870</v>
      </c>
      <c r="C1117" t="s">
        <v>123</v>
      </c>
      <c r="D1117">
        <f t="shared" si="110"/>
        <v>2077</v>
      </c>
      <c r="E1117" t="s">
        <v>110</v>
      </c>
      <c r="H1117" s="53">
        <f>DATE(K1117,11,20)</f>
        <v>66070</v>
      </c>
      <c r="I1117" s="54">
        <f t="shared" si="108"/>
        <v>66070</v>
      </c>
      <c r="J1117" t="s">
        <v>128</v>
      </c>
      <c r="K1117">
        <f t="shared" si="109"/>
        <v>2080</v>
      </c>
      <c r="L1117" t="s">
        <v>110</v>
      </c>
    </row>
    <row r="1118" spans="1:12" x14ac:dyDescent="0.3">
      <c r="A1118" s="53">
        <f>DATE(D1118,9,7)</f>
        <v>64900</v>
      </c>
      <c r="B1118" s="54">
        <f t="shared" si="107"/>
        <v>64900</v>
      </c>
      <c r="C1118" t="s">
        <v>124</v>
      </c>
      <c r="D1118">
        <f t="shared" si="110"/>
        <v>2077</v>
      </c>
      <c r="E1118" t="s">
        <v>110</v>
      </c>
      <c r="H1118" s="53">
        <f>DATE(K1118,12,25)</f>
        <v>66105</v>
      </c>
      <c r="I1118" s="54">
        <f t="shared" si="108"/>
        <v>66105</v>
      </c>
      <c r="J1118" t="s">
        <v>129</v>
      </c>
      <c r="K1118">
        <f t="shared" si="109"/>
        <v>2080</v>
      </c>
      <c r="L1118" t="s">
        <v>110</v>
      </c>
    </row>
    <row r="1119" spans="1:12" x14ac:dyDescent="0.3">
      <c r="A1119" s="53">
        <f>DATE(D1119,10,12)</f>
        <v>64935</v>
      </c>
      <c r="B1119" s="54">
        <f t="shared" si="107"/>
        <v>64935</v>
      </c>
      <c r="C1119" t="s">
        <v>125</v>
      </c>
      <c r="D1119">
        <f t="shared" si="110"/>
        <v>2077</v>
      </c>
      <c r="E1119" t="s">
        <v>110</v>
      </c>
      <c r="H1119" s="53">
        <f>DATE(K1119,1,1)</f>
        <v>66112</v>
      </c>
      <c r="I1119" s="54">
        <f t="shared" si="108"/>
        <v>66112</v>
      </c>
      <c r="J1119" t="s">
        <v>109</v>
      </c>
      <c r="K1119">
        <f>K1101+1</f>
        <v>2081</v>
      </c>
      <c r="L1119" t="s">
        <v>110</v>
      </c>
    </row>
    <row r="1120" spans="1:12" x14ac:dyDescent="0.3">
      <c r="A1120" s="53">
        <f>DATE(D1120,11,2)</f>
        <v>64956</v>
      </c>
      <c r="B1120" s="54">
        <f t="shared" si="107"/>
        <v>64956</v>
      </c>
      <c r="C1120" t="s">
        <v>126</v>
      </c>
      <c r="D1120">
        <f t="shared" si="110"/>
        <v>2077</v>
      </c>
      <c r="E1120" t="s">
        <v>110</v>
      </c>
      <c r="H1120" s="53">
        <f>H1123-48</f>
        <v>66152</v>
      </c>
      <c r="I1120" s="54">
        <f t="shared" si="108"/>
        <v>66152</v>
      </c>
      <c r="J1120" t="s">
        <v>111</v>
      </c>
      <c r="K1120">
        <f t="shared" si="109"/>
        <v>2081</v>
      </c>
      <c r="L1120" t="s">
        <v>110</v>
      </c>
    </row>
    <row r="1121" spans="1:12" x14ac:dyDescent="0.3">
      <c r="A1121" s="53">
        <f>DATE(D1121,11,15)</f>
        <v>64969</v>
      </c>
      <c r="B1121" s="54">
        <f t="shared" si="107"/>
        <v>64969</v>
      </c>
      <c r="C1121" t="s">
        <v>127</v>
      </c>
      <c r="D1121">
        <f t="shared" si="110"/>
        <v>2077</v>
      </c>
      <c r="E1121" t="s">
        <v>110</v>
      </c>
      <c r="H1121" s="53">
        <f>H1123-47</f>
        <v>66153</v>
      </c>
      <c r="I1121" s="54">
        <f t="shared" si="108"/>
        <v>66153</v>
      </c>
      <c r="J1121" t="s">
        <v>111</v>
      </c>
      <c r="K1121">
        <f t="shared" si="109"/>
        <v>2081</v>
      </c>
      <c r="L1121" t="s">
        <v>110</v>
      </c>
    </row>
    <row r="1122" spans="1:12" x14ac:dyDescent="0.3">
      <c r="A1122" s="53">
        <f>DATE(D1122,11,20)</f>
        <v>64974</v>
      </c>
      <c r="B1122" s="54">
        <f t="shared" si="107"/>
        <v>64974</v>
      </c>
      <c r="C1122" t="s">
        <v>128</v>
      </c>
      <c r="D1122">
        <f t="shared" si="110"/>
        <v>2077</v>
      </c>
      <c r="E1122" t="s">
        <v>110</v>
      </c>
      <c r="H1122" s="53">
        <f>H1123-2</f>
        <v>66198</v>
      </c>
      <c r="I1122" s="54">
        <f t="shared" si="108"/>
        <v>66198</v>
      </c>
      <c r="J1122" t="s">
        <v>112</v>
      </c>
      <c r="K1122">
        <f t="shared" si="109"/>
        <v>2081</v>
      </c>
      <c r="L1122" t="s">
        <v>110</v>
      </c>
    </row>
    <row r="1123" spans="1:12" x14ac:dyDescent="0.3">
      <c r="A1123" s="53">
        <f>DATE(D1123,12,25)</f>
        <v>65009</v>
      </c>
      <c r="B1123" s="54">
        <f t="shared" si="107"/>
        <v>65009</v>
      </c>
      <c r="C1123" t="s">
        <v>129</v>
      </c>
      <c r="D1123">
        <f t="shared" si="110"/>
        <v>2077</v>
      </c>
      <c r="E1123" t="s">
        <v>110</v>
      </c>
      <c r="H1123" s="53">
        <f>FLOOR(DAY(MINUTE(K1123/38)/2+56)&amp;"/5"&amp;"/"&amp;K1123,7)-34</f>
        <v>66200</v>
      </c>
      <c r="I1123" s="54">
        <f t="shared" si="108"/>
        <v>66200</v>
      </c>
      <c r="J1123" t="s">
        <v>113</v>
      </c>
      <c r="K1123">
        <f t="shared" si="109"/>
        <v>2081</v>
      </c>
      <c r="L1123" t="s">
        <v>110</v>
      </c>
    </row>
    <row r="1124" spans="1:12" x14ac:dyDescent="0.3">
      <c r="A1124" s="53">
        <f>DATE(D1124,1,1)</f>
        <v>65016</v>
      </c>
      <c r="B1124" s="54">
        <f t="shared" si="107"/>
        <v>65016</v>
      </c>
      <c r="C1124" t="s">
        <v>109</v>
      </c>
      <c r="D1124">
        <f>D1105+1</f>
        <v>2078</v>
      </c>
      <c r="E1124" t="s">
        <v>110</v>
      </c>
      <c r="H1124" s="53">
        <f>DATE(K1124,4,21)</f>
        <v>66222</v>
      </c>
      <c r="I1124" s="54">
        <f t="shared" si="108"/>
        <v>66222</v>
      </c>
      <c r="J1124" t="s">
        <v>116</v>
      </c>
      <c r="K1124">
        <f t="shared" si="109"/>
        <v>2081</v>
      </c>
      <c r="L1124" t="s">
        <v>110</v>
      </c>
    </row>
    <row r="1125" spans="1:12" x14ac:dyDescent="0.3">
      <c r="A1125" s="53">
        <f>A1128-48</f>
        <v>65060</v>
      </c>
      <c r="B1125" s="54">
        <f t="shared" si="107"/>
        <v>65060</v>
      </c>
      <c r="C1125" t="s">
        <v>111</v>
      </c>
      <c r="D1125">
        <f t="shared" ref="D1125:D1142" si="111">D1106+1</f>
        <v>2078</v>
      </c>
      <c r="E1125" t="s">
        <v>110</v>
      </c>
      <c r="H1125" s="53">
        <f>DATE(K1125,5,1)</f>
        <v>66232</v>
      </c>
      <c r="I1125" s="54">
        <f t="shared" si="108"/>
        <v>66232</v>
      </c>
      <c r="J1125" t="s">
        <v>117</v>
      </c>
      <c r="K1125">
        <f t="shared" si="109"/>
        <v>2081</v>
      </c>
      <c r="L1125" t="s">
        <v>110</v>
      </c>
    </row>
    <row r="1126" spans="1:12" x14ac:dyDescent="0.3">
      <c r="A1126" s="53">
        <f>A1128-47</f>
        <v>65061</v>
      </c>
      <c r="B1126" s="54">
        <f t="shared" si="107"/>
        <v>65061</v>
      </c>
      <c r="C1126" t="s">
        <v>111</v>
      </c>
      <c r="D1126">
        <f t="shared" si="111"/>
        <v>2078</v>
      </c>
      <c r="E1126" t="s">
        <v>110</v>
      </c>
      <c r="H1126" s="53">
        <f>DATE(K1126,5,1)+(14-WEEKDAY(DATE(K1126,5,1),2))</f>
        <v>66242</v>
      </c>
      <c r="I1126" s="54">
        <f t="shared" si="108"/>
        <v>66242</v>
      </c>
      <c r="J1126" t="s">
        <v>118</v>
      </c>
      <c r="K1126">
        <f t="shared" si="109"/>
        <v>2081</v>
      </c>
      <c r="L1126" t="s">
        <v>110</v>
      </c>
    </row>
    <row r="1127" spans="1:12" x14ac:dyDescent="0.3">
      <c r="A1127" s="53">
        <f>A1128-2</f>
        <v>65106</v>
      </c>
      <c r="B1127" s="54">
        <f t="shared" si="107"/>
        <v>65106</v>
      </c>
      <c r="C1127" t="s">
        <v>112</v>
      </c>
      <c r="D1127">
        <f t="shared" si="111"/>
        <v>2078</v>
      </c>
      <c r="E1127" t="s">
        <v>110</v>
      </c>
      <c r="H1127" s="53">
        <f>H1123+60</f>
        <v>66260</v>
      </c>
      <c r="I1127" s="54">
        <f t="shared" si="108"/>
        <v>66260</v>
      </c>
      <c r="J1127" t="s">
        <v>119</v>
      </c>
      <c r="K1127">
        <f t="shared" si="109"/>
        <v>2081</v>
      </c>
      <c r="L1127" t="s">
        <v>110</v>
      </c>
    </row>
    <row r="1128" spans="1:12" x14ac:dyDescent="0.3">
      <c r="A1128" s="53">
        <f>FLOOR(DAY(MINUTE(D1128/38)/2+56)&amp;"/5"&amp;"/"&amp;D1128,7)-34</f>
        <v>65108</v>
      </c>
      <c r="B1128" s="54">
        <f t="shared" si="107"/>
        <v>65108</v>
      </c>
      <c r="C1128" t="s">
        <v>113</v>
      </c>
      <c r="D1128">
        <f t="shared" si="111"/>
        <v>2078</v>
      </c>
      <c r="E1128" t="s">
        <v>110</v>
      </c>
      <c r="H1128" s="53">
        <f>DATE(K1128,6,19)</f>
        <v>66281</v>
      </c>
      <c r="I1128" s="54">
        <f t="shared" si="108"/>
        <v>66281</v>
      </c>
      <c r="J1128" t="s">
        <v>114</v>
      </c>
      <c r="K1128">
        <f t="shared" si="109"/>
        <v>2081</v>
      </c>
      <c r="L1128" t="s">
        <v>115</v>
      </c>
    </row>
    <row r="1129" spans="1:12" x14ac:dyDescent="0.3">
      <c r="A1129" s="53">
        <f>DATE(D1129,4,14)</f>
        <v>65119</v>
      </c>
      <c r="B1129" s="54">
        <f t="shared" si="107"/>
        <v>65119</v>
      </c>
      <c r="C1129" t="s">
        <v>114</v>
      </c>
      <c r="D1129">
        <f t="shared" si="111"/>
        <v>2078</v>
      </c>
      <c r="E1129" t="s">
        <v>115</v>
      </c>
      <c r="H1129" s="53">
        <f>DATE(K1129,7,9)</f>
        <v>66301</v>
      </c>
      <c r="I1129" s="54">
        <f t="shared" si="108"/>
        <v>66301</v>
      </c>
      <c r="J1129" t="s">
        <v>120</v>
      </c>
      <c r="K1129">
        <f t="shared" si="109"/>
        <v>2081</v>
      </c>
      <c r="L1129" t="s">
        <v>121</v>
      </c>
    </row>
    <row r="1130" spans="1:12" x14ac:dyDescent="0.3">
      <c r="A1130" s="53">
        <f>DATE(D1130,4,21)</f>
        <v>65126</v>
      </c>
      <c r="B1130" s="54">
        <f t="shared" si="107"/>
        <v>65126</v>
      </c>
      <c r="C1130" t="s">
        <v>116</v>
      </c>
      <c r="D1130">
        <f t="shared" si="111"/>
        <v>2078</v>
      </c>
      <c r="E1130" t="s">
        <v>110</v>
      </c>
      <c r="H1130" s="53">
        <f>DATE(K1130,8,1)+(14-WEEKDAY(DATE(K1130,8,1),2))</f>
        <v>66333</v>
      </c>
      <c r="I1130" s="54">
        <f t="shared" si="108"/>
        <v>66333</v>
      </c>
      <c r="J1130" t="s">
        <v>123</v>
      </c>
      <c r="K1130">
        <f t="shared" si="109"/>
        <v>2081</v>
      </c>
      <c r="L1130" t="s">
        <v>110</v>
      </c>
    </row>
    <row r="1131" spans="1:12" x14ac:dyDescent="0.3">
      <c r="A1131" s="53">
        <f>DATE(D1131,5,1)</f>
        <v>65136</v>
      </c>
      <c r="B1131" s="54">
        <f t="shared" si="107"/>
        <v>65136</v>
      </c>
      <c r="C1131" t="s">
        <v>117</v>
      </c>
      <c r="D1131">
        <f t="shared" si="111"/>
        <v>2078</v>
      </c>
      <c r="E1131" t="s">
        <v>110</v>
      </c>
      <c r="H1131" s="53">
        <f>DATE(K1131,9,7)</f>
        <v>66361</v>
      </c>
      <c r="I1131" s="54">
        <f t="shared" si="108"/>
        <v>66361</v>
      </c>
      <c r="J1131" t="s">
        <v>124</v>
      </c>
      <c r="K1131">
        <f t="shared" si="109"/>
        <v>2081</v>
      </c>
      <c r="L1131" t="s">
        <v>110</v>
      </c>
    </row>
    <row r="1132" spans="1:12" x14ac:dyDescent="0.3">
      <c r="A1132" s="53">
        <f>DATE(D1132,5,1)+(14-WEEKDAY(DATE(D1132,5,1),2))</f>
        <v>65143</v>
      </c>
      <c r="B1132" s="54">
        <f t="shared" si="107"/>
        <v>65143</v>
      </c>
      <c r="C1132" t="s">
        <v>118</v>
      </c>
      <c r="D1132">
        <f t="shared" si="111"/>
        <v>2078</v>
      </c>
      <c r="E1132" t="s">
        <v>110</v>
      </c>
      <c r="H1132" s="53">
        <f>DATE(K1132,10,12)</f>
        <v>66396</v>
      </c>
      <c r="I1132" s="54">
        <f t="shared" si="108"/>
        <v>66396</v>
      </c>
      <c r="J1132" t="s">
        <v>125</v>
      </c>
      <c r="K1132">
        <f t="shared" si="109"/>
        <v>2081</v>
      </c>
      <c r="L1132" t="s">
        <v>110</v>
      </c>
    </row>
    <row r="1133" spans="1:12" x14ac:dyDescent="0.3">
      <c r="A1133" s="53">
        <f>A1128+60</f>
        <v>65168</v>
      </c>
      <c r="B1133" s="54">
        <f t="shared" si="107"/>
        <v>65168</v>
      </c>
      <c r="C1133" t="s">
        <v>119</v>
      </c>
      <c r="D1133">
        <f t="shared" si="111"/>
        <v>2078</v>
      </c>
      <c r="E1133" t="s">
        <v>110</v>
      </c>
      <c r="H1133" s="53">
        <f>DATE(K1133,11,2)</f>
        <v>66417</v>
      </c>
      <c r="I1133" s="54">
        <f t="shared" si="108"/>
        <v>66417</v>
      </c>
      <c r="J1133" t="s">
        <v>126</v>
      </c>
      <c r="K1133">
        <f t="shared" si="109"/>
        <v>2081</v>
      </c>
      <c r="L1133" t="s">
        <v>110</v>
      </c>
    </row>
    <row r="1134" spans="1:12" x14ac:dyDescent="0.3">
      <c r="A1134" s="53">
        <f>DATE(D1134,7,9)</f>
        <v>65205</v>
      </c>
      <c r="B1134" s="54">
        <f t="shared" si="107"/>
        <v>65205</v>
      </c>
      <c r="C1134" t="s">
        <v>120</v>
      </c>
      <c r="D1134">
        <f t="shared" si="111"/>
        <v>2078</v>
      </c>
      <c r="E1134" t="s">
        <v>121</v>
      </c>
      <c r="H1134" s="53">
        <f>DATE(K1134,11,15)</f>
        <v>66430</v>
      </c>
      <c r="I1134" s="54">
        <f t="shared" si="108"/>
        <v>66430</v>
      </c>
      <c r="J1134" t="s">
        <v>127</v>
      </c>
      <c r="K1134">
        <f t="shared" si="109"/>
        <v>2081</v>
      </c>
      <c r="L1134" t="s">
        <v>110</v>
      </c>
    </row>
    <row r="1135" spans="1:12" x14ac:dyDescent="0.3">
      <c r="A1135" s="53">
        <f>DATE(D1135,8,8)</f>
        <v>65235</v>
      </c>
      <c r="B1135" s="54">
        <f t="shared" si="107"/>
        <v>65235</v>
      </c>
      <c r="C1135" t="s">
        <v>122</v>
      </c>
      <c r="D1135">
        <f t="shared" si="111"/>
        <v>2078</v>
      </c>
      <c r="E1135" t="s">
        <v>115</v>
      </c>
      <c r="H1135" s="53">
        <f>DATE(K1135,11,20)</f>
        <v>66435</v>
      </c>
      <c r="I1135" s="54">
        <f t="shared" si="108"/>
        <v>66435</v>
      </c>
      <c r="J1135" t="s">
        <v>128</v>
      </c>
      <c r="K1135">
        <f t="shared" si="109"/>
        <v>2081</v>
      </c>
      <c r="L1135" t="s">
        <v>110</v>
      </c>
    </row>
    <row r="1136" spans="1:12" x14ac:dyDescent="0.3">
      <c r="A1136" s="53">
        <f>DATE(D1136,8,1)+(14-WEEKDAY(DATE(D1136,8,1),2))</f>
        <v>65241</v>
      </c>
      <c r="B1136" s="54">
        <f t="shared" si="107"/>
        <v>65241</v>
      </c>
      <c r="C1136" t="s">
        <v>123</v>
      </c>
      <c r="D1136">
        <f t="shared" si="111"/>
        <v>2078</v>
      </c>
      <c r="E1136" t="s">
        <v>110</v>
      </c>
      <c r="H1136" s="53">
        <f>DATE(K1136,12,25)</f>
        <v>66470</v>
      </c>
      <c r="I1136" s="54">
        <f t="shared" si="108"/>
        <v>66470</v>
      </c>
      <c r="J1136" t="s">
        <v>129</v>
      </c>
      <c r="K1136">
        <f t="shared" si="109"/>
        <v>2081</v>
      </c>
      <c r="L1136" t="s">
        <v>110</v>
      </c>
    </row>
    <row r="1137" spans="1:12" x14ac:dyDescent="0.3">
      <c r="A1137" s="53">
        <f>DATE(D1137,9,7)</f>
        <v>65265</v>
      </c>
      <c r="B1137" s="54">
        <f t="shared" si="107"/>
        <v>65265</v>
      </c>
      <c r="C1137" t="s">
        <v>124</v>
      </c>
      <c r="D1137">
        <f t="shared" si="111"/>
        <v>2078</v>
      </c>
      <c r="E1137" t="s">
        <v>110</v>
      </c>
      <c r="H1137" s="53">
        <f>DATE(K1137,1,1)</f>
        <v>66477</v>
      </c>
      <c r="I1137" s="54">
        <f t="shared" si="108"/>
        <v>66477</v>
      </c>
      <c r="J1137" t="s">
        <v>109</v>
      </c>
      <c r="K1137">
        <f>K1119+1</f>
        <v>2082</v>
      </c>
      <c r="L1137" t="s">
        <v>110</v>
      </c>
    </row>
    <row r="1138" spans="1:12" x14ac:dyDescent="0.3">
      <c r="A1138" s="53">
        <f>DATE(D1138,10,12)</f>
        <v>65300</v>
      </c>
      <c r="B1138" s="54">
        <f t="shared" si="107"/>
        <v>65300</v>
      </c>
      <c r="C1138" t="s">
        <v>125</v>
      </c>
      <c r="D1138">
        <f t="shared" si="111"/>
        <v>2078</v>
      </c>
      <c r="E1138" t="s">
        <v>110</v>
      </c>
      <c r="H1138" s="53">
        <f>H1141-48</f>
        <v>66537</v>
      </c>
      <c r="I1138" s="54">
        <f t="shared" si="108"/>
        <v>66537</v>
      </c>
      <c r="J1138" t="s">
        <v>111</v>
      </c>
      <c r="K1138">
        <f t="shared" si="109"/>
        <v>2082</v>
      </c>
      <c r="L1138" t="s">
        <v>110</v>
      </c>
    </row>
    <row r="1139" spans="1:12" x14ac:dyDescent="0.3">
      <c r="A1139" s="53">
        <f>DATE(D1139,11,2)</f>
        <v>65321</v>
      </c>
      <c r="B1139" s="54">
        <f t="shared" si="107"/>
        <v>65321</v>
      </c>
      <c r="C1139" t="s">
        <v>126</v>
      </c>
      <c r="D1139">
        <f t="shared" si="111"/>
        <v>2078</v>
      </c>
      <c r="E1139" t="s">
        <v>110</v>
      </c>
      <c r="H1139" s="53">
        <f>H1141-47</f>
        <v>66538</v>
      </c>
      <c r="I1139" s="54">
        <f t="shared" si="108"/>
        <v>66538</v>
      </c>
      <c r="J1139" t="s">
        <v>111</v>
      </c>
      <c r="K1139">
        <f t="shared" si="109"/>
        <v>2082</v>
      </c>
      <c r="L1139" t="s">
        <v>110</v>
      </c>
    </row>
    <row r="1140" spans="1:12" x14ac:dyDescent="0.3">
      <c r="A1140" s="53">
        <f>DATE(D1140,11,15)</f>
        <v>65334</v>
      </c>
      <c r="B1140" s="54">
        <f t="shared" si="107"/>
        <v>65334</v>
      </c>
      <c r="C1140" t="s">
        <v>127</v>
      </c>
      <c r="D1140">
        <f t="shared" si="111"/>
        <v>2078</v>
      </c>
      <c r="E1140" t="s">
        <v>110</v>
      </c>
      <c r="H1140" s="53">
        <f>H1141-2</f>
        <v>66583</v>
      </c>
      <c r="I1140" s="54">
        <f t="shared" si="108"/>
        <v>66583</v>
      </c>
      <c r="J1140" t="s">
        <v>112</v>
      </c>
      <c r="K1140">
        <f t="shared" si="109"/>
        <v>2082</v>
      </c>
      <c r="L1140" t="s">
        <v>110</v>
      </c>
    </row>
    <row r="1141" spans="1:12" x14ac:dyDescent="0.3">
      <c r="A1141" s="53">
        <f>DATE(D1141,11,20)</f>
        <v>65339</v>
      </c>
      <c r="B1141" s="54">
        <f t="shared" si="107"/>
        <v>65339</v>
      </c>
      <c r="C1141" t="s">
        <v>128</v>
      </c>
      <c r="D1141">
        <f t="shared" si="111"/>
        <v>2078</v>
      </c>
      <c r="E1141" t="s">
        <v>110</v>
      </c>
      <c r="H1141" s="53">
        <f>FLOOR(DAY(MINUTE(K1141/38)/2+56)&amp;"/5"&amp;"/"&amp;K1141,7)-34</f>
        <v>66585</v>
      </c>
      <c r="I1141" s="54">
        <f t="shared" si="108"/>
        <v>66585</v>
      </c>
      <c r="J1141" t="s">
        <v>113</v>
      </c>
      <c r="K1141">
        <f t="shared" si="109"/>
        <v>2082</v>
      </c>
      <c r="L1141" t="s">
        <v>110</v>
      </c>
    </row>
    <row r="1142" spans="1:12" x14ac:dyDescent="0.3">
      <c r="A1142" s="53">
        <f>DATE(D1142,12,25)</f>
        <v>65374</v>
      </c>
      <c r="B1142" s="54">
        <f t="shared" si="107"/>
        <v>65374</v>
      </c>
      <c r="C1142" t="s">
        <v>129</v>
      </c>
      <c r="D1142">
        <f t="shared" si="111"/>
        <v>2078</v>
      </c>
      <c r="E1142" t="s">
        <v>110</v>
      </c>
      <c r="H1142" s="53">
        <f>DATE(K1142,4,21)</f>
        <v>66587</v>
      </c>
      <c r="I1142" s="54">
        <f t="shared" si="108"/>
        <v>66587</v>
      </c>
      <c r="J1142" t="s">
        <v>116</v>
      </c>
      <c r="K1142">
        <f t="shared" si="109"/>
        <v>2082</v>
      </c>
      <c r="L1142" t="s">
        <v>110</v>
      </c>
    </row>
    <row r="1143" spans="1:12" x14ac:dyDescent="0.3">
      <c r="A1143" s="53">
        <f>DATE(D1143,1,1)</f>
        <v>65381</v>
      </c>
      <c r="B1143" s="54">
        <f t="shared" si="107"/>
        <v>65381</v>
      </c>
      <c r="C1143" t="s">
        <v>109</v>
      </c>
      <c r="D1143">
        <f>D1124+1</f>
        <v>2079</v>
      </c>
      <c r="E1143" t="s">
        <v>110</v>
      </c>
      <c r="H1143" s="53">
        <f>DATE(K1143,5,1)</f>
        <v>66597</v>
      </c>
      <c r="I1143" s="54">
        <f t="shared" si="108"/>
        <v>66597</v>
      </c>
      <c r="J1143" t="s">
        <v>117</v>
      </c>
      <c r="K1143">
        <f t="shared" si="109"/>
        <v>2082</v>
      </c>
      <c r="L1143" t="s">
        <v>110</v>
      </c>
    </row>
    <row r="1144" spans="1:12" x14ac:dyDescent="0.3">
      <c r="A1144" s="53">
        <f>A1147-48</f>
        <v>65438</v>
      </c>
      <c r="B1144" s="54">
        <f t="shared" si="107"/>
        <v>65438</v>
      </c>
      <c r="C1144" t="s">
        <v>111</v>
      </c>
      <c r="D1144">
        <f t="shared" ref="D1144:D1161" si="112">D1125+1</f>
        <v>2079</v>
      </c>
      <c r="E1144" t="s">
        <v>110</v>
      </c>
      <c r="H1144" s="53">
        <f>DATE(K1144,5,1)+(14-WEEKDAY(DATE(K1144,5,1),2))</f>
        <v>66606</v>
      </c>
      <c r="I1144" s="54">
        <f t="shared" si="108"/>
        <v>66606</v>
      </c>
      <c r="J1144" t="s">
        <v>118</v>
      </c>
      <c r="K1144">
        <f t="shared" si="109"/>
        <v>2082</v>
      </c>
      <c r="L1144" t="s">
        <v>110</v>
      </c>
    </row>
    <row r="1145" spans="1:12" x14ac:dyDescent="0.3">
      <c r="A1145" s="53">
        <f>A1147-47</f>
        <v>65439</v>
      </c>
      <c r="B1145" s="54">
        <f t="shared" si="107"/>
        <v>65439</v>
      </c>
      <c r="C1145" t="s">
        <v>111</v>
      </c>
      <c r="D1145">
        <f t="shared" si="112"/>
        <v>2079</v>
      </c>
      <c r="E1145" t="s">
        <v>110</v>
      </c>
      <c r="H1145" s="53">
        <f>H1141+60</f>
        <v>66645</v>
      </c>
      <c r="I1145" s="54">
        <f t="shared" si="108"/>
        <v>66645</v>
      </c>
      <c r="J1145" t="s">
        <v>119</v>
      </c>
      <c r="K1145">
        <f t="shared" si="109"/>
        <v>2082</v>
      </c>
      <c r="L1145" t="s">
        <v>110</v>
      </c>
    </row>
    <row r="1146" spans="1:12" x14ac:dyDescent="0.3">
      <c r="A1146" s="53">
        <f>A1147-2</f>
        <v>65484</v>
      </c>
      <c r="B1146" s="54">
        <f t="shared" si="107"/>
        <v>65484</v>
      </c>
      <c r="C1146" t="s">
        <v>112</v>
      </c>
      <c r="D1146">
        <f t="shared" si="112"/>
        <v>2079</v>
      </c>
      <c r="E1146" t="s">
        <v>110</v>
      </c>
      <c r="H1146" s="53">
        <f>DATE(K1146,6,19)</f>
        <v>66646</v>
      </c>
      <c r="I1146" s="54">
        <f t="shared" si="108"/>
        <v>66646</v>
      </c>
      <c r="J1146" t="s">
        <v>114</v>
      </c>
      <c r="K1146">
        <f t="shared" si="109"/>
        <v>2082</v>
      </c>
      <c r="L1146" t="s">
        <v>115</v>
      </c>
    </row>
    <row r="1147" spans="1:12" x14ac:dyDescent="0.3">
      <c r="A1147" s="53">
        <f>FLOOR(DAY(MINUTE(D1147/38)/2+56)&amp;"/5"&amp;"/"&amp;D1147,7)-34</f>
        <v>65486</v>
      </c>
      <c r="B1147" s="54">
        <f t="shared" si="107"/>
        <v>65486</v>
      </c>
      <c r="C1147" t="s">
        <v>113</v>
      </c>
      <c r="D1147">
        <f t="shared" si="112"/>
        <v>2079</v>
      </c>
      <c r="E1147" t="s">
        <v>110</v>
      </c>
      <c r="H1147" s="53">
        <f>DATE(K1147,7,9)</f>
        <v>66666</v>
      </c>
      <c r="I1147" s="54">
        <f t="shared" si="108"/>
        <v>66666</v>
      </c>
      <c r="J1147" t="s">
        <v>120</v>
      </c>
      <c r="K1147">
        <f t="shared" si="109"/>
        <v>2082</v>
      </c>
      <c r="L1147" t="s">
        <v>121</v>
      </c>
    </row>
    <row r="1148" spans="1:12" x14ac:dyDescent="0.3">
      <c r="A1148" s="53">
        <f>DATE(D1148,4,14)</f>
        <v>65484</v>
      </c>
      <c r="B1148" s="54">
        <f t="shared" si="107"/>
        <v>65484</v>
      </c>
      <c r="C1148" t="s">
        <v>114</v>
      </c>
      <c r="D1148">
        <f t="shared" si="112"/>
        <v>2079</v>
      </c>
      <c r="E1148" t="s">
        <v>115</v>
      </c>
      <c r="H1148" s="53">
        <f>DATE(K1148,8,1)+(14-WEEKDAY(DATE(K1148,8,1),2))</f>
        <v>66697</v>
      </c>
      <c r="I1148" s="54">
        <f t="shared" si="108"/>
        <v>66697</v>
      </c>
      <c r="J1148" t="s">
        <v>123</v>
      </c>
      <c r="K1148">
        <f t="shared" si="109"/>
        <v>2082</v>
      </c>
      <c r="L1148" t="s">
        <v>110</v>
      </c>
    </row>
    <row r="1149" spans="1:12" x14ac:dyDescent="0.3">
      <c r="A1149" s="53">
        <f>DATE(D1149,4,21)</f>
        <v>65491</v>
      </c>
      <c r="B1149" s="54">
        <f t="shared" si="107"/>
        <v>65491</v>
      </c>
      <c r="C1149" t="s">
        <v>116</v>
      </c>
      <c r="D1149">
        <f t="shared" si="112"/>
        <v>2079</v>
      </c>
      <c r="E1149" t="s">
        <v>110</v>
      </c>
      <c r="H1149" s="53">
        <f>DATE(K1149,9,7)</f>
        <v>66726</v>
      </c>
      <c r="I1149" s="54">
        <f t="shared" si="108"/>
        <v>66726</v>
      </c>
      <c r="J1149" t="s">
        <v>124</v>
      </c>
      <c r="K1149">
        <f t="shared" si="109"/>
        <v>2082</v>
      </c>
      <c r="L1149" t="s">
        <v>110</v>
      </c>
    </row>
    <row r="1150" spans="1:12" x14ac:dyDescent="0.3">
      <c r="A1150" s="53">
        <f>DATE(D1150,5,1)</f>
        <v>65501</v>
      </c>
      <c r="B1150" s="54">
        <f t="shared" si="107"/>
        <v>65501</v>
      </c>
      <c r="C1150" t="s">
        <v>117</v>
      </c>
      <c r="D1150">
        <f t="shared" si="112"/>
        <v>2079</v>
      </c>
      <c r="E1150" t="s">
        <v>110</v>
      </c>
      <c r="H1150" s="53">
        <f>DATE(K1150,10,12)</f>
        <v>66761</v>
      </c>
      <c r="I1150" s="54">
        <f t="shared" si="108"/>
        <v>66761</v>
      </c>
      <c r="J1150" t="s">
        <v>125</v>
      </c>
      <c r="K1150">
        <f t="shared" si="109"/>
        <v>2082</v>
      </c>
      <c r="L1150" t="s">
        <v>110</v>
      </c>
    </row>
    <row r="1151" spans="1:12" x14ac:dyDescent="0.3">
      <c r="A1151" s="53">
        <f>DATE(D1151,5,1)+(14-WEEKDAY(DATE(D1151,5,1),2))</f>
        <v>65514</v>
      </c>
      <c r="B1151" s="54">
        <f t="shared" si="107"/>
        <v>65514</v>
      </c>
      <c r="C1151" t="s">
        <v>118</v>
      </c>
      <c r="D1151">
        <f t="shared" si="112"/>
        <v>2079</v>
      </c>
      <c r="E1151" t="s">
        <v>110</v>
      </c>
      <c r="H1151" s="53">
        <f>DATE(K1151,11,2)</f>
        <v>66782</v>
      </c>
      <c r="I1151" s="54">
        <f t="shared" si="108"/>
        <v>66782</v>
      </c>
      <c r="J1151" t="s">
        <v>126</v>
      </c>
      <c r="K1151">
        <f t="shared" si="109"/>
        <v>2082</v>
      </c>
      <c r="L1151" t="s">
        <v>110</v>
      </c>
    </row>
    <row r="1152" spans="1:12" x14ac:dyDescent="0.3">
      <c r="A1152" s="53">
        <f>A1147+60</f>
        <v>65546</v>
      </c>
      <c r="B1152" s="54">
        <f t="shared" si="107"/>
        <v>65546</v>
      </c>
      <c r="C1152" t="s">
        <v>119</v>
      </c>
      <c r="D1152">
        <f t="shared" si="112"/>
        <v>2079</v>
      </c>
      <c r="E1152" t="s">
        <v>110</v>
      </c>
      <c r="H1152" s="53">
        <f>DATE(K1152,11,15)</f>
        <v>66795</v>
      </c>
      <c r="I1152" s="54">
        <f t="shared" si="108"/>
        <v>66795</v>
      </c>
      <c r="J1152" t="s">
        <v>127</v>
      </c>
      <c r="K1152">
        <f t="shared" si="109"/>
        <v>2082</v>
      </c>
      <c r="L1152" t="s">
        <v>110</v>
      </c>
    </row>
    <row r="1153" spans="1:12" x14ac:dyDescent="0.3">
      <c r="A1153" s="53">
        <f>DATE(D1153,7,9)</f>
        <v>65570</v>
      </c>
      <c r="B1153" s="54">
        <f t="shared" si="107"/>
        <v>65570</v>
      </c>
      <c r="C1153" t="s">
        <v>120</v>
      </c>
      <c r="D1153">
        <f t="shared" si="112"/>
        <v>2079</v>
      </c>
      <c r="E1153" t="s">
        <v>121</v>
      </c>
      <c r="H1153" s="53">
        <f>DATE(K1153,11,20)</f>
        <v>66800</v>
      </c>
      <c r="I1153" s="54">
        <f t="shared" si="108"/>
        <v>66800</v>
      </c>
      <c r="J1153" t="s">
        <v>128</v>
      </c>
      <c r="K1153">
        <f t="shared" si="109"/>
        <v>2082</v>
      </c>
      <c r="L1153" t="s">
        <v>110</v>
      </c>
    </row>
    <row r="1154" spans="1:12" x14ac:dyDescent="0.3">
      <c r="A1154" s="53">
        <f>DATE(D1154,8,8)</f>
        <v>65600</v>
      </c>
      <c r="B1154" s="54">
        <f t="shared" si="107"/>
        <v>65600</v>
      </c>
      <c r="C1154" t="s">
        <v>122</v>
      </c>
      <c r="D1154">
        <f t="shared" si="112"/>
        <v>2079</v>
      </c>
      <c r="E1154" t="s">
        <v>115</v>
      </c>
      <c r="H1154" s="53">
        <f>DATE(K1154,12,25)</f>
        <v>66835</v>
      </c>
      <c r="I1154" s="54">
        <f t="shared" si="108"/>
        <v>66835</v>
      </c>
      <c r="J1154" t="s">
        <v>129</v>
      </c>
      <c r="K1154">
        <f t="shared" si="109"/>
        <v>2082</v>
      </c>
      <c r="L1154" t="s">
        <v>110</v>
      </c>
    </row>
    <row r="1155" spans="1:12" x14ac:dyDescent="0.3">
      <c r="A1155" s="53">
        <f>DATE(D1155,8,1)+(14-WEEKDAY(DATE(D1155,8,1),2))</f>
        <v>65605</v>
      </c>
      <c r="B1155" s="54">
        <f t="shared" ref="B1155:B1218" si="113">A1155</f>
        <v>65605</v>
      </c>
      <c r="C1155" t="s">
        <v>123</v>
      </c>
      <c r="D1155">
        <f t="shared" si="112"/>
        <v>2079</v>
      </c>
      <c r="E1155" t="s">
        <v>110</v>
      </c>
      <c r="H1155" s="53">
        <f>DATE(K1155,1,1)</f>
        <v>66842</v>
      </c>
      <c r="I1155" s="54">
        <f t="shared" si="108"/>
        <v>66842</v>
      </c>
      <c r="J1155" t="s">
        <v>109</v>
      </c>
      <c r="K1155">
        <f>K1137+1</f>
        <v>2083</v>
      </c>
      <c r="L1155" t="s">
        <v>110</v>
      </c>
    </row>
    <row r="1156" spans="1:12" x14ac:dyDescent="0.3">
      <c r="A1156" s="53">
        <f>DATE(D1156,9,7)</f>
        <v>65630</v>
      </c>
      <c r="B1156" s="54">
        <f t="shared" si="113"/>
        <v>65630</v>
      </c>
      <c r="C1156" t="s">
        <v>124</v>
      </c>
      <c r="D1156">
        <f t="shared" si="112"/>
        <v>2079</v>
      </c>
      <c r="E1156" t="s">
        <v>110</v>
      </c>
      <c r="H1156" s="53">
        <f>H1159-48</f>
        <v>66887</v>
      </c>
      <c r="I1156" s="54">
        <f t="shared" si="108"/>
        <v>66887</v>
      </c>
      <c r="J1156" t="s">
        <v>111</v>
      </c>
      <c r="K1156">
        <f t="shared" si="109"/>
        <v>2083</v>
      </c>
      <c r="L1156" t="s">
        <v>110</v>
      </c>
    </row>
    <row r="1157" spans="1:12" x14ac:dyDescent="0.3">
      <c r="A1157" s="53">
        <f>DATE(D1157,10,12)</f>
        <v>65665</v>
      </c>
      <c r="B1157" s="54">
        <f t="shared" si="113"/>
        <v>65665</v>
      </c>
      <c r="C1157" t="s">
        <v>125</v>
      </c>
      <c r="D1157">
        <f t="shared" si="112"/>
        <v>2079</v>
      </c>
      <c r="E1157" t="s">
        <v>110</v>
      </c>
      <c r="H1157" s="53">
        <f>H1159-47</f>
        <v>66888</v>
      </c>
      <c r="I1157" s="54">
        <f t="shared" si="108"/>
        <v>66888</v>
      </c>
      <c r="J1157" t="s">
        <v>111</v>
      </c>
      <c r="K1157">
        <f t="shared" si="109"/>
        <v>2083</v>
      </c>
      <c r="L1157" t="s">
        <v>110</v>
      </c>
    </row>
    <row r="1158" spans="1:12" x14ac:dyDescent="0.3">
      <c r="A1158" s="53">
        <f>DATE(D1158,11,2)</f>
        <v>65686</v>
      </c>
      <c r="B1158" s="54">
        <f t="shared" si="113"/>
        <v>65686</v>
      </c>
      <c r="C1158" t="s">
        <v>126</v>
      </c>
      <c r="D1158">
        <f t="shared" si="112"/>
        <v>2079</v>
      </c>
      <c r="E1158" t="s">
        <v>110</v>
      </c>
      <c r="H1158" s="53">
        <f>H1159-2</f>
        <v>66933</v>
      </c>
      <c r="I1158" s="54">
        <f t="shared" si="108"/>
        <v>66933</v>
      </c>
      <c r="J1158" t="s">
        <v>112</v>
      </c>
      <c r="K1158">
        <f t="shared" si="109"/>
        <v>2083</v>
      </c>
      <c r="L1158" t="s">
        <v>110</v>
      </c>
    </row>
    <row r="1159" spans="1:12" x14ac:dyDescent="0.3">
      <c r="A1159" s="53">
        <f>DATE(D1159,11,15)</f>
        <v>65699</v>
      </c>
      <c r="B1159" s="54">
        <f t="shared" si="113"/>
        <v>65699</v>
      </c>
      <c r="C1159" t="s">
        <v>127</v>
      </c>
      <c r="D1159">
        <f t="shared" si="112"/>
        <v>2079</v>
      </c>
      <c r="E1159" t="s">
        <v>110</v>
      </c>
      <c r="H1159" s="53">
        <f>FLOOR(DAY(MINUTE(K1159/38)/2+56)&amp;"/5"&amp;"/"&amp;K1159,7)-34</f>
        <v>66935</v>
      </c>
      <c r="I1159" s="54">
        <f t="shared" si="108"/>
        <v>66935</v>
      </c>
      <c r="J1159" t="s">
        <v>113</v>
      </c>
      <c r="K1159">
        <f t="shared" si="109"/>
        <v>2083</v>
      </c>
      <c r="L1159" t="s">
        <v>110</v>
      </c>
    </row>
    <row r="1160" spans="1:12" x14ac:dyDescent="0.3">
      <c r="A1160" s="53">
        <f>DATE(D1160,11,20)</f>
        <v>65704</v>
      </c>
      <c r="B1160" s="54">
        <f t="shared" si="113"/>
        <v>65704</v>
      </c>
      <c r="C1160" t="s">
        <v>128</v>
      </c>
      <c r="D1160">
        <f t="shared" si="112"/>
        <v>2079</v>
      </c>
      <c r="E1160" t="s">
        <v>110</v>
      </c>
      <c r="H1160" s="53">
        <f>DATE(K1160,4,21)</f>
        <v>66952</v>
      </c>
      <c r="I1160" s="54">
        <f t="shared" ref="I1160:I1223" si="114">H1160</f>
        <v>66952</v>
      </c>
      <c r="J1160" t="s">
        <v>116</v>
      </c>
      <c r="K1160">
        <f t="shared" si="109"/>
        <v>2083</v>
      </c>
      <c r="L1160" t="s">
        <v>110</v>
      </c>
    </row>
    <row r="1161" spans="1:12" x14ac:dyDescent="0.3">
      <c r="A1161" s="53">
        <f>DATE(D1161,12,25)</f>
        <v>65739</v>
      </c>
      <c r="B1161" s="54">
        <f t="shared" si="113"/>
        <v>65739</v>
      </c>
      <c r="C1161" t="s">
        <v>129</v>
      </c>
      <c r="D1161">
        <f t="shared" si="112"/>
        <v>2079</v>
      </c>
      <c r="E1161" t="s">
        <v>110</v>
      </c>
      <c r="H1161" s="53">
        <f>DATE(K1161,5,1)</f>
        <v>66962</v>
      </c>
      <c r="I1161" s="54">
        <f t="shared" si="114"/>
        <v>66962</v>
      </c>
      <c r="J1161" t="s">
        <v>117</v>
      </c>
      <c r="K1161">
        <f t="shared" si="109"/>
        <v>2083</v>
      </c>
      <c r="L1161" t="s">
        <v>110</v>
      </c>
    </row>
    <row r="1162" spans="1:12" x14ac:dyDescent="0.3">
      <c r="A1162" s="53">
        <f>DATE(D1162,1,1)</f>
        <v>65746</v>
      </c>
      <c r="B1162" s="54">
        <f t="shared" si="113"/>
        <v>65746</v>
      </c>
      <c r="C1162" t="s">
        <v>109</v>
      </c>
      <c r="D1162">
        <f>D1143+1</f>
        <v>2080</v>
      </c>
      <c r="E1162" t="s">
        <v>110</v>
      </c>
      <c r="H1162" s="53">
        <f>DATE(K1162,5,1)+(14-WEEKDAY(DATE(K1162,5,1),2))</f>
        <v>66970</v>
      </c>
      <c r="I1162" s="54">
        <f t="shared" si="114"/>
        <v>66970</v>
      </c>
      <c r="J1162" t="s">
        <v>118</v>
      </c>
      <c r="K1162">
        <f t="shared" si="109"/>
        <v>2083</v>
      </c>
      <c r="L1162" t="s">
        <v>110</v>
      </c>
    </row>
    <row r="1163" spans="1:12" x14ac:dyDescent="0.3">
      <c r="A1163" s="53">
        <f>A1166-48</f>
        <v>65795</v>
      </c>
      <c r="B1163" s="54">
        <f t="shared" si="113"/>
        <v>65795</v>
      </c>
      <c r="C1163" t="s">
        <v>111</v>
      </c>
      <c r="D1163">
        <f t="shared" ref="D1163:D1226" si="115">D1144+1</f>
        <v>2080</v>
      </c>
      <c r="E1163" t="s">
        <v>110</v>
      </c>
      <c r="H1163" s="53">
        <f>H1159+60</f>
        <v>66995</v>
      </c>
      <c r="I1163" s="54">
        <f t="shared" si="114"/>
        <v>66995</v>
      </c>
      <c r="J1163" t="s">
        <v>119</v>
      </c>
      <c r="K1163">
        <f t="shared" si="109"/>
        <v>2083</v>
      </c>
      <c r="L1163" t="s">
        <v>110</v>
      </c>
    </row>
    <row r="1164" spans="1:12" x14ac:dyDescent="0.3">
      <c r="A1164" s="53">
        <f>A1166-47</f>
        <v>65796</v>
      </c>
      <c r="B1164" s="54">
        <f t="shared" si="113"/>
        <v>65796</v>
      </c>
      <c r="C1164" t="s">
        <v>111</v>
      </c>
      <c r="D1164">
        <f t="shared" si="115"/>
        <v>2080</v>
      </c>
      <c r="E1164" t="s">
        <v>110</v>
      </c>
      <c r="H1164" s="53">
        <f>DATE(K1164,6,19)</f>
        <v>67011</v>
      </c>
      <c r="I1164" s="54">
        <f t="shared" si="114"/>
        <v>67011</v>
      </c>
      <c r="J1164" t="s">
        <v>114</v>
      </c>
      <c r="K1164">
        <f t="shared" si="109"/>
        <v>2083</v>
      </c>
      <c r="L1164" t="s">
        <v>115</v>
      </c>
    </row>
    <row r="1165" spans="1:12" x14ac:dyDescent="0.3">
      <c r="A1165" s="53">
        <f>A1166-2</f>
        <v>65841</v>
      </c>
      <c r="B1165" s="54">
        <f t="shared" si="113"/>
        <v>65841</v>
      </c>
      <c r="C1165" t="s">
        <v>112</v>
      </c>
      <c r="D1165">
        <f t="shared" si="115"/>
        <v>2080</v>
      </c>
      <c r="E1165" t="s">
        <v>110</v>
      </c>
      <c r="H1165" s="53">
        <f>DATE(K1165,7,9)</f>
        <v>67031</v>
      </c>
      <c r="I1165" s="54">
        <f t="shared" si="114"/>
        <v>67031</v>
      </c>
      <c r="J1165" t="s">
        <v>120</v>
      </c>
      <c r="K1165">
        <f t="shared" si="109"/>
        <v>2083</v>
      </c>
      <c r="L1165" t="s">
        <v>121</v>
      </c>
    </row>
    <row r="1166" spans="1:12" x14ac:dyDescent="0.3">
      <c r="A1166" s="53">
        <f>FLOOR(DAY(MINUTE(D1166/38)/2+56)&amp;"/5"&amp;"/"&amp;D1166,7)-34</f>
        <v>65843</v>
      </c>
      <c r="B1166" s="54">
        <f t="shared" si="113"/>
        <v>65843</v>
      </c>
      <c r="C1166" t="s">
        <v>113</v>
      </c>
      <c r="D1166">
        <f t="shared" si="115"/>
        <v>2080</v>
      </c>
      <c r="E1166" t="s">
        <v>110</v>
      </c>
      <c r="H1166" s="53">
        <f>DATE(K1166,8,1)+(14-WEEKDAY(DATE(K1166,8,1),2))</f>
        <v>67061</v>
      </c>
      <c r="I1166" s="54">
        <f t="shared" si="114"/>
        <v>67061</v>
      </c>
      <c r="J1166" t="s">
        <v>123</v>
      </c>
      <c r="K1166">
        <f t="shared" ref="K1166:K1172" si="116">K1148+1</f>
        <v>2083</v>
      </c>
      <c r="L1166" t="s">
        <v>110</v>
      </c>
    </row>
    <row r="1167" spans="1:12" x14ac:dyDescent="0.3">
      <c r="A1167" s="53">
        <f>DATE(D1167,4,14)</f>
        <v>65850</v>
      </c>
      <c r="B1167" s="54">
        <f t="shared" si="113"/>
        <v>65850</v>
      </c>
      <c r="C1167" t="s">
        <v>114</v>
      </c>
      <c r="D1167">
        <f t="shared" si="115"/>
        <v>2080</v>
      </c>
      <c r="E1167" t="s">
        <v>115</v>
      </c>
      <c r="H1167" s="53">
        <f>DATE(K1167,9,7)</f>
        <v>67091</v>
      </c>
      <c r="I1167" s="54">
        <f t="shared" si="114"/>
        <v>67091</v>
      </c>
      <c r="J1167" t="s">
        <v>124</v>
      </c>
      <c r="K1167">
        <f t="shared" si="116"/>
        <v>2083</v>
      </c>
      <c r="L1167" t="s">
        <v>110</v>
      </c>
    </row>
    <row r="1168" spans="1:12" x14ac:dyDescent="0.3">
      <c r="A1168" s="53">
        <f>DATE(D1168,4,21)</f>
        <v>65857</v>
      </c>
      <c r="B1168" s="54">
        <f t="shared" si="113"/>
        <v>65857</v>
      </c>
      <c r="C1168" t="s">
        <v>116</v>
      </c>
      <c r="D1168">
        <f t="shared" si="115"/>
        <v>2080</v>
      </c>
      <c r="E1168" t="s">
        <v>110</v>
      </c>
      <c r="H1168" s="53">
        <f>DATE(K1168,10,12)</f>
        <v>67126</v>
      </c>
      <c r="I1168" s="54">
        <f t="shared" si="114"/>
        <v>67126</v>
      </c>
      <c r="J1168" t="s">
        <v>125</v>
      </c>
      <c r="K1168">
        <f t="shared" si="116"/>
        <v>2083</v>
      </c>
      <c r="L1168" t="s">
        <v>110</v>
      </c>
    </row>
    <row r="1169" spans="1:12" x14ac:dyDescent="0.3">
      <c r="A1169" s="53">
        <f>DATE(D1169,5,1)</f>
        <v>65867</v>
      </c>
      <c r="B1169" s="54">
        <f t="shared" si="113"/>
        <v>65867</v>
      </c>
      <c r="C1169" t="s">
        <v>117</v>
      </c>
      <c r="D1169">
        <f t="shared" si="115"/>
        <v>2080</v>
      </c>
      <c r="E1169" t="s">
        <v>110</v>
      </c>
      <c r="H1169" s="53">
        <f>DATE(K1169,11,2)</f>
        <v>67147</v>
      </c>
      <c r="I1169" s="54">
        <f t="shared" si="114"/>
        <v>67147</v>
      </c>
      <c r="J1169" t="s">
        <v>126</v>
      </c>
      <c r="K1169">
        <f t="shared" si="116"/>
        <v>2083</v>
      </c>
      <c r="L1169" t="s">
        <v>110</v>
      </c>
    </row>
    <row r="1170" spans="1:12" x14ac:dyDescent="0.3">
      <c r="A1170" s="53">
        <f>DATE(D1170,5,1)+(14-WEEKDAY(DATE(D1170,5,1),2))</f>
        <v>65878</v>
      </c>
      <c r="B1170" s="54">
        <f t="shared" si="113"/>
        <v>65878</v>
      </c>
      <c r="C1170" t="s">
        <v>118</v>
      </c>
      <c r="D1170">
        <f t="shared" si="115"/>
        <v>2080</v>
      </c>
      <c r="E1170" t="s">
        <v>110</v>
      </c>
      <c r="H1170" s="53">
        <f>DATE(K1170,11,15)</f>
        <v>67160</v>
      </c>
      <c r="I1170" s="54">
        <f t="shared" si="114"/>
        <v>67160</v>
      </c>
      <c r="J1170" t="s">
        <v>127</v>
      </c>
      <c r="K1170">
        <f t="shared" si="116"/>
        <v>2083</v>
      </c>
      <c r="L1170" t="s">
        <v>110</v>
      </c>
    </row>
    <row r="1171" spans="1:12" x14ac:dyDescent="0.3">
      <c r="A1171" s="53">
        <f>A1166+60</f>
        <v>65903</v>
      </c>
      <c r="B1171" s="54">
        <f t="shared" si="113"/>
        <v>65903</v>
      </c>
      <c r="C1171" t="s">
        <v>119</v>
      </c>
      <c r="D1171">
        <f t="shared" si="115"/>
        <v>2080</v>
      </c>
      <c r="E1171" t="s">
        <v>110</v>
      </c>
      <c r="H1171" s="53">
        <f>DATE(K1171,11,20)</f>
        <v>67165</v>
      </c>
      <c r="I1171" s="54">
        <f t="shared" si="114"/>
        <v>67165</v>
      </c>
      <c r="J1171" t="s">
        <v>128</v>
      </c>
      <c r="K1171">
        <f t="shared" si="116"/>
        <v>2083</v>
      </c>
      <c r="L1171" t="s">
        <v>110</v>
      </c>
    </row>
    <row r="1172" spans="1:12" x14ac:dyDescent="0.3">
      <c r="A1172" s="53">
        <f>DATE(D1172,7,9)</f>
        <v>65936</v>
      </c>
      <c r="B1172" s="54">
        <f t="shared" si="113"/>
        <v>65936</v>
      </c>
      <c r="C1172" t="s">
        <v>120</v>
      </c>
      <c r="D1172">
        <f t="shared" si="115"/>
        <v>2080</v>
      </c>
      <c r="E1172" t="s">
        <v>121</v>
      </c>
      <c r="H1172" s="53">
        <f>DATE(K1172,12,25)</f>
        <v>67200</v>
      </c>
      <c r="I1172" s="54">
        <f t="shared" si="114"/>
        <v>67200</v>
      </c>
      <c r="J1172" t="s">
        <v>129</v>
      </c>
      <c r="K1172">
        <f t="shared" si="116"/>
        <v>2083</v>
      </c>
      <c r="L1172" t="s">
        <v>110</v>
      </c>
    </row>
    <row r="1173" spans="1:12" x14ac:dyDescent="0.3">
      <c r="A1173" s="53">
        <f>DATE(D1173,8,8)</f>
        <v>65966</v>
      </c>
      <c r="B1173" s="54">
        <f t="shared" si="113"/>
        <v>65966</v>
      </c>
      <c r="C1173" t="s">
        <v>122</v>
      </c>
      <c r="D1173">
        <f t="shared" si="115"/>
        <v>2080</v>
      </c>
      <c r="E1173" t="s">
        <v>115</v>
      </c>
      <c r="H1173" s="53">
        <f>DATE(K1173,1,1)</f>
        <v>67207</v>
      </c>
      <c r="I1173" s="54">
        <f t="shared" si="114"/>
        <v>67207</v>
      </c>
      <c r="J1173" t="s">
        <v>109</v>
      </c>
      <c r="K1173">
        <f>K1155+1</f>
        <v>2084</v>
      </c>
      <c r="L1173" t="s">
        <v>110</v>
      </c>
    </row>
    <row r="1174" spans="1:12" x14ac:dyDescent="0.3">
      <c r="A1174" s="53">
        <f>DATE(D1174,8,1)+(14-WEEKDAY(DATE(D1174,8,1),2))</f>
        <v>65969</v>
      </c>
      <c r="B1174" s="54">
        <f t="shared" si="113"/>
        <v>65969</v>
      </c>
      <c r="C1174" t="s">
        <v>123</v>
      </c>
      <c r="D1174">
        <f t="shared" si="115"/>
        <v>2080</v>
      </c>
      <c r="E1174" t="s">
        <v>110</v>
      </c>
      <c r="H1174" s="53">
        <f>H1177-48</f>
        <v>67244</v>
      </c>
      <c r="I1174" s="54">
        <f t="shared" si="114"/>
        <v>67244</v>
      </c>
      <c r="J1174" t="s">
        <v>111</v>
      </c>
      <c r="K1174">
        <f t="shared" ref="K1174:K1190" si="117">K1156+1</f>
        <v>2084</v>
      </c>
      <c r="L1174" t="s">
        <v>110</v>
      </c>
    </row>
    <row r="1175" spans="1:12" x14ac:dyDescent="0.3">
      <c r="A1175" s="53">
        <f>DATE(D1175,9,7)</f>
        <v>65996</v>
      </c>
      <c r="B1175" s="54">
        <f t="shared" si="113"/>
        <v>65996</v>
      </c>
      <c r="C1175" t="s">
        <v>124</v>
      </c>
      <c r="D1175">
        <f t="shared" si="115"/>
        <v>2080</v>
      </c>
      <c r="E1175" t="s">
        <v>110</v>
      </c>
      <c r="H1175" s="53">
        <f>H1177-47</f>
        <v>67245</v>
      </c>
      <c r="I1175" s="54">
        <f t="shared" si="114"/>
        <v>67245</v>
      </c>
      <c r="J1175" t="s">
        <v>111</v>
      </c>
      <c r="K1175">
        <f t="shared" si="117"/>
        <v>2084</v>
      </c>
      <c r="L1175" t="s">
        <v>110</v>
      </c>
    </row>
    <row r="1176" spans="1:12" x14ac:dyDescent="0.3">
      <c r="A1176" s="53">
        <f>DATE(D1176,10,12)</f>
        <v>66031</v>
      </c>
      <c r="B1176" s="54">
        <f t="shared" si="113"/>
        <v>66031</v>
      </c>
      <c r="C1176" t="s">
        <v>125</v>
      </c>
      <c r="D1176">
        <f t="shared" si="115"/>
        <v>2080</v>
      </c>
      <c r="E1176" t="s">
        <v>110</v>
      </c>
      <c r="H1176" s="53">
        <f>H1177-2</f>
        <v>67290</v>
      </c>
      <c r="I1176" s="54">
        <f t="shared" si="114"/>
        <v>67290</v>
      </c>
      <c r="J1176" t="s">
        <v>112</v>
      </c>
      <c r="K1176">
        <f t="shared" si="117"/>
        <v>2084</v>
      </c>
      <c r="L1176" t="s">
        <v>110</v>
      </c>
    </row>
    <row r="1177" spans="1:12" x14ac:dyDescent="0.3">
      <c r="A1177" s="53">
        <f>DATE(D1177,11,2)</f>
        <v>66052</v>
      </c>
      <c r="B1177" s="54">
        <f t="shared" si="113"/>
        <v>66052</v>
      </c>
      <c r="C1177" t="s">
        <v>126</v>
      </c>
      <c r="D1177">
        <f t="shared" si="115"/>
        <v>2080</v>
      </c>
      <c r="E1177" t="s">
        <v>110</v>
      </c>
      <c r="H1177" s="53">
        <f>FLOOR(DAY(MINUTE(K1177/38)/2+56)&amp;"/5"&amp;"/"&amp;K1177,7)-34</f>
        <v>67292</v>
      </c>
      <c r="I1177" s="54">
        <f t="shared" si="114"/>
        <v>67292</v>
      </c>
      <c r="J1177" t="s">
        <v>113</v>
      </c>
      <c r="K1177">
        <f t="shared" si="117"/>
        <v>2084</v>
      </c>
      <c r="L1177" t="s">
        <v>110</v>
      </c>
    </row>
    <row r="1178" spans="1:12" x14ac:dyDescent="0.3">
      <c r="A1178" s="53">
        <f>DATE(D1178,11,15)</f>
        <v>66065</v>
      </c>
      <c r="B1178" s="54">
        <f t="shared" si="113"/>
        <v>66065</v>
      </c>
      <c r="C1178" t="s">
        <v>127</v>
      </c>
      <c r="D1178">
        <f t="shared" si="115"/>
        <v>2080</v>
      </c>
      <c r="E1178" t="s">
        <v>110</v>
      </c>
      <c r="H1178" s="53">
        <f>DATE(K1178,4,21)</f>
        <v>67318</v>
      </c>
      <c r="I1178" s="54">
        <f t="shared" si="114"/>
        <v>67318</v>
      </c>
      <c r="J1178" t="s">
        <v>116</v>
      </c>
      <c r="K1178">
        <f t="shared" si="117"/>
        <v>2084</v>
      </c>
      <c r="L1178" t="s">
        <v>110</v>
      </c>
    </row>
    <row r="1179" spans="1:12" x14ac:dyDescent="0.3">
      <c r="A1179" s="53">
        <f>DATE(D1179,11,20)</f>
        <v>66070</v>
      </c>
      <c r="B1179" s="54">
        <f t="shared" si="113"/>
        <v>66070</v>
      </c>
      <c r="C1179" t="s">
        <v>128</v>
      </c>
      <c r="D1179">
        <f t="shared" si="115"/>
        <v>2080</v>
      </c>
      <c r="E1179" t="s">
        <v>110</v>
      </c>
      <c r="H1179" s="53">
        <f>DATE(K1179,5,1)</f>
        <v>67328</v>
      </c>
      <c r="I1179" s="54">
        <f t="shared" si="114"/>
        <v>67328</v>
      </c>
      <c r="J1179" t="s">
        <v>117</v>
      </c>
      <c r="K1179">
        <f t="shared" si="117"/>
        <v>2084</v>
      </c>
      <c r="L1179" t="s">
        <v>110</v>
      </c>
    </row>
    <row r="1180" spans="1:12" x14ac:dyDescent="0.3">
      <c r="A1180" s="53">
        <f>DATE(D1180,12,25)</f>
        <v>66105</v>
      </c>
      <c r="B1180" s="54">
        <f t="shared" si="113"/>
        <v>66105</v>
      </c>
      <c r="C1180" t="s">
        <v>129</v>
      </c>
      <c r="D1180">
        <f t="shared" si="115"/>
        <v>2080</v>
      </c>
      <c r="E1180" t="s">
        <v>110</v>
      </c>
      <c r="H1180" s="53">
        <f>DATE(K1180,5,1)+(14-WEEKDAY(DATE(K1180,5,1),2))</f>
        <v>67341</v>
      </c>
      <c r="I1180" s="54">
        <f t="shared" si="114"/>
        <v>67341</v>
      </c>
      <c r="J1180" t="s">
        <v>118</v>
      </c>
      <c r="K1180">
        <f t="shared" si="117"/>
        <v>2084</v>
      </c>
      <c r="L1180" t="s">
        <v>110</v>
      </c>
    </row>
    <row r="1181" spans="1:12" x14ac:dyDescent="0.3">
      <c r="A1181" s="53">
        <f>DATE(D1181,1,1)</f>
        <v>66112</v>
      </c>
      <c r="B1181" s="54">
        <f t="shared" si="113"/>
        <v>66112</v>
      </c>
      <c r="C1181" t="s">
        <v>109</v>
      </c>
      <c r="D1181">
        <f>D1162+1</f>
        <v>2081</v>
      </c>
      <c r="E1181" t="s">
        <v>110</v>
      </c>
      <c r="H1181" s="53">
        <f>H1177+60</f>
        <v>67352</v>
      </c>
      <c r="I1181" s="54">
        <f t="shared" si="114"/>
        <v>67352</v>
      </c>
      <c r="J1181" t="s">
        <v>119</v>
      </c>
      <c r="K1181">
        <f t="shared" si="117"/>
        <v>2084</v>
      </c>
      <c r="L1181" t="s">
        <v>110</v>
      </c>
    </row>
    <row r="1182" spans="1:12" x14ac:dyDescent="0.3">
      <c r="A1182" s="53">
        <f>A1185-48</f>
        <v>66152</v>
      </c>
      <c r="B1182" s="54">
        <f t="shared" si="113"/>
        <v>66152</v>
      </c>
      <c r="C1182" t="s">
        <v>111</v>
      </c>
      <c r="D1182">
        <f t="shared" si="115"/>
        <v>2081</v>
      </c>
      <c r="E1182" t="s">
        <v>110</v>
      </c>
      <c r="H1182" s="53">
        <f>DATE(K1182,6,19)</f>
        <v>67377</v>
      </c>
      <c r="I1182" s="54">
        <f t="shared" si="114"/>
        <v>67377</v>
      </c>
      <c r="J1182" t="s">
        <v>114</v>
      </c>
      <c r="K1182">
        <f t="shared" si="117"/>
        <v>2084</v>
      </c>
      <c r="L1182" t="s">
        <v>115</v>
      </c>
    </row>
    <row r="1183" spans="1:12" x14ac:dyDescent="0.3">
      <c r="A1183" s="53">
        <f>A1185-47</f>
        <v>66153</v>
      </c>
      <c r="B1183" s="54">
        <f t="shared" si="113"/>
        <v>66153</v>
      </c>
      <c r="C1183" t="s">
        <v>111</v>
      </c>
      <c r="D1183">
        <f t="shared" si="115"/>
        <v>2081</v>
      </c>
      <c r="E1183" t="s">
        <v>110</v>
      </c>
      <c r="H1183" s="53">
        <f>DATE(K1183,7,9)</f>
        <v>67397</v>
      </c>
      <c r="I1183" s="54">
        <f t="shared" si="114"/>
        <v>67397</v>
      </c>
      <c r="J1183" t="s">
        <v>120</v>
      </c>
      <c r="K1183">
        <f t="shared" si="117"/>
        <v>2084</v>
      </c>
      <c r="L1183" t="s">
        <v>121</v>
      </c>
    </row>
    <row r="1184" spans="1:12" x14ac:dyDescent="0.3">
      <c r="A1184" s="53">
        <f>A1185-2</f>
        <v>66198</v>
      </c>
      <c r="B1184" s="54">
        <f t="shared" si="113"/>
        <v>66198</v>
      </c>
      <c r="C1184" t="s">
        <v>112</v>
      </c>
      <c r="D1184">
        <f t="shared" si="115"/>
        <v>2081</v>
      </c>
      <c r="E1184" t="s">
        <v>110</v>
      </c>
      <c r="H1184" s="53">
        <f>DATE(K1184,8,1)+(14-WEEKDAY(DATE(K1184,8,1),2))</f>
        <v>67432</v>
      </c>
      <c r="I1184" s="54">
        <f t="shared" si="114"/>
        <v>67432</v>
      </c>
      <c r="J1184" t="s">
        <v>123</v>
      </c>
      <c r="K1184">
        <f t="shared" si="117"/>
        <v>2084</v>
      </c>
      <c r="L1184" t="s">
        <v>110</v>
      </c>
    </row>
    <row r="1185" spans="1:12" x14ac:dyDescent="0.3">
      <c r="A1185" s="53">
        <f>FLOOR(DAY(MINUTE(D1185/38)/2+56)&amp;"/5"&amp;"/"&amp;D1185,7)-34</f>
        <v>66200</v>
      </c>
      <c r="B1185" s="54">
        <f t="shared" si="113"/>
        <v>66200</v>
      </c>
      <c r="C1185" t="s">
        <v>113</v>
      </c>
      <c r="D1185">
        <f t="shared" si="115"/>
        <v>2081</v>
      </c>
      <c r="E1185" t="s">
        <v>110</v>
      </c>
      <c r="H1185" s="53">
        <f>DATE(K1185,9,7)</f>
        <v>67457</v>
      </c>
      <c r="I1185" s="54">
        <f t="shared" si="114"/>
        <v>67457</v>
      </c>
      <c r="J1185" t="s">
        <v>124</v>
      </c>
      <c r="K1185">
        <f t="shared" si="117"/>
        <v>2084</v>
      </c>
      <c r="L1185" t="s">
        <v>110</v>
      </c>
    </row>
    <row r="1186" spans="1:12" x14ac:dyDescent="0.3">
      <c r="A1186" s="53">
        <f>DATE(D1186,4,14)</f>
        <v>66215</v>
      </c>
      <c r="B1186" s="54">
        <f t="shared" si="113"/>
        <v>66215</v>
      </c>
      <c r="C1186" t="s">
        <v>114</v>
      </c>
      <c r="D1186">
        <f t="shared" si="115"/>
        <v>2081</v>
      </c>
      <c r="E1186" t="s">
        <v>115</v>
      </c>
      <c r="H1186" s="53">
        <f>DATE(K1186,10,12)</f>
        <v>67492</v>
      </c>
      <c r="I1186" s="54">
        <f t="shared" si="114"/>
        <v>67492</v>
      </c>
      <c r="J1186" t="s">
        <v>125</v>
      </c>
      <c r="K1186">
        <f t="shared" si="117"/>
        <v>2084</v>
      </c>
      <c r="L1186" t="s">
        <v>110</v>
      </c>
    </row>
    <row r="1187" spans="1:12" x14ac:dyDescent="0.3">
      <c r="A1187" s="53">
        <f>DATE(D1187,4,21)</f>
        <v>66222</v>
      </c>
      <c r="B1187" s="54">
        <f t="shared" si="113"/>
        <v>66222</v>
      </c>
      <c r="C1187" t="s">
        <v>116</v>
      </c>
      <c r="D1187">
        <f t="shared" si="115"/>
        <v>2081</v>
      </c>
      <c r="E1187" t="s">
        <v>110</v>
      </c>
      <c r="H1187" s="53">
        <f>DATE(K1187,11,2)</f>
        <v>67513</v>
      </c>
      <c r="I1187" s="54">
        <f t="shared" si="114"/>
        <v>67513</v>
      </c>
      <c r="J1187" t="s">
        <v>126</v>
      </c>
      <c r="K1187">
        <f t="shared" si="117"/>
        <v>2084</v>
      </c>
      <c r="L1187" t="s">
        <v>110</v>
      </c>
    </row>
    <row r="1188" spans="1:12" x14ac:dyDescent="0.3">
      <c r="A1188" s="53">
        <f>DATE(D1188,5,1)</f>
        <v>66232</v>
      </c>
      <c r="B1188" s="54">
        <f t="shared" si="113"/>
        <v>66232</v>
      </c>
      <c r="C1188" t="s">
        <v>117</v>
      </c>
      <c r="D1188">
        <f t="shared" si="115"/>
        <v>2081</v>
      </c>
      <c r="E1188" t="s">
        <v>110</v>
      </c>
      <c r="H1188" s="53">
        <f>DATE(K1188,11,15)</f>
        <v>67526</v>
      </c>
      <c r="I1188" s="54">
        <f t="shared" si="114"/>
        <v>67526</v>
      </c>
      <c r="J1188" t="s">
        <v>127</v>
      </c>
      <c r="K1188">
        <f t="shared" si="117"/>
        <v>2084</v>
      </c>
      <c r="L1188" t="s">
        <v>110</v>
      </c>
    </row>
    <row r="1189" spans="1:12" x14ac:dyDescent="0.3">
      <c r="A1189" s="53">
        <f>DATE(D1189,5,1)+(14-WEEKDAY(DATE(D1189,5,1),2))</f>
        <v>66242</v>
      </c>
      <c r="B1189" s="54">
        <f t="shared" si="113"/>
        <v>66242</v>
      </c>
      <c r="C1189" t="s">
        <v>118</v>
      </c>
      <c r="D1189">
        <f t="shared" si="115"/>
        <v>2081</v>
      </c>
      <c r="E1189" t="s">
        <v>110</v>
      </c>
      <c r="H1189" s="53">
        <f>DATE(K1189,11,20)</f>
        <v>67531</v>
      </c>
      <c r="I1189" s="54">
        <f t="shared" si="114"/>
        <v>67531</v>
      </c>
      <c r="J1189" t="s">
        <v>128</v>
      </c>
      <c r="K1189">
        <f t="shared" si="117"/>
        <v>2084</v>
      </c>
      <c r="L1189" t="s">
        <v>110</v>
      </c>
    </row>
    <row r="1190" spans="1:12" x14ac:dyDescent="0.3">
      <c r="A1190" s="53">
        <f>A1185+60</f>
        <v>66260</v>
      </c>
      <c r="B1190" s="54">
        <f t="shared" si="113"/>
        <v>66260</v>
      </c>
      <c r="C1190" t="s">
        <v>119</v>
      </c>
      <c r="D1190">
        <f t="shared" si="115"/>
        <v>2081</v>
      </c>
      <c r="E1190" t="s">
        <v>110</v>
      </c>
      <c r="H1190" s="53">
        <f>DATE(K1190,12,25)</f>
        <v>67566</v>
      </c>
      <c r="I1190" s="54">
        <f t="shared" si="114"/>
        <v>67566</v>
      </c>
      <c r="J1190" t="s">
        <v>129</v>
      </c>
      <c r="K1190">
        <f t="shared" si="117"/>
        <v>2084</v>
      </c>
      <c r="L1190" t="s">
        <v>110</v>
      </c>
    </row>
    <row r="1191" spans="1:12" x14ac:dyDescent="0.3">
      <c r="A1191" s="53">
        <f>DATE(D1191,7,9)</f>
        <v>66301</v>
      </c>
      <c r="B1191" s="54">
        <f t="shared" si="113"/>
        <v>66301</v>
      </c>
      <c r="C1191" t="s">
        <v>120</v>
      </c>
      <c r="D1191">
        <f t="shared" si="115"/>
        <v>2081</v>
      </c>
      <c r="E1191" t="s">
        <v>121</v>
      </c>
      <c r="H1191" s="53">
        <f>DATE(K1191,1,1)</f>
        <v>67573</v>
      </c>
      <c r="I1191" s="54">
        <f t="shared" si="114"/>
        <v>67573</v>
      </c>
      <c r="J1191" t="s">
        <v>109</v>
      </c>
      <c r="K1191">
        <f>K1173+1</f>
        <v>2085</v>
      </c>
      <c r="L1191" t="s">
        <v>110</v>
      </c>
    </row>
    <row r="1192" spans="1:12" x14ac:dyDescent="0.3">
      <c r="A1192" s="53">
        <f>DATE(D1192,8,8)</f>
        <v>66331</v>
      </c>
      <c r="B1192" s="54">
        <f t="shared" si="113"/>
        <v>66331</v>
      </c>
      <c r="C1192" t="s">
        <v>122</v>
      </c>
      <c r="D1192">
        <f t="shared" si="115"/>
        <v>2081</v>
      </c>
      <c r="E1192" t="s">
        <v>115</v>
      </c>
      <c r="H1192" s="53">
        <f>H1195-48</f>
        <v>67629</v>
      </c>
      <c r="I1192" s="54">
        <f t="shared" si="114"/>
        <v>67629</v>
      </c>
      <c r="J1192" t="s">
        <v>111</v>
      </c>
      <c r="K1192">
        <f t="shared" ref="K1192:K1255" si="118">K1174+1</f>
        <v>2085</v>
      </c>
      <c r="L1192" t="s">
        <v>110</v>
      </c>
    </row>
    <row r="1193" spans="1:12" x14ac:dyDescent="0.3">
      <c r="A1193" s="53">
        <f>DATE(D1193,8,1)+(14-WEEKDAY(DATE(D1193,8,1),2))</f>
        <v>66333</v>
      </c>
      <c r="B1193" s="54">
        <f t="shared" si="113"/>
        <v>66333</v>
      </c>
      <c r="C1193" t="s">
        <v>123</v>
      </c>
      <c r="D1193">
        <f t="shared" si="115"/>
        <v>2081</v>
      </c>
      <c r="E1193" t="s">
        <v>110</v>
      </c>
      <c r="H1193" s="53">
        <f>H1195-47</f>
        <v>67630</v>
      </c>
      <c r="I1193" s="54">
        <f t="shared" si="114"/>
        <v>67630</v>
      </c>
      <c r="J1193" t="s">
        <v>111</v>
      </c>
      <c r="K1193">
        <f t="shared" si="118"/>
        <v>2085</v>
      </c>
      <c r="L1193" t="s">
        <v>110</v>
      </c>
    </row>
    <row r="1194" spans="1:12" x14ac:dyDescent="0.3">
      <c r="A1194" s="53">
        <f>DATE(D1194,9,7)</f>
        <v>66361</v>
      </c>
      <c r="B1194" s="54">
        <f t="shared" si="113"/>
        <v>66361</v>
      </c>
      <c r="C1194" t="s">
        <v>124</v>
      </c>
      <c r="D1194">
        <f t="shared" si="115"/>
        <v>2081</v>
      </c>
      <c r="E1194" t="s">
        <v>110</v>
      </c>
      <c r="H1194" s="53">
        <f>H1195-2</f>
        <v>67675</v>
      </c>
      <c r="I1194" s="54">
        <f t="shared" si="114"/>
        <v>67675</v>
      </c>
      <c r="J1194" t="s">
        <v>112</v>
      </c>
      <c r="K1194">
        <f t="shared" si="118"/>
        <v>2085</v>
      </c>
      <c r="L1194" t="s">
        <v>110</v>
      </c>
    </row>
    <row r="1195" spans="1:12" x14ac:dyDescent="0.3">
      <c r="A1195" s="53">
        <f>DATE(D1195,10,12)</f>
        <v>66396</v>
      </c>
      <c r="B1195" s="54">
        <f t="shared" si="113"/>
        <v>66396</v>
      </c>
      <c r="C1195" t="s">
        <v>125</v>
      </c>
      <c r="D1195">
        <f t="shared" si="115"/>
        <v>2081</v>
      </c>
      <c r="E1195" t="s">
        <v>110</v>
      </c>
      <c r="H1195" s="53">
        <f>FLOOR(DAY(MINUTE(K1195/38)/2+56)&amp;"/5"&amp;"/"&amp;K1195,7)-34</f>
        <v>67677</v>
      </c>
      <c r="I1195" s="54">
        <f t="shared" si="114"/>
        <v>67677</v>
      </c>
      <c r="J1195" t="s">
        <v>113</v>
      </c>
      <c r="K1195">
        <f t="shared" si="118"/>
        <v>2085</v>
      </c>
      <c r="L1195" t="s">
        <v>110</v>
      </c>
    </row>
    <row r="1196" spans="1:12" x14ac:dyDescent="0.3">
      <c r="A1196" s="53">
        <f>DATE(D1196,11,2)</f>
        <v>66417</v>
      </c>
      <c r="B1196" s="54">
        <f t="shared" si="113"/>
        <v>66417</v>
      </c>
      <c r="C1196" t="s">
        <v>126</v>
      </c>
      <c r="D1196">
        <f t="shared" si="115"/>
        <v>2081</v>
      </c>
      <c r="E1196" t="s">
        <v>110</v>
      </c>
      <c r="H1196" s="53">
        <f>DATE(K1196,4,21)</f>
        <v>67683</v>
      </c>
      <c r="I1196" s="54">
        <f t="shared" si="114"/>
        <v>67683</v>
      </c>
      <c r="J1196" t="s">
        <v>116</v>
      </c>
      <c r="K1196">
        <f t="shared" si="118"/>
        <v>2085</v>
      </c>
      <c r="L1196" t="s">
        <v>110</v>
      </c>
    </row>
    <row r="1197" spans="1:12" x14ac:dyDescent="0.3">
      <c r="A1197" s="53">
        <f>DATE(D1197,11,15)</f>
        <v>66430</v>
      </c>
      <c r="B1197" s="54">
        <f t="shared" si="113"/>
        <v>66430</v>
      </c>
      <c r="C1197" t="s">
        <v>127</v>
      </c>
      <c r="D1197">
        <f t="shared" si="115"/>
        <v>2081</v>
      </c>
      <c r="E1197" t="s">
        <v>110</v>
      </c>
      <c r="H1197" s="53">
        <f>DATE(K1197,5,1)</f>
        <v>67693</v>
      </c>
      <c r="I1197" s="54">
        <f t="shared" si="114"/>
        <v>67693</v>
      </c>
      <c r="J1197" t="s">
        <v>117</v>
      </c>
      <c r="K1197">
        <f t="shared" si="118"/>
        <v>2085</v>
      </c>
      <c r="L1197" t="s">
        <v>110</v>
      </c>
    </row>
    <row r="1198" spans="1:12" x14ac:dyDescent="0.3">
      <c r="A1198" s="53">
        <f>DATE(D1198,11,20)</f>
        <v>66435</v>
      </c>
      <c r="B1198" s="54">
        <f t="shared" si="113"/>
        <v>66435</v>
      </c>
      <c r="C1198" t="s">
        <v>128</v>
      </c>
      <c r="D1198">
        <f t="shared" si="115"/>
        <v>2081</v>
      </c>
      <c r="E1198" t="s">
        <v>110</v>
      </c>
      <c r="H1198" s="53">
        <f>DATE(K1198,5,1)+(14-WEEKDAY(DATE(K1198,5,1),2))</f>
        <v>67705</v>
      </c>
      <c r="I1198" s="54">
        <f t="shared" si="114"/>
        <v>67705</v>
      </c>
      <c r="J1198" t="s">
        <v>118</v>
      </c>
      <c r="K1198">
        <f t="shared" si="118"/>
        <v>2085</v>
      </c>
      <c r="L1198" t="s">
        <v>110</v>
      </c>
    </row>
    <row r="1199" spans="1:12" x14ac:dyDescent="0.3">
      <c r="A1199" s="53">
        <f>DATE(D1199,12,25)</f>
        <v>66470</v>
      </c>
      <c r="B1199" s="54">
        <f t="shared" si="113"/>
        <v>66470</v>
      </c>
      <c r="C1199" t="s">
        <v>129</v>
      </c>
      <c r="D1199">
        <f t="shared" si="115"/>
        <v>2081</v>
      </c>
      <c r="E1199" t="s">
        <v>110</v>
      </c>
      <c r="H1199" s="53">
        <f>H1195+60</f>
        <v>67737</v>
      </c>
      <c r="I1199" s="54">
        <f t="shared" si="114"/>
        <v>67737</v>
      </c>
      <c r="J1199" t="s">
        <v>119</v>
      </c>
      <c r="K1199">
        <f t="shared" si="118"/>
        <v>2085</v>
      </c>
      <c r="L1199" t="s">
        <v>110</v>
      </c>
    </row>
    <row r="1200" spans="1:12" x14ac:dyDescent="0.3">
      <c r="A1200" s="53">
        <f>DATE(D1200,1,1)</f>
        <v>66477</v>
      </c>
      <c r="B1200" s="54">
        <f t="shared" si="113"/>
        <v>66477</v>
      </c>
      <c r="C1200" t="s">
        <v>109</v>
      </c>
      <c r="D1200">
        <f>D1181+1</f>
        <v>2082</v>
      </c>
      <c r="E1200" t="s">
        <v>110</v>
      </c>
      <c r="H1200" s="53">
        <f>DATE(K1200,6,19)</f>
        <v>67742</v>
      </c>
      <c r="I1200" s="54">
        <f t="shared" si="114"/>
        <v>67742</v>
      </c>
      <c r="J1200" t="s">
        <v>114</v>
      </c>
      <c r="K1200">
        <f t="shared" si="118"/>
        <v>2085</v>
      </c>
      <c r="L1200" t="s">
        <v>115</v>
      </c>
    </row>
    <row r="1201" spans="1:12" x14ac:dyDescent="0.3">
      <c r="A1201" s="53">
        <f>A1204-48</f>
        <v>66537</v>
      </c>
      <c r="B1201" s="54">
        <f t="shared" si="113"/>
        <v>66537</v>
      </c>
      <c r="C1201" t="s">
        <v>111</v>
      </c>
      <c r="D1201">
        <f t="shared" si="115"/>
        <v>2082</v>
      </c>
      <c r="E1201" t="s">
        <v>110</v>
      </c>
      <c r="H1201" s="53">
        <f>DATE(K1201,7,9)</f>
        <v>67762</v>
      </c>
      <c r="I1201" s="54">
        <f t="shared" si="114"/>
        <v>67762</v>
      </c>
      <c r="J1201" t="s">
        <v>120</v>
      </c>
      <c r="K1201">
        <f t="shared" si="118"/>
        <v>2085</v>
      </c>
      <c r="L1201" t="s">
        <v>121</v>
      </c>
    </row>
    <row r="1202" spans="1:12" x14ac:dyDescent="0.3">
      <c r="A1202" s="53">
        <f>A1204-47</f>
        <v>66538</v>
      </c>
      <c r="B1202" s="54">
        <f t="shared" si="113"/>
        <v>66538</v>
      </c>
      <c r="C1202" t="s">
        <v>111</v>
      </c>
      <c r="D1202">
        <f t="shared" si="115"/>
        <v>2082</v>
      </c>
      <c r="E1202" t="s">
        <v>110</v>
      </c>
      <c r="H1202" s="53">
        <f>DATE(K1202,8,1)+(14-WEEKDAY(DATE(K1202,8,1),2))</f>
        <v>67796</v>
      </c>
      <c r="I1202" s="54">
        <f t="shared" si="114"/>
        <v>67796</v>
      </c>
      <c r="J1202" t="s">
        <v>123</v>
      </c>
      <c r="K1202">
        <f t="shared" si="118"/>
        <v>2085</v>
      </c>
      <c r="L1202" t="s">
        <v>110</v>
      </c>
    </row>
    <row r="1203" spans="1:12" x14ac:dyDescent="0.3">
      <c r="A1203" s="53">
        <f>A1204-2</f>
        <v>66583</v>
      </c>
      <c r="B1203" s="54">
        <f t="shared" si="113"/>
        <v>66583</v>
      </c>
      <c r="C1203" t="s">
        <v>112</v>
      </c>
      <c r="D1203">
        <f t="shared" si="115"/>
        <v>2082</v>
      </c>
      <c r="E1203" t="s">
        <v>110</v>
      </c>
      <c r="H1203" s="53">
        <f>DATE(K1203,9,7)</f>
        <v>67822</v>
      </c>
      <c r="I1203" s="54">
        <f t="shared" si="114"/>
        <v>67822</v>
      </c>
      <c r="J1203" t="s">
        <v>124</v>
      </c>
      <c r="K1203">
        <f t="shared" si="118"/>
        <v>2085</v>
      </c>
      <c r="L1203" t="s">
        <v>110</v>
      </c>
    </row>
    <row r="1204" spans="1:12" x14ac:dyDescent="0.3">
      <c r="A1204" s="53">
        <f>FLOOR(DAY(MINUTE(D1204/38)/2+56)&amp;"/5"&amp;"/"&amp;D1204,7)-34</f>
        <v>66585</v>
      </c>
      <c r="B1204" s="54">
        <f t="shared" si="113"/>
        <v>66585</v>
      </c>
      <c r="C1204" t="s">
        <v>113</v>
      </c>
      <c r="D1204">
        <f t="shared" si="115"/>
        <v>2082</v>
      </c>
      <c r="E1204" t="s">
        <v>110</v>
      </c>
      <c r="H1204" s="53">
        <f>DATE(K1204,10,12)</f>
        <v>67857</v>
      </c>
      <c r="I1204" s="54">
        <f t="shared" si="114"/>
        <v>67857</v>
      </c>
      <c r="J1204" t="s">
        <v>125</v>
      </c>
      <c r="K1204">
        <f t="shared" si="118"/>
        <v>2085</v>
      </c>
      <c r="L1204" t="s">
        <v>110</v>
      </c>
    </row>
    <row r="1205" spans="1:12" x14ac:dyDescent="0.3">
      <c r="A1205" s="53">
        <f>DATE(D1205,4,14)</f>
        <v>66580</v>
      </c>
      <c r="B1205" s="54">
        <f t="shared" si="113"/>
        <v>66580</v>
      </c>
      <c r="C1205" t="s">
        <v>114</v>
      </c>
      <c r="D1205">
        <f t="shared" si="115"/>
        <v>2082</v>
      </c>
      <c r="E1205" t="s">
        <v>115</v>
      </c>
      <c r="H1205" s="53">
        <f>DATE(K1205,11,2)</f>
        <v>67878</v>
      </c>
      <c r="I1205" s="54">
        <f t="shared" si="114"/>
        <v>67878</v>
      </c>
      <c r="J1205" t="s">
        <v>126</v>
      </c>
      <c r="K1205">
        <f t="shared" si="118"/>
        <v>2085</v>
      </c>
      <c r="L1205" t="s">
        <v>110</v>
      </c>
    </row>
    <row r="1206" spans="1:12" x14ac:dyDescent="0.3">
      <c r="A1206" s="53">
        <f>DATE(D1206,4,21)</f>
        <v>66587</v>
      </c>
      <c r="B1206" s="54">
        <f t="shared" si="113"/>
        <v>66587</v>
      </c>
      <c r="C1206" t="s">
        <v>116</v>
      </c>
      <c r="D1206">
        <f t="shared" si="115"/>
        <v>2082</v>
      </c>
      <c r="E1206" t="s">
        <v>110</v>
      </c>
      <c r="H1206" s="53">
        <f>DATE(K1206,11,15)</f>
        <v>67891</v>
      </c>
      <c r="I1206" s="54">
        <f t="shared" si="114"/>
        <v>67891</v>
      </c>
      <c r="J1206" t="s">
        <v>127</v>
      </c>
      <c r="K1206">
        <f t="shared" si="118"/>
        <v>2085</v>
      </c>
      <c r="L1206" t="s">
        <v>110</v>
      </c>
    </row>
    <row r="1207" spans="1:12" x14ac:dyDescent="0.3">
      <c r="A1207" s="53">
        <f>DATE(D1207,5,1)</f>
        <v>66597</v>
      </c>
      <c r="B1207" s="54">
        <f t="shared" si="113"/>
        <v>66597</v>
      </c>
      <c r="C1207" t="s">
        <v>117</v>
      </c>
      <c r="D1207">
        <f t="shared" si="115"/>
        <v>2082</v>
      </c>
      <c r="E1207" t="s">
        <v>110</v>
      </c>
      <c r="H1207" s="53">
        <f>DATE(K1207,11,20)</f>
        <v>67896</v>
      </c>
      <c r="I1207" s="54">
        <f t="shared" si="114"/>
        <v>67896</v>
      </c>
      <c r="J1207" t="s">
        <v>128</v>
      </c>
      <c r="K1207">
        <f t="shared" si="118"/>
        <v>2085</v>
      </c>
      <c r="L1207" t="s">
        <v>110</v>
      </c>
    </row>
    <row r="1208" spans="1:12" x14ac:dyDescent="0.3">
      <c r="A1208" s="53">
        <f>DATE(D1208,5,1)+(14-WEEKDAY(DATE(D1208,5,1),2))</f>
        <v>66606</v>
      </c>
      <c r="B1208" s="54">
        <f t="shared" si="113"/>
        <v>66606</v>
      </c>
      <c r="C1208" t="s">
        <v>118</v>
      </c>
      <c r="D1208">
        <f t="shared" si="115"/>
        <v>2082</v>
      </c>
      <c r="E1208" t="s">
        <v>110</v>
      </c>
      <c r="H1208" s="53">
        <f>DATE(K1208,12,25)</f>
        <v>67931</v>
      </c>
      <c r="I1208" s="54">
        <f t="shared" si="114"/>
        <v>67931</v>
      </c>
      <c r="J1208" t="s">
        <v>129</v>
      </c>
      <c r="K1208">
        <f t="shared" si="118"/>
        <v>2085</v>
      </c>
      <c r="L1208" t="s">
        <v>110</v>
      </c>
    </row>
    <row r="1209" spans="1:12" x14ac:dyDescent="0.3">
      <c r="A1209" s="53">
        <f>A1204+60</f>
        <v>66645</v>
      </c>
      <c r="B1209" s="54">
        <f t="shared" si="113"/>
        <v>66645</v>
      </c>
      <c r="C1209" t="s">
        <v>119</v>
      </c>
      <c r="D1209">
        <f t="shared" si="115"/>
        <v>2082</v>
      </c>
      <c r="E1209" t="s">
        <v>110</v>
      </c>
      <c r="H1209" s="53">
        <f>DATE(K1209,1,1)</f>
        <v>67938</v>
      </c>
      <c r="I1209" s="54">
        <f t="shared" si="114"/>
        <v>67938</v>
      </c>
      <c r="J1209" t="s">
        <v>109</v>
      </c>
      <c r="K1209">
        <f>K1191+1</f>
        <v>2086</v>
      </c>
      <c r="L1209" t="s">
        <v>110</v>
      </c>
    </row>
    <row r="1210" spans="1:12" x14ac:dyDescent="0.3">
      <c r="A1210" s="53">
        <f>DATE(D1210,7,9)</f>
        <v>66666</v>
      </c>
      <c r="B1210" s="54">
        <f t="shared" si="113"/>
        <v>66666</v>
      </c>
      <c r="C1210" t="s">
        <v>120</v>
      </c>
      <c r="D1210">
        <f t="shared" si="115"/>
        <v>2082</v>
      </c>
      <c r="E1210" t="s">
        <v>121</v>
      </c>
      <c r="H1210" s="53">
        <f>H1213-48</f>
        <v>67979</v>
      </c>
      <c r="I1210" s="54">
        <f t="shared" si="114"/>
        <v>67979</v>
      </c>
      <c r="J1210" t="s">
        <v>111</v>
      </c>
      <c r="K1210">
        <f t="shared" si="118"/>
        <v>2086</v>
      </c>
      <c r="L1210" t="s">
        <v>110</v>
      </c>
    </row>
    <row r="1211" spans="1:12" x14ac:dyDescent="0.3">
      <c r="A1211" s="53">
        <f>DATE(D1211,8,8)</f>
        <v>66696</v>
      </c>
      <c r="B1211" s="54">
        <f t="shared" si="113"/>
        <v>66696</v>
      </c>
      <c r="C1211" t="s">
        <v>122</v>
      </c>
      <c r="D1211">
        <f t="shared" si="115"/>
        <v>2082</v>
      </c>
      <c r="E1211" t="s">
        <v>115</v>
      </c>
      <c r="H1211" s="53">
        <f>H1213-47</f>
        <v>67980</v>
      </c>
      <c r="I1211" s="54">
        <f t="shared" si="114"/>
        <v>67980</v>
      </c>
      <c r="J1211" t="s">
        <v>111</v>
      </c>
      <c r="K1211">
        <f t="shared" si="118"/>
        <v>2086</v>
      </c>
      <c r="L1211" t="s">
        <v>110</v>
      </c>
    </row>
    <row r="1212" spans="1:12" x14ac:dyDescent="0.3">
      <c r="A1212" s="53">
        <f>DATE(D1212,8,1)+(14-WEEKDAY(DATE(D1212,8,1),2))</f>
        <v>66697</v>
      </c>
      <c r="B1212" s="54">
        <f t="shared" si="113"/>
        <v>66697</v>
      </c>
      <c r="C1212" t="s">
        <v>123</v>
      </c>
      <c r="D1212">
        <f t="shared" si="115"/>
        <v>2082</v>
      </c>
      <c r="E1212" t="s">
        <v>110</v>
      </c>
      <c r="H1212" s="53">
        <f>H1213-2</f>
        <v>68025</v>
      </c>
      <c r="I1212" s="54">
        <f t="shared" si="114"/>
        <v>68025</v>
      </c>
      <c r="J1212" t="s">
        <v>112</v>
      </c>
      <c r="K1212">
        <f t="shared" si="118"/>
        <v>2086</v>
      </c>
      <c r="L1212" t="s">
        <v>110</v>
      </c>
    </row>
    <row r="1213" spans="1:12" x14ac:dyDescent="0.3">
      <c r="A1213" s="53">
        <f>DATE(D1213,9,7)</f>
        <v>66726</v>
      </c>
      <c r="B1213" s="54">
        <f t="shared" si="113"/>
        <v>66726</v>
      </c>
      <c r="C1213" t="s">
        <v>124</v>
      </c>
      <c r="D1213">
        <f t="shared" si="115"/>
        <v>2082</v>
      </c>
      <c r="E1213" t="s">
        <v>110</v>
      </c>
      <c r="H1213" s="53">
        <f>FLOOR(DAY(MINUTE(K1213/38)/2+56)&amp;"/5"&amp;"/"&amp;K1213,7)-34</f>
        <v>68027</v>
      </c>
      <c r="I1213" s="54">
        <f t="shared" si="114"/>
        <v>68027</v>
      </c>
      <c r="J1213" t="s">
        <v>113</v>
      </c>
      <c r="K1213">
        <f t="shared" si="118"/>
        <v>2086</v>
      </c>
      <c r="L1213" t="s">
        <v>110</v>
      </c>
    </row>
    <row r="1214" spans="1:12" x14ac:dyDescent="0.3">
      <c r="A1214" s="53">
        <f>DATE(D1214,10,12)</f>
        <v>66761</v>
      </c>
      <c r="B1214" s="54">
        <f t="shared" si="113"/>
        <v>66761</v>
      </c>
      <c r="C1214" t="s">
        <v>125</v>
      </c>
      <c r="D1214">
        <f t="shared" si="115"/>
        <v>2082</v>
      </c>
      <c r="E1214" t="s">
        <v>110</v>
      </c>
      <c r="H1214" s="53">
        <f>DATE(K1214,4,21)</f>
        <v>68048</v>
      </c>
      <c r="I1214" s="54">
        <f t="shared" si="114"/>
        <v>68048</v>
      </c>
      <c r="J1214" t="s">
        <v>116</v>
      </c>
      <c r="K1214">
        <f t="shared" si="118"/>
        <v>2086</v>
      </c>
      <c r="L1214" t="s">
        <v>110</v>
      </c>
    </row>
    <row r="1215" spans="1:12" x14ac:dyDescent="0.3">
      <c r="A1215" s="53">
        <f>DATE(D1215,11,2)</f>
        <v>66782</v>
      </c>
      <c r="B1215" s="54">
        <f t="shared" si="113"/>
        <v>66782</v>
      </c>
      <c r="C1215" t="s">
        <v>126</v>
      </c>
      <c r="D1215">
        <f t="shared" si="115"/>
        <v>2082</v>
      </c>
      <c r="E1215" t="s">
        <v>110</v>
      </c>
      <c r="H1215" s="53">
        <f>DATE(K1215,5,1)</f>
        <v>68058</v>
      </c>
      <c r="I1215" s="54">
        <f t="shared" si="114"/>
        <v>68058</v>
      </c>
      <c r="J1215" t="s">
        <v>117</v>
      </c>
      <c r="K1215">
        <f t="shared" si="118"/>
        <v>2086</v>
      </c>
      <c r="L1215" t="s">
        <v>110</v>
      </c>
    </row>
    <row r="1216" spans="1:12" x14ac:dyDescent="0.3">
      <c r="A1216" s="53">
        <f>DATE(D1216,11,15)</f>
        <v>66795</v>
      </c>
      <c r="B1216" s="54">
        <f t="shared" si="113"/>
        <v>66795</v>
      </c>
      <c r="C1216" t="s">
        <v>127</v>
      </c>
      <c r="D1216">
        <f t="shared" si="115"/>
        <v>2082</v>
      </c>
      <c r="E1216" t="s">
        <v>110</v>
      </c>
      <c r="H1216" s="53">
        <f>DATE(K1216,5,1)+(14-WEEKDAY(DATE(K1216,5,1),2))</f>
        <v>68069</v>
      </c>
      <c r="I1216" s="54">
        <f t="shared" si="114"/>
        <v>68069</v>
      </c>
      <c r="J1216" t="s">
        <v>118</v>
      </c>
      <c r="K1216">
        <f t="shared" si="118"/>
        <v>2086</v>
      </c>
      <c r="L1216" t="s">
        <v>110</v>
      </c>
    </row>
    <row r="1217" spans="1:12" x14ac:dyDescent="0.3">
      <c r="A1217" s="53">
        <f>DATE(D1217,11,20)</f>
        <v>66800</v>
      </c>
      <c r="B1217" s="54">
        <f t="shared" si="113"/>
        <v>66800</v>
      </c>
      <c r="C1217" t="s">
        <v>128</v>
      </c>
      <c r="D1217">
        <f t="shared" si="115"/>
        <v>2082</v>
      </c>
      <c r="E1217" t="s">
        <v>110</v>
      </c>
      <c r="H1217" s="53">
        <f>H1213+60</f>
        <v>68087</v>
      </c>
      <c r="I1217" s="54">
        <f t="shared" si="114"/>
        <v>68087</v>
      </c>
      <c r="J1217" t="s">
        <v>119</v>
      </c>
      <c r="K1217">
        <f t="shared" si="118"/>
        <v>2086</v>
      </c>
      <c r="L1217" t="s">
        <v>110</v>
      </c>
    </row>
    <row r="1218" spans="1:12" x14ac:dyDescent="0.3">
      <c r="A1218" s="53">
        <f>DATE(D1218,12,25)</f>
        <v>66835</v>
      </c>
      <c r="B1218" s="54">
        <f t="shared" si="113"/>
        <v>66835</v>
      </c>
      <c r="C1218" t="s">
        <v>129</v>
      </c>
      <c r="D1218">
        <f t="shared" si="115"/>
        <v>2082</v>
      </c>
      <c r="E1218" t="s">
        <v>110</v>
      </c>
      <c r="H1218" s="53">
        <f>DATE(K1218,6,19)</f>
        <v>68107</v>
      </c>
      <c r="I1218" s="54">
        <f t="shared" si="114"/>
        <v>68107</v>
      </c>
      <c r="J1218" t="s">
        <v>114</v>
      </c>
      <c r="K1218">
        <f t="shared" si="118"/>
        <v>2086</v>
      </c>
      <c r="L1218" t="s">
        <v>115</v>
      </c>
    </row>
    <row r="1219" spans="1:12" x14ac:dyDescent="0.3">
      <c r="A1219" s="53">
        <f>DATE(D1219,1,1)</f>
        <v>66842</v>
      </c>
      <c r="B1219" s="54">
        <f t="shared" ref="B1219:B1282" si="119">A1219</f>
        <v>66842</v>
      </c>
      <c r="C1219" t="s">
        <v>109</v>
      </c>
      <c r="D1219">
        <f>D1200+1</f>
        <v>2083</v>
      </c>
      <c r="E1219" t="s">
        <v>110</v>
      </c>
      <c r="H1219" s="53">
        <f>DATE(K1219,7,9)</f>
        <v>68127</v>
      </c>
      <c r="I1219" s="54">
        <f t="shared" si="114"/>
        <v>68127</v>
      </c>
      <c r="J1219" t="s">
        <v>120</v>
      </c>
      <c r="K1219">
        <f t="shared" si="118"/>
        <v>2086</v>
      </c>
      <c r="L1219" t="s">
        <v>121</v>
      </c>
    </row>
    <row r="1220" spans="1:12" x14ac:dyDescent="0.3">
      <c r="A1220" s="53">
        <f>A1223-48</f>
        <v>66887</v>
      </c>
      <c r="B1220" s="54">
        <f t="shared" si="119"/>
        <v>66887</v>
      </c>
      <c r="C1220" t="s">
        <v>111</v>
      </c>
      <c r="D1220">
        <f t="shared" si="115"/>
        <v>2083</v>
      </c>
      <c r="E1220" t="s">
        <v>110</v>
      </c>
      <c r="H1220" s="53">
        <f>DATE(K1220,8,1)+(14-WEEKDAY(DATE(K1220,8,1),2))</f>
        <v>68160</v>
      </c>
      <c r="I1220" s="54">
        <f t="shared" si="114"/>
        <v>68160</v>
      </c>
      <c r="J1220" t="s">
        <v>123</v>
      </c>
      <c r="K1220">
        <f t="shared" si="118"/>
        <v>2086</v>
      </c>
      <c r="L1220" t="s">
        <v>110</v>
      </c>
    </row>
    <row r="1221" spans="1:12" x14ac:dyDescent="0.3">
      <c r="A1221" s="53">
        <f>A1223-47</f>
        <v>66888</v>
      </c>
      <c r="B1221" s="54">
        <f t="shared" si="119"/>
        <v>66888</v>
      </c>
      <c r="C1221" t="s">
        <v>111</v>
      </c>
      <c r="D1221">
        <f t="shared" si="115"/>
        <v>2083</v>
      </c>
      <c r="E1221" t="s">
        <v>110</v>
      </c>
      <c r="H1221" s="53">
        <f>DATE(K1221,9,7)</f>
        <v>68187</v>
      </c>
      <c r="I1221" s="54">
        <f t="shared" si="114"/>
        <v>68187</v>
      </c>
      <c r="J1221" t="s">
        <v>124</v>
      </c>
      <c r="K1221">
        <f t="shared" si="118"/>
        <v>2086</v>
      </c>
      <c r="L1221" t="s">
        <v>110</v>
      </c>
    </row>
    <row r="1222" spans="1:12" x14ac:dyDescent="0.3">
      <c r="A1222" s="53">
        <f>A1223-2</f>
        <v>66933</v>
      </c>
      <c r="B1222" s="54">
        <f t="shared" si="119"/>
        <v>66933</v>
      </c>
      <c r="C1222" t="s">
        <v>112</v>
      </c>
      <c r="D1222">
        <f t="shared" si="115"/>
        <v>2083</v>
      </c>
      <c r="E1222" t="s">
        <v>110</v>
      </c>
      <c r="H1222" s="53">
        <f>DATE(K1222,10,12)</f>
        <v>68222</v>
      </c>
      <c r="I1222" s="54">
        <f t="shared" si="114"/>
        <v>68222</v>
      </c>
      <c r="J1222" t="s">
        <v>125</v>
      </c>
      <c r="K1222">
        <f t="shared" si="118"/>
        <v>2086</v>
      </c>
      <c r="L1222" t="s">
        <v>110</v>
      </c>
    </row>
    <row r="1223" spans="1:12" x14ac:dyDescent="0.3">
      <c r="A1223" s="53">
        <f>FLOOR(DAY(MINUTE(D1223/38)/2+56)&amp;"/5"&amp;"/"&amp;D1223,7)-34</f>
        <v>66935</v>
      </c>
      <c r="B1223" s="54">
        <f t="shared" si="119"/>
        <v>66935</v>
      </c>
      <c r="C1223" t="s">
        <v>113</v>
      </c>
      <c r="D1223">
        <f t="shared" si="115"/>
        <v>2083</v>
      </c>
      <c r="E1223" t="s">
        <v>110</v>
      </c>
      <c r="H1223" s="53">
        <f>DATE(K1223,11,2)</f>
        <v>68243</v>
      </c>
      <c r="I1223" s="54">
        <f t="shared" si="114"/>
        <v>68243</v>
      </c>
      <c r="J1223" t="s">
        <v>126</v>
      </c>
      <c r="K1223">
        <f t="shared" si="118"/>
        <v>2086</v>
      </c>
      <c r="L1223" t="s">
        <v>110</v>
      </c>
    </row>
    <row r="1224" spans="1:12" x14ac:dyDescent="0.3">
      <c r="A1224" s="53">
        <f>DATE(D1224,4,14)</f>
        <v>66945</v>
      </c>
      <c r="B1224" s="54">
        <f t="shared" si="119"/>
        <v>66945</v>
      </c>
      <c r="C1224" t="s">
        <v>114</v>
      </c>
      <c r="D1224">
        <f t="shared" si="115"/>
        <v>2083</v>
      </c>
      <c r="E1224" t="s">
        <v>115</v>
      </c>
      <c r="H1224" s="53">
        <f>DATE(K1224,11,15)</f>
        <v>68256</v>
      </c>
      <c r="I1224" s="54">
        <f t="shared" ref="I1224:I1287" si="120">H1224</f>
        <v>68256</v>
      </c>
      <c r="J1224" t="s">
        <v>127</v>
      </c>
      <c r="K1224">
        <f t="shared" si="118"/>
        <v>2086</v>
      </c>
      <c r="L1224" t="s">
        <v>110</v>
      </c>
    </row>
    <row r="1225" spans="1:12" x14ac:dyDescent="0.3">
      <c r="A1225" s="53">
        <f>DATE(D1225,4,21)</f>
        <v>66952</v>
      </c>
      <c r="B1225" s="54">
        <f t="shared" si="119"/>
        <v>66952</v>
      </c>
      <c r="C1225" t="s">
        <v>116</v>
      </c>
      <c r="D1225">
        <f t="shared" si="115"/>
        <v>2083</v>
      </c>
      <c r="E1225" t="s">
        <v>110</v>
      </c>
      <c r="H1225" s="53">
        <f>DATE(K1225,11,20)</f>
        <v>68261</v>
      </c>
      <c r="I1225" s="54">
        <f t="shared" si="120"/>
        <v>68261</v>
      </c>
      <c r="J1225" t="s">
        <v>128</v>
      </c>
      <c r="K1225">
        <f t="shared" si="118"/>
        <v>2086</v>
      </c>
      <c r="L1225" t="s">
        <v>110</v>
      </c>
    </row>
    <row r="1226" spans="1:12" x14ac:dyDescent="0.3">
      <c r="A1226" s="53">
        <f>DATE(D1226,5,1)</f>
        <v>66962</v>
      </c>
      <c r="B1226" s="54">
        <f t="shared" si="119"/>
        <v>66962</v>
      </c>
      <c r="C1226" t="s">
        <v>117</v>
      </c>
      <c r="D1226">
        <f t="shared" si="115"/>
        <v>2083</v>
      </c>
      <c r="E1226" t="s">
        <v>110</v>
      </c>
      <c r="H1226" s="53">
        <f>DATE(K1226,12,25)</f>
        <v>68296</v>
      </c>
      <c r="I1226" s="54">
        <f t="shared" si="120"/>
        <v>68296</v>
      </c>
      <c r="J1226" t="s">
        <v>129</v>
      </c>
      <c r="K1226">
        <f t="shared" si="118"/>
        <v>2086</v>
      </c>
      <c r="L1226" t="s">
        <v>110</v>
      </c>
    </row>
    <row r="1227" spans="1:12" x14ac:dyDescent="0.3">
      <c r="A1227" s="53">
        <f>DATE(D1227,5,1)+(14-WEEKDAY(DATE(D1227,5,1),2))</f>
        <v>66970</v>
      </c>
      <c r="B1227" s="54">
        <f t="shared" si="119"/>
        <v>66970</v>
      </c>
      <c r="C1227" t="s">
        <v>118</v>
      </c>
      <c r="D1227">
        <f t="shared" ref="D1227:D1237" si="121">D1208+1</f>
        <v>2083</v>
      </c>
      <c r="E1227" t="s">
        <v>110</v>
      </c>
      <c r="H1227" s="53">
        <f>DATE(K1227,1,1)</f>
        <v>68303</v>
      </c>
      <c r="I1227" s="54">
        <f t="shared" si="120"/>
        <v>68303</v>
      </c>
      <c r="J1227" t="s">
        <v>109</v>
      </c>
      <c r="K1227">
        <f>K1209+1</f>
        <v>2087</v>
      </c>
      <c r="L1227" t="s">
        <v>110</v>
      </c>
    </row>
    <row r="1228" spans="1:12" x14ac:dyDescent="0.3">
      <c r="A1228" s="53">
        <f>A1223+60</f>
        <v>66995</v>
      </c>
      <c r="B1228" s="54">
        <f t="shared" si="119"/>
        <v>66995</v>
      </c>
      <c r="C1228" t="s">
        <v>119</v>
      </c>
      <c r="D1228">
        <f t="shared" si="121"/>
        <v>2083</v>
      </c>
      <c r="E1228" t="s">
        <v>110</v>
      </c>
      <c r="H1228" s="53">
        <f>H1231-48</f>
        <v>68364</v>
      </c>
      <c r="I1228" s="54">
        <f t="shared" si="120"/>
        <v>68364</v>
      </c>
      <c r="J1228" t="s">
        <v>111</v>
      </c>
      <c r="K1228">
        <f t="shared" si="118"/>
        <v>2087</v>
      </c>
      <c r="L1228" t="s">
        <v>110</v>
      </c>
    </row>
    <row r="1229" spans="1:12" x14ac:dyDescent="0.3">
      <c r="A1229" s="53">
        <f>DATE(D1229,7,9)</f>
        <v>67031</v>
      </c>
      <c r="B1229" s="54">
        <f t="shared" si="119"/>
        <v>67031</v>
      </c>
      <c r="C1229" t="s">
        <v>120</v>
      </c>
      <c r="D1229">
        <f t="shared" si="121"/>
        <v>2083</v>
      </c>
      <c r="E1229" t="s">
        <v>121</v>
      </c>
      <c r="H1229" s="53">
        <f>H1231-47</f>
        <v>68365</v>
      </c>
      <c r="I1229" s="54">
        <f t="shared" si="120"/>
        <v>68365</v>
      </c>
      <c r="J1229" t="s">
        <v>111</v>
      </c>
      <c r="K1229">
        <f t="shared" si="118"/>
        <v>2087</v>
      </c>
      <c r="L1229" t="s">
        <v>110</v>
      </c>
    </row>
    <row r="1230" spans="1:12" x14ac:dyDescent="0.3">
      <c r="A1230" s="53">
        <f>DATE(D1230,8,8)</f>
        <v>67061</v>
      </c>
      <c r="B1230" s="54">
        <f t="shared" si="119"/>
        <v>67061</v>
      </c>
      <c r="C1230" t="s">
        <v>122</v>
      </c>
      <c r="D1230">
        <f t="shared" si="121"/>
        <v>2083</v>
      </c>
      <c r="E1230" t="s">
        <v>115</v>
      </c>
      <c r="H1230" s="53">
        <f>H1231-2</f>
        <v>68410</v>
      </c>
      <c r="I1230" s="54">
        <f t="shared" si="120"/>
        <v>68410</v>
      </c>
      <c r="J1230" t="s">
        <v>112</v>
      </c>
      <c r="K1230">
        <f t="shared" si="118"/>
        <v>2087</v>
      </c>
      <c r="L1230" t="s">
        <v>110</v>
      </c>
    </row>
    <row r="1231" spans="1:12" x14ac:dyDescent="0.3">
      <c r="A1231" s="53">
        <f>DATE(D1231,8,1)+(14-WEEKDAY(DATE(D1231,8,1),2))</f>
        <v>67061</v>
      </c>
      <c r="B1231" s="54">
        <f t="shared" si="119"/>
        <v>67061</v>
      </c>
      <c r="C1231" t="s">
        <v>123</v>
      </c>
      <c r="D1231">
        <f t="shared" si="121"/>
        <v>2083</v>
      </c>
      <c r="E1231" t="s">
        <v>110</v>
      </c>
      <c r="H1231" s="53">
        <f>FLOOR(DAY(MINUTE(K1231/38)/2+56)&amp;"/5"&amp;"/"&amp;K1231,7)-34</f>
        <v>68412</v>
      </c>
      <c r="I1231" s="54">
        <f t="shared" si="120"/>
        <v>68412</v>
      </c>
      <c r="J1231" t="s">
        <v>113</v>
      </c>
      <c r="K1231">
        <f t="shared" si="118"/>
        <v>2087</v>
      </c>
      <c r="L1231" t="s">
        <v>110</v>
      </c>
    </row>
    <row r="1232" spans="1:12" x14ac:dyDescent="0.3">
      <c r="A1232" s="53">
        <f>DATE(D1232,9,7)</f>
        <v>67091</v>
      </c>
      <c r="B1232" s="54">
        <f t="shared" si="119"/>
        <v>67091</v>
      </c>
      <c r="C1232" t="s">
        <v>124</v>
      </c>
      <c r="D1232">
        <f t="shared" si="121"/>
        <v>2083</v>
      </c>
      <c r="E1232" t="s">
        <v>110</v>
      </c>
      <c r="H1232" s="53">
        <f>DATE(K1232,4,21)</f>
        <v>68413</v>
      </c>
      <c r="I1232" s="54">
        <f t="shared" si="120"/>
        <v>68413</v>
      </c>
      <c r="J1232" t="s">
        <v>116</v>
      </c>
      <c r="K1232">
        <f t="shared" si="118"/>
        <v>2087</v>
      </c>
      <c r="L1232" t="s">
        <v>110</v>
      </c>
    </row>
    <row r="1233" spans="1:12" x14ac:dyDescent="0.3">
      <c r="A1233" s="53">
        <f>DATE(D1233,10,12)</f>
        <v>67126</v>
      </c>
      <c r="B1233" s="54">
        <f t="shared" si="119"/>
        <v>67126</v>
      </c>
      <c r="C1233" t="s">
        <v>125</v>
      </c>
      <c r="D1233">
        <f t="shared" si="121"/>
        <v>2083</v>
      </c>
      <c r="E1233" t="s">
        <v>110</v>
      </c>
      <c r="H1233" s="53">
        <f>DATE(K1233,5,1)</f>
        <v>68423</v>
      </c>
      <c r="I1233" s="54">
        <f t="shared" si="120"/>
        <v>68423</v>
      </c>
      <c r="J1233" t="s">
        <v>117</v>
      </c>
      <c r="K1233">
        <f t="shared" si="118"/>
        <v>2087</v>
      </c>
      <c r="L1233" t="s">
        <v>110</v>
      </c>
    </row>
    <row r="1234" spans="1:12" x14ac:dyDescent="0.3">
      <c r="A1234" s="53">
        <f>DATE(D1234,11,2)</f>
        <v>67147</v>
      </c>
      <c r="B1234" s="54">
        <f t="shared" si="119"/>
        <v>67147</v>
      </c>
      <c r="C1234" t="s">
        <v>126</v>
      </c>
      <c r="D1234">
        <f t="shared" si="121"/>
        <v>2083</v>
      </c>
      <c r="E1234" t="s">
        <v>110</v>
      </c>
      <c r="H1234" s="53">
        <f>DATE(K1234,5,1)+(14-WEEKDAY(DATE(K1234,5,1),2))</f>
        <v>68433</v>
      </c>
      <c r="I1234" s="54">
        <f t="shared" si="120"/>
        <v>68433</v>
      </c>
      <c r="J1234" t="s">
        <v>118</v>
      </c>
      <c r="K1234">
        <f t="shared" si="118"/>
        <v>2087</v>
      </c>
      <c r="L1234" t="s">
        <v>110</v>
      </c>
    </row>
    <row r="1235" spans="1:12" x14ac:dyDescent="0.3">
      <c r="A1235" s="53">
        <f>DATE(D1235,11,15)</f>
        <v>67160</v>
      </c>
      <c r="B1235" s="54">
        <f t="shared" si="119"/>
        <v>67160</v>
      </c>
      <c r="C1235" t="s">
        <v>127</v>
      </c>
      <c r="D1235">
        <f t="shared" si="121"/>
        <v>2083</v>
      </c>
      <c r="E1235" t="s">
        <v>110</v>
      </c>
      <c r="H1235" s="53">
        <f>H1231+60</f>
        <v>68472</v>
      </c>
      <c r="I1235" s="54">
        <f t="shared" si="120"/>
        <v>68472</v>
      </c>
      <c r="J1235" t="s">
        <v>119</v>
      </c>
      <c r="K1235">
        <f t="shared" si="118"/>
        <v>2087</v>
      </c>
      <c r="L1235" t="s">
        <v>110</v>
      </c>
    </row>
    <row r="1236" spans="1:12" x14ac:dyDescent="0.3">
      <c r="A1236" s="53">
        <f>DATE(D1236,11,20)</f>
        <v>67165</v>
      </c>
      <c r="B1236" s="54">
        <f t="shared" si="119"/>
        <v>67165</v>
      </c>
      <c r="C1236" t="s">
        <v>128</v>
      </c>
      <c r="D1236">
        <f t="shared" si="121"/>
        <v>2083</v>
      </c>
      <c r="E1236" t="s">
        <v>110</v>
      </c>
      <c r="H1236" s="53">
        <f>DATE(K1236,6,19)</f>
        <v>68472</v>
      </c>
      <c r="I1236" s="54">
        <f t="shared" si="120"/>
        <v>68472</v>
      </c>
      <c r="J1236" t="s">
        <v>114</v>
      </c>
      <c r="K1236">
        <f t="shared" si="118"/>
        <v>2087</v>
      </c>
      <c r="L1236" t="s">
        <v>115</v>
      </c>
    </row>
    <row r="1237" spans="1:12" x14ac:dyDescent="0.3">
      <c r="A1237" s="53">
        <f>DATE(D1237,12,25)</f>
        <v>67200</v>
      </c>
      <c r="B1237" s="54">
        <f t="shared" si="119"/>
        <v>67200</v>
      </c>
      <c r="C1237" t="s">
        <v>129</v>
      </c>
      <c r="D1237">
        <f t="shared" si="121"/>
        <v>2083</v>
      </c>
      <c r="E1237" t="s">
        <v>110</v>
      </c>
      <c r="H1237" s="53">
        <f>DATE(K1237,7,9)</f>
        <v>68492</v>
      </c>
      <c r="I1237" s="54">
        <f t="shared" si="120"/>
        <v>68492</v>
      </c>
      <c r="J1237" t="s">
        <v>120</v>
      </c>
      <c r="K1237">
        <f t="shared" si="118"/>
        <v>2087</v>
      </c>
      <c r="L1237" t="s">
        <v>121</v>
      </c>
    </row>
    <row r="1238" spans="1:12" x14ac:dyDescent="0.3">
      <c r="A1238" s="53">
        <f>DATE(D1238,1,1)</f>
        <v>67207</v>
      </c>
      <c r="B1238" s="54">
        <f t="shared" si="119"/>
        <v>67207</v>
      </c>
      <c r="C1238" t="s">
        <v>109</v>
      </c>
      <c r="D1238">
        <f>D1219+1</f>
        <v>2084</v>
      </c>
      <c r="E1238" t="s">
        <v>110</v>
      </c>
      <c r="H1238" s="53">
        <f>DATE(K1238,8,1)+(14-WEEKDAY(DATE(K1238,8,1),2))</f>
        <v>68524</v>
      </c>
      <c r="I1238" s="54">
        <f t="shared" si="120"/>
        <v>68524</v>
      </c>
      <c r="J1238" t="s">
        <v>123</v>
      </c>
      <c r="K1238">
        <f t="shared" si="118"/>
        <v>2087</v>
      </c>
      <c r="L1238" t="s">
        <v>110</v>
      </c>
    </row>
    <row r="1239" spans="1:12" x14ac:dyDescent="0.3">
      <c r="A1239" s="53">
        <f>A1242-48</f>
        <v>67244</v>
      </c>
      <c r="B1239" s="54">
        <f t="shared" si="119"/>
        <v>67244</v>
      </c>
      <c r="C1239" t="s">
        <v>111</v>
      </c>
      <c r="D1239">
        <f t="shared" ref="D1239:D1256" si="122">D1220+1</f>
        <v>2084</v>
      </c>
      <c r="E1239" t="s">
        <v>110</v>
      </c>
      <c r="H1239" s="53">
        <f>DATE(K1239,9,7)</f>
        <v>68552</v>
      </c>
      <c r="I1239" s="54">
        <f t="shared" si="120"/>
        <v>68552</v>
      </c>
      <c r="J1239" t="s">
        <v>124</v>
      </c>
      <c r="K1239">
        <f t="shared" si="118"/>
        <v>2087</v>
      </c>
      <c r="L1239" t="s">
        <v>110</v>
      </c>
    </row>
    <row r="1240" spans="1:12" x14ac:dyDescent="0.3">
      <c r="A1240" s="53">
        <f>A1242-47</f>
        <v>67245</v>
      </c>
      <c r="B1240" s="54">
        <f t="shared" si="119"/>
        <v>67245</v>
      </c>
      <c r="C1240" t="s">
        <v>111</v>
      </c>
      <c r="D1240">
        <f t="shared" si="122"/>
        <v>2084</v>
      </c>
      <c r="E1240" t="s">
        <v>110</v>
      </c>
      <c r="H1240" s="53">
        <f>DATE(K1240,10,12)</f>
        <v>68587</v>
      </c>
      <c r="I1240" s="54">
        <f t="shared" si="120"/>
        <v>68587</v>
      </c>
      <c r="J1240" t="s">
        <v>125</v>
      </c>
      <c r="K1240">
        <f t="shared" si="118"/>
        <v>2087</v>
      </c>
      <c r="L1240" t="s">
        <v>110</v>
      </c>
    </row>
    <row r="1241" spans="1:12" x14ac:dyDescent="0.3">
      <c r="A1241" s="53">
        <f>A1242-2</f>
        <v>67290</v>
      </c>
      <c r="B1241" s="54">
        <f t="shared" si="119"/>
        <v>67290</v>
      </c>
      <c r="C1241" t="s">
        <v>112</v>
      </c>
      <c r="D1241">
        <f t="shared" si="122"/>
        <v>2084</v>
      </c>
      <c r="E1241" t="s">
        <v>110</v>
      </c>
      <c r="H1241" s="53">
        <f>DATE(K1241,11,2)</f>
        <v>68608</v>
      </c>
      <c r="I1241" s="54">
        <f t="shared" si="120"/>
        <v>68608</v>
      </c>
      <c r="J1241" t="s">
        <v>126</v>
      </c>
      <c r="K1241">
        <f t="shared" si="118"/>
        <v>2087</v>
      </c>
      <c r="L1241" t="s">
        <v>110</v>
      </c>
    </row>
    <row r="1242" spans="1:12" x14ac:dyDescent="0.3">
      <c r="A1242" s="53">
        <f>FLOOR(DAY(MINUTE(D1242/38)/2+56)&amp;"/5"&amp;"/"&amp;D1242,7)-34</f>
        <v>67292</v>
      </c>
      <c r="B1242" s="54">
        <f t="shared" si="119"/>
        <v>67292</v>
      </c>
      <c r="C1242" t="s">
        <v>113</v>
      </c>
      <c r="D1242">
        <f t="shared" si="122"/>
        <v>2084</v>
      </c>
      <c r="E1242" t="s">
        <v>110</v>
      </c>
      <c r="H1242" s="53">
        <f>DATE(K1242,11,15)</f>
        <v>68621</v>
      </c>
      <c r="I1242" s="54">
        <f t="shared" si="120"/>
        <v>68621</v>
      </c>
      <c r="J1242" t="s">
        <v>127</v>
      </c>
      <c r="K1242">
        <f t="shared" si="118"/>
        <v>2087</v>
      </c>
      <c r="L1242" t="s">
        <v>110</v>
      </c>
    </row>
    <row r="1243" spans="1:12" x14ac:dyDescent="0.3">
      <c r="A1243" s="53">
        <f>DATE(D1243,4,14)</f>
        <v>67311</v>
      </c>
      <c r="B1243" s="54">
        <f t="shared" si="119"/>
        <v>67311</v>
      </c>
      <c r="C1243" t="s">
        <v>114</v>
      </c>
      <c r="D1243">
        <f t="shared" si="122"/>
        <v>2084</v>
      </c>
      <c r="E1243" t="s">
        <v>115</v>
      </c>
      <c r="H1243" s="53">
        <f>DATE(K1243,11,20)</f>
        <v>68626</v>
      </c>
      <c r="I1243" s="54">
        <f t="shared" si="120"/>
        <v>68626</v>
      </c>
      <c r="J1243" t="s">
        <v>128</v>
      </c>
      <c r="K1243">
        <f t="shared" si="118"/>
        <v>2087</v>
      </c>
      <c r="L1243" t="s">
        <v>110</v>
      </c>
    </row>
    <row r="1244" spans="1:12" x14ac:dyDescent="0.3">
      <c r="A1244" s="53">
        <f>DATE(D1244,4,21)</f>
        <v>67318</v>
      </c>
      <c r="B1244" s="54">
        <f t="shared" si="119"/>
        <v>67318</v>
      </c>
      <c r="C1244" t="s">
        <v>116</v>
      </c>
      <c r="D1244">
        <f t="shared" si="122"/>
        <v>2084</v>
      </c>
      <c r="E1244" t="s">
        <v>110</v>
      </c>
      <c r="H1244" s="53">
        <f>DATE(K1244,12,25)</f>
        <v>68661</v>
      </c>
      <c r="I1244" s="54">
        <f t="shared" si="120"/>
        <v>68661</v>
      </c>
      <c r="J1244" t="s">
        <v>129</v>
      </c>
      <c r="K1244">
        <f t="shared" si="118"/>
        <v>2087</v>
      </c>
      <c r="L1244" t="s">
        <v>110</v>
      </c>
    </row>
    <row r="1245" spans="1:12" x14ac:dyDescent="0.3">
      <c r="A1245" s="53">
        <f>DATE(D1245,5,1)</f>
        <v>67328</v>
      </c>
      <c r="B1245" s="54">
        <f t="shared" si="119"/>
        <v>67328</v>
      </c>
      <c r="C1245" t="s">
        <v>117</v>
      </c>
      <c r="D1245">
        <f t="shared" si="122"/>
        <v>2084</v>
      </c>
      <c r="E1245" t="s">
        <v>110</v>
      </c>
      <c r="H1245" s="53">
        <f>DATE(K1245,1,1)</f>
        <v>68668</v>
      </c>
      <c r="I1245" s="54">
        <f t="shared" si="120"/>
        <v>68668</v>
      </c>
      <c r="J1245" t="s">
        <v>109</v>
      </c>
      <c r="K1245">
        <f>K1227+1</f>
        <v>2088</v>
      </c>
      <c r="L1245" t="s">
        <v>110</v>
      </c>
    </row>
    <row r="1246" spans="1:12" x14ac:dyDescent="0.3">
      <c r="A1246" s="53">
        <f>DATE(D1246,5,1)+(14-WEEKDAY(DATE(D1246,5,1),2))</f>
        <v>67341</v>
      </c>
      <c r="B1246" s="54">
        <f t="shared" si="119"/>
        <v>67341</v>
      </c>
      <c r="C1246" t="s">
        <v>118</v>
      </c>
      <c r="D1246">
        <f t="shared" si="122"/>
        <v>2084</v>
      </c>
      <c r="E1246" t="s">
        <v>110</v>
      </c>
      <c r="H1246" s="53">
        <f>H1249-48</f>
        <v>68721</v>
      </c>
      <c r="I1246" s="54">
        <f t="shared" si="120"/>
        <v>68721</v>
      </c>
      <c r="J1246" t="s">
        <v>111</v>
      </c>
      <c r="K1246">
        <f t="shared" si="118"/>
        <v>2088</v>
      </c>
      <c r="L1246" t="s">
        <v>110</v>
      </c>
    </row>
    <row r="1247" spans="1:12" x14ac:dyDescent="0.3">
      <c r="A1247" s="53">
        <f>A1242+60</f>
        <v>67352</v>
      </c>
      <c r="B1247" s="54">
        <f t="shared" si="119"/>
        <v>67352</v>
      </c>
      <c r="C1247" t="s">
        <v>119</v>
      </c>
      <c r="D1247">
        <f t="shared" si="122"/>
        <v>2084</v>
      </c>
      <c r="E1247" t="s">
        <v>110</v>
      </c>
      <c r="H1247" s="53">
        <f>H1249-47</f>
        <v>68722</v>
      </c>
      <c r="I1247" s="54">
        <f t="shared" si="120"/>
        <v>68722</v>
      </c>
      <c r="J1247" t="s">
        <v>111</v>
      </c>
      <c r="K1247">
        <f t="shared" si="118"/>
        <v>2088</v>
      </c>
      <c r="L1247" t="s">
        <v>110</v>
      </c>
    </row>
    <row r="1248" spans="1:12" x14ac:dyDescent="0.3">
      <c r="A1248" s="53">
        <f>DATE(D1248,7,9)</f>
        <v>67397</v>
      </c>
      <c r="B1248" s="54">
        <f t="shared" si="119"/>
        <v>67397</v>
      </c>
      <c r="C1248" t="s">
        <v>120</v>
      </c>
      <c r="D1248">
        <f t="shared" si="122"/>
        <v>2084</v>
      </c>
      <c r="E1248" t="s">
        <v>121</v>
      </c>
      <c r="H1248" s="53">
        <f>H1249-2</f>
        <v>68767</v>
      </c>
      <c r="I1248" s="54">
        <f t="shared" si="120"/>
        <v>68767</v>
      </c>
      <c r="J1248" t="s">
        <v>112</v>
      </c>
      <c r="K1248">
        <f t="shared" si="118"/>
        <v>2088</v>
      </c>
      <c r="L1248" t="s">
        <v>110</v>
      </c>
    </row>
    <row r="1249" spans="1:12" x14ac:dyDescent="0.3">
      <c r="A1249" s="53">
        <f>DATE(D1249,8,8)</f>
        <v>67427</v>
      </c>
      <c r="B1249" s="54">
        <f t="shared" si="119"/>
        <v>67427</v>
      </c>
      <c r="C1249" t="s">
        <v>122</v>
      </c>
      <c r="D1249">
        <f t="shared" si="122"/>
        <v>2084</v>
      </c>
      <c r="E1249" t="s">
        <v>115</v>
      </c>
      <c r="H1249" s="53">
        <f>FLOOR(DAY(MINUTE(K1249/38)/2+56)&amp;"/5"&amp;"/"&amp;K1249,7)-34</f>
        <v>68769</v>
      </c>
      <c r="I1249" s="54">
        <f t="shared" si="120"/>
        <v>68769</v>
      </c>
      <c r="J1249" t="s">
        <v>113</v>
      </c>
      <c r="K1249">
        <f t="shared" si="118"/>
        <v>2088</v>
      </c>
      <c r="L1249" t="s">
        <v>110</v>
      </c>
    </row>
    <row r="1250" spans="1:12" x14ac:dyDescent="0.3">
      <c r="A1250" s="53">
        <f>DATE(D1250,8,1)+(14-WEEKDAY(DATE(D1250,8,1),2))</f>
        <v>67432</v>
      </c>
      <c r="B1250" s="54">
        <f t="shared" si="119"/>
        <v>67432</v>
      </c>
      <c r="C1250" t="s">
        <v>123</v>
      </c>
      <c r="D1250">
        <f t="shared" si="122"/>
        <v>2084</v>
      </c>
      <c r="E1250" t="s">
        <v>110</v>
      </c>
      <c r="H1250" s="53">
        <f>DATE(K1250,4,21)</f>
        <v>68779</v>
      </c>
      <c r="I1250" s="54">
        <f t="shared" si="120"/>
        <v>68779</v>
      </c>
      <c r="J1250" t="s">
        <v>116</v>
      </c>
      <c r="K1250">
        <f t="shared" si="118"/>
        <v>2088</v>
      </c>
      <c r="L1250" t="s">
        <v>110</v>
      </c>
    </row>
    <row r="1251" spans="1:12" x14ac:dyDescent="0.3">
      <c r="A1251" s="53">
        <f>DATE(D1251,9,7)</f>
        <v>67457</v>
      </c>
      <c r="B1251" s="54">
        <f t="shared" si="119"/>
        <v>67457</v>
      </c>
      <c r="C1251" t="s">
        <v>124</v>
      </c>
      <c r="D1251">
        <f t="shared" si="122"/>
        <v>2084</v>
      </c>
      <c r="E1251" t="s">
        <v>110</v>
      </c>
      <c r="H1251" s="53">
        <f>DATE(K1251,5,1)</f>
        <v>68789</v>
      </c>
      <c r="I1251" s="54">
        <f t="shared" si="120"/>
        <v>68789</v>
      </c>
      <c r="J1251" t="s">
        <v>117</v>
      </c>
      <c r="K1251">
        <f t="shared" si="118"/>
        <v>2088</v>
      </c>
      <c r="L1251" t="s">
        <v>110</v>
      </c>
    </row>
    <row r="1252" spans="1:12" x14ac:dyDescent="0.3">
      <c r="A1252" s="53">
        <f>DATE(D1252,10,12)</f>
        <v>67492</v>
      </c>
      <c r="B1252" s="54">
        <f t="shared" si="119"/>
        <v>67492</v>
      </c>
      <c r="C1252" t="s">
        <v>125</v>
      </c>
      <c r="D1252">
        <f t="shared" si="122"/>
        <v>2084</v>
      </c>
      <c r="E1252" t="s">
        <v>110</v>
      </c>
      <c r="H1252" s="53">
        <f>DATE(K1252,5,1)+(14-WEEKDAY(DATE(K1252,5,1),2))</f>
        <v>68797</v>
      </c>
      <c r="I1252" s="54">
        <f t="shared" si="120"/>
        <v>68797</v>
      </c>
      <c r="J1252" t="s">
        <v>118</v>
      </c>
      <c r="K1252">
        <f t="shared" si="118"/>
        <v>2088</v>
      </c>
      <c r="L1252" t="s">
        <v>110</v>
      </c>
    </row>
    <row r="1253" spans="1:12" x14ac:dyDescent="0.3">
      <c r="A1253" s="53">
        <f>DATE(D1253,11,2)</f>
        <v>67513</v>
      </c>
      <c r="B1253" s="54">
        <f t="shared" si="119"/>
        <v>67513</v>
      </c>
      <c r="C1253" t="s">
        <v>126</v>
      </c>
      <c r="D1253">
        <f t="shared" si="122"/>
        <v>2084</v>
      </c>
      <c r="E1253" t="s">
        <v>110</v>
      </c>
      <c r="H1253" s="53">
        <f>H1249+60</f>
        <v>68829</v>
      </c>
      <c r="I1253" s="54">
        <f t="shared" si="120"/>
        <v>68829</v>
      </c>
      <c r="J1253" t="s">
        <v>119</v>
      </c>
      <c r="K1253">
        <f t="shared" si="118"/>
        <v>2088</v>
      </c>
      <c r="L1253" t="s">
        <v>110</v>
      </c>
    </row>
    <row r="1254" spans="1:12" x14ac:dyDescent="0.3">
      <c r="A1254" s="53">
        <f>DATE(D1254,11,15)</f>
        <v>67526</v>
      </c>
      <c r="B1254" s="54">
        <f t="shared" si="119"/>
        <v>67526</v>
      </c>
      <c r="C1254" t="s">
        <v>127</v>
      </c>
      <c r="D1254">
        <f t="shared" si="122"/>
        <v>2084</v>
      </c>
      <c r="E1254" t="s">
        <v>110</v>
      </c>
      <c r="H1254" s="53">
        <f>DATE(K1254,6,19)</f>
        <v>68838</v>
      </c>
      <c r="I1254" s="54">
        <f t="shared" si="120"/>
        <v>68838</v>
      </c>
      <c r="J1254" t="s">
        <v>114</v>
      </c>
      <c r="K1254">
        <f t="shared" si="118"/>
        <v>2088</v>
      </c>
      <c r="L1254" t="s">
        <v>115</v>
      </c>
    </row>
    <row r="1255" spans="1:12" x14ac:dyDescent="0.3">
      <c r="A1255" s="53">
        <f>DATE(D1255,11,20)</f>
        <v>67531</v>
      </c>
      <c r="B1255" s="54">
        <f t="shared" si="119"/>
        <v>67531</v>
      </c>
      <c r="C1255" t="s">
        <v>128</v>
      </c>
      <c r="D1255">
        <f t="shared" si="122"/>
        <v>2084</v>
      </c>
      <c r="E1255" t="s">
        <v>110</v>
      </c>
      <c r="H1255" s="53">
        <f>DATE(K1255,7,9)</f>
        <v>68858</v>
      </c>
      <c r="I1255" s="54">
        <f t="shared" si="120"/>
        <v>68858</v>
      </c>
      <c r="J1255" t="s">
        <v>120</v>
      </c>
      <c r="K1255">
        <f t="shared" si="118"/>
        <v>2088</v>
      </c>
      <c r="L1255" t="s">
        <v>121</v>
      </c>
    </row>
    <row r="1256" spans="1:12" x14ac:dyDescent="0.3">
      <c r="A1256" s="53">
        <f>DATE(D1256,12,25)</f>
        <v>67566</v>
      </c>
      <c r="B1256" s="54">
        <f t="shared" si="119"/>
        <v>67566</v>
      </c>
      <c r="C1256" t="s">
        <v>129</v>
      </c>
      <c r="D1256">
        <f t="shared" si="122"/>
        <v>2084</v>
      </c>
      <c r="E1256" t="s">
        <v>110</v>
      </c>
      <c r="H1256" s="53">
        <f>DATE(K1256,8,1)+(14-WEEKDAY(DATE(K1256,8,1),2))</f>
        <v>68888</v>
      </c>
      <c r="I1256" s="54">
        <f t="shared" si="120"/>
        <v>68888</v>
      </c>
      <c r="J1256" t="s">
        <v>123</v>
      </c>
      <c r="K1256">
        <f t="shared" ref="K1256:K1262" si="123">K1238+1</f>
        <v>2088</v>
      </c>
      <c r="L1256" t="s">
        <v>110</v>
      </c>
    </row>
    <row r="1257" spans="1:12" x14ac:dyDescent="0.3">
      <c r="A1257" s="53">
        <f>DATE(D1257,1,1)</f>
        <v>67573</v>
      </c>
      <c r="B1257" s="54">
        <f t="shared" si="119"/>
        <v>67573</v>
      </c>
      <c r="C1257" t="s">
        <v>109</v>
      </c>
      <c r="D1257">
        <f>D1238+1</f>
        <v>2085</v>
      </c>
      <c r="E1257" t="s">
        <v>110</v>
      </c>
      <c r="H1257" s="53">
        <f>DATE(K1257,9,7)</f>
        <v>68918</v>
      </c>
      <c r="I1257" s="54">
        <f t="shared" si="120"/>
        <v>68918</v>
      </c>
      <c r="J1257" t="s">
        <v>124</v>
      </c>
      <c r="K1257">
        <f t="shared" si="123"/>
        <v>2088</v>
      </c>
      <c r="L1257" t="s">
        <v>110</v>
      </c>
    </row>
    <row r="1258" spans="1:12" x14ac:dyDescent="0.3">
      <c r="A1258" s="53">
        <f>A1261-48</f>
        <v>67629</v>
      </c>
      <c r="B1258" s="54">
        <f t="shared" si="119"/>
        <v>67629</v>
      </c>
      <c r="C1258" t="s">
        <v>111</v>
      </c>
      <c r="D1258">
        <f t="shared" ref="D1258:D1275" si="124">D1239+1</f>
        <v>2085</v>
      </c>
      <c r="E1258" t="s">
        <v>110</v>
      </c>
      <c r="H1258" s="53">
        <f>DATE(K1258,10,12)</f>
        <v>68953</v>
      </c>
      <c r="I1258" s="54">
        <f t="shared" si="120"/>
        <v>68953</v>
      </c>
      <c r="J1258" t="s">
        <v>125</v>
      </c>
      <c r="K1258">
        <f t="shared" si="123"/>
        <v>2088</v>
      </c>
      <c r="L1258" t="s">
        <v>110</v>
      </c>
    </row>
    <row r="1259" spans="1:12" x14ac:dyDescent="0.3">
      <c r="A1259" s="53">
        <f>A1261-47</f>
        <v>67630</v>
      </c>
      <c r="B1259" s="54">
        <f t="shared" si="119"/>
        <v>67630</v>
      </c>
      <c r="C1259" t="s">
        <v>111</v>
      </c>
      <c r="D1259">
        <f t="shared" si="124"/>
        <v>2085</v>
      </c>
      <c r="E1259" t="s">
        <v>110</v>
      </c>
      <c r="H1259" s="53">
        <f>DATE(K1259,11,2)</f>
        <v>68974</v>
      </c>
      <c r="I1259" s="54">
        <f t="shared" si="120"/>
        <v>68974</v>
      </c>
      <c r="J1259" t="s">
        <v>126</v>
      </c>
      <c r="K1259">
        <f t="shared" si="123"/>
        <v>2088</v>
      </c>
      <c r="L1259" t="s">
        <v>110</v>
      </c>
    </row>
    <row r="1260" spans="1:12" x14ac:dyDescent="0.3">
      <c r="A1260" s="53">
        <f>A1261-2</f>
        <v>67675</v>
      </c>
      <c r="B1260" s="54">
        <f t="shared" si="119"/>
        <v>67675</v>
      </c>
      <c r="C1260" t="s">
        <v>112</v>
      </c>
      <c r="D1260">
        <f t="shared" si="124"/>
        <v>2085</v>
      </c>
      <c r="E1260" t="s">
        <v>110</v>
      </c>
      <c r="H1260" s="53">
        <f>DATE(K1260,11,15)</f>
        <v>68987</v>
      </c>
      <c r="I1260" s="54">
        <f t="shared" si="120"/>
        <v>68987</v>
      </c>
      <c r="J1260" t="s">
        <v>127</v>
      </c>
      <c r="K1260">
        <f t="shared" si="123"/>
        <v>2088</v>
      </c>
      <c r="L1260" t="s">
        <v>110</v>
      </c>
    </row>
    <row r="1261" spans="1:12" x14ac:dyDescent="0.3">
      <c r="A1261" s="53">
        <f>FLOOR(DAY(MINUTE(D1261/38)/2+56)&amp;"/5"&amp;"/"&amp;D1261,7)-34</f>
        <v>67677</v>
      </c>
      <c r="B1261" s="54">
        <f t="shared" si="119"/>
        <v>67677</v>
      </c>
      <c r="C1261" t="s">
        <v>113</v>
      </c>
      <c r="D1261">
        <f t="shared" si="124"/>
        <v>2085</v>
      </c>
      <c r="E1261" t="s">
        <v>110</v>
      </c>
      <c r="H1261" s="53">
        <f>DATE(K1261,11,20)</f>
        <v>68992</v>
      </c>
      <c r="I1261" s="54">
        <f t="shared" si="120"/>
        <v>68992</v>
      </c>
      <c r="J1261" t="s">
        <v>128</v>
      </c>
      <c r="K1261">
        <f t="shared" si="123"/>
        <v>2088</v>
      </c>
      <c r="L1261" t="s">
        <v>110</v>
      </c>
    </row>
    <row r="1262" spans="1:12" x14ac:dyDescent="0.3">
      <c r="A1262" s="53">
        <f>DATE(D1262,4,14)</f>
        <v>67676</v>
      </c>
      <c r="B1262" s="54">
        <f t="shared" si="119"/>
        <v>67676</v>
      </c>
      <c r="C1262" t="s">
        <v>114</v>
      </c>
      <c r="D1262">
        <f t="shared" si="124"/>
        <v>2085</v>
      </c>
      <c r="E1262" t="s">
        <v>115</v>
      </c>
      <c r="H1262" s="53">
        <f>DATE(K1262,12,25)</f>
        <v>69027</v>
      </c>
      <c r="I1262" s="54">
        <f t="shared" si="120"/>
        <v>69027</v>
      </c>
      <c r="J1262" t="s">
        <v>129</v>
      </c>
      <c r="K1262">
        <f t="shared" si="123"/>
        <v>2088</v>
      </c>
      <c r="L1262" t="s">
        <v>110</v>
      </c>
    </row>
    <row r="1263" spans="1:12" x14ac:dyDescent="0.3">
      <c r="A1263" s="53">
        <f>DATE(D1263,4,21)</f>
        <v>67683</v>
      </c>
      <c r="B1263" s="54">
        <f t="shared" si="119"/>
        <v>67683</v>
      </c>
      <c r="C1263" t="s">
        <v>116</v>
      </c>
      <c r="D1263">
        <f t="shared" si="124"/>
        <v>2085</v>
      </c>
      <c r="E1263" t="s">
        <v>110</v>
      </c>
      <c r="H1263" s="53">
        <f>DATE(K1263,1,1)</f>
        <v>69034</v>
      </c>
      <c r="I1263" s="54">
        <f t="shared" si="120"/>
        <v>69034</v>
      </c>
      <c r="J1263" t="s">
        <v>109</v>
      </c>
      <c r="K1263">
        <f>K1245+1</f>
        <v>2089</v>
      </c>
      <c r="L1263" t="s">
        <v>110</v>
      </c>
    </row>
    <row r="1264" spans="1:12" x14ac:dyDescent="0.3">
      <c r="A1264" s="53">
        <f>DATE(D1264,5,1)</f>
        <v>67693</v>
      </c>
      <c r="B1264" s="54">
        <f t="shared" si="119"/>
        <v>67693</v>
      </c>
      <c r="C1264" t="s">
        <v>117</v>
      </c>
      <c r="D1264">
        <f t="shared" si="124"/>
        <v>2085</v>
      </c>
      <c r="E1264" t="s">
        <v>110</v>
      </c>
      <c r="H1264" s="53">
        <f>H1267-48</f>
        <v>69078</v>
      </c>
      <c r="I1264" s="54">
        <f t="shared" si="120"/>
        <v>69078</v>
      </c>
      <c r="J1264" t="s">
        <v>111</v>
      </c>
      <c r="K1264">
        <f t="shared" ref="K1264:K1280" si="125">K1246+1</f>
        <v>2089</v>
      </c>
      <c r="L1264" t="s">
        <v>110</v>
      </c>
    </row>
    <row r="1265" spans="1:12" x14ac:dyDescent="0.3">
      <c r="A1265" s="53">
        <f>DATE(D1265,5,1)+(14-WEEKDAY(DATE(D1265,5,1),2))</f>
        <v>67705</v>
      </c>
      <c r="B1265" s="54">
        <f t="shared" si="119"/>
        <v>67705</v>
      </c>
      <c r="C1265" t="s">
        <v>118</v>
      </c>
      <c r="D1265">
        <f t="shared" si="124"/>
        <v>2085</v>
      </c>
      <c r="E1265" t="s">
        <v>110</v>
      </c>
      <c r="H1265" s="53">
        <f>H1267-47</f>
        <v>69079</v>
      </c>
      <c r="I1265" s="54">
        <f t="shared" si="120"/>
        <v>69079</v>
      </c>
      <c r="J1265" t="s">
        <v>111</v>
      </c>
      <c r="K1265">
        <f t="shared" si="125"/>
        <v>2089</v>
      </c>
      <c r="L1265" t="s">
        <v>110</v>
      </c>
    </row>
    <row r="1266" spans="1:12" x14ac:dyDescent="0.3">
      <c r="A1266" s="53">
        <f>A1261+60</f>
        <v>67737</v>
      </c>
      <c r="B1266" s="54">
        <f t="shared" si="119"/>
        <v>67737</v>
      </c>
      <c r="C1266" t="s">
        <v>119</v>
      </c>
      <c r="D1266">
        <f t="shared" si="124"/>
        <v>2085</v>
      </c>
      <c r="E1266" t="s">
        <v>110</v>
      </c>
      <c r="H1266" s="53">
        <f>H1267-2</f>
        <v>69124</v>
      </c>
      <c r="I1266" s="54">
        <f t="shared" si="120"/>
        <v>69124</v>
      </c>
      <c r="J1266" t="s">
        <v>112</v>
      </c>
      <c r="K1266">
        <f t="shared" si="125"/>
        <v>2089</v>
      </c>
      <c r="L1266" t="s">
        <v>110</v>
      </c>
    </row>
    <row r="1267" spans="1:12" x14ac:dyDescent="0.3">
      <c r="A1267" s="53">
        <f>DATE(D1267,7,9)</f>
        <v>67762</v>
      </c>
      <c r="B1267" s="54">
        <f t="shared" si="119"/>
        <v>67762</v>
      </c>
      <c r="C1267" t="s">
        <v>120</v>
      </c>
      <c r="D1267">
        <f t="shared" si="124"/>
        <v>2085</v>
      </c>
      <c r="E1267" t="s">
        <v>121</v>
      </c>
      <c r="H1267" s="53">
        <f>FLOOR(DAY(MINUTE(K1267/38)/2+56)&amp;"/5"&amp;"/"&amp;K1267,7)-34</f>
        <v>69126</v>
      </c>
      <c r="I1267" s="54">
        <f t="shared" si="120"/>
        <v>69126</v>
      </c>
      <c r="J1267" t="s">
        <v>113</v>
      </c>
      <c r="K1267">
        <f t="shared" si="125"/>
        <v>2089</v>
      </c>
      <c r="L1267" t="s">
        <v>110</v>
      </c>
    </row>
    <row r="1268" spans="1:12" x14ac:dyDescent="0.3">
      <c r="A1268" s="53">
        <f>DATE(D1268,8,8)</f>
        <v>67792</v>
      </c>
      <c r="B1268" s="54">
        <f t="shared" si="119"/>
        <v>67792</v>
      </c>
      <c r="C1268" t="s">
        <v>122</v>
      </c>
      <c r="D1268">
        <f t="shared" si="124"/>
        <v>2085</v>
      </c>
      <c r="E1268" t="s">
        <v>115</v>
      </c>
      <c r="H1268" s="53">
        <f>DATE(K1268,4,21)</f>
        <v>69144</v>
      </c>
      <c r="I1268" s="54">
        <f t="shared" si="120"/>
        <v>69144</v>
      </c>
      <c r="J1268" t="s">
        <v>116</v>
      </c>
      <c r="K1268">
        <f t="shared" si="125"/>
        <v>2089</v>
      </c>
      <c r="L1268" t="s">
        <v>110</v>
      </c>
    </row>
    <row r="1269" spans="1:12" x14ac:dyDescent="0.3">
      <c r="A1269" s="53">
        <f>DATE(D1269,8,1)+(14-WEEKDAY(DATE(D1269,8,1),2))</f>
        <v>67796</v>
      </c>
      <c r="B1269" s="54">
        <f t="shared" si="119"/>
        <v>67796</v>
      </c>
      <c r="C1269" t="s">
        <v>123</v>
      </c>
      <c r="D1269">
        <f t="shared" si="124"/>
        <v>2085</v>
      </c>
      <c r="E1269" t="s">
        <v>110</v>
      </c>
      <c r="H1269" s="53">
        <f>DATE(K1269,5,1)</f>
        <v>69154</v>
      </c>
      <c r="I1269" s="54">
        <f t="shared" si="120"/>
        <v>69154</v>
      </c>
      <c r="J1269" t="s">
        <v>117</v>
      </c>
      <c r="K1269">
        <f t="shared" si="125"/>
        <v>2089</v>
      </c>
      <c r="L1269" t="s">
        <v>110</v>
      </c>
    </row>
    <row r="1270" spans="1:12" x14ac:dyDescent="0.3">
      <c r="A1270" s="53">
        <f>DATE(D1270,9,7)</f>
        <v>67822</v>
      </c>
      <c r="B1270" s="54">
        <f t="shared" si="119"/>
        <v>67822</v>
      </c>
      <c r="C1270" t="s">
        <v>124</v>
      </c>
      <c r="D1270">
        <f t="shared" si="124"/>
        <v>2085</v>
      </c>
      <c r="E1270" t="s">
        <v>110</v>
      </c>
      <c r="H1270" s="53">
        <f>DATE(K1270,5,1)+(14-WEEKDAY(DATE(K1270,5,1),2))</f>
        <v>69161</v>
      </c>
      <c r="I1270" s="54">
        <f t="shared" si="120"/>
        <v>69161</v>
      </c>
      <c r="J1270" t="s">
        <v>118</v>
      </c>
      <c r="K1270">
        <f t="shared" si="125"/>
        <v>2089</v>
      </c>
      <c r="L1270" t="s">
        <v>110</v>
      </c>
    </row>
    <row r="1271" spans="1:12" x14ac:dyDescent="0.3">
      <c r="A1271" s="53">
        <f>DATE(D1271,10,12)</f>
        <v>67857</v>
      </c>
      <c r="B1271" s="54">
        <f t="shared" si="119"/>
        <v>67857</v>
      </c>
      <c r="C1271" t="s">
        <v>125</v>
      </c>
      <c r="D1271">
        <f t="shared" si="124"/>
        <v>2085</v>
      </c>
      <c r="E1271" t="s">
        <v>110</v>
      </c>
      <c r="H1271" s="53">
        <f>H1267+60</f>
        <v>69186</v>
      </c>
      <c r="I1271" s="54">
        <f t="shared" si="120"/>
        <v>69186</v>
      </c>
      <c r="J1271" t="s">
        <v>119</v>
      </c>
      <c r="K1271">
        <f t="shared" si="125"/>
        <v>2089</v>
      </c>
      <c r="L1271" t="s">
        <v>110</v>
      </c>
    </row>
    <row r="1272" spans="1:12" x14ac:dyDescent="0.3">
      <c r="A1272" s="53">
        <f>DATE(D1272,11,2)</f>
        <v>67878</v>
      </c>
      <c r="B1272" s="54">
        <f t="shared" si="119"/>
        <v>67878</v>
      </c>
      <c r="C1272" t="s">
        <v>126</v>
      </c>
      <c r="D1272">
        <f t="shared" si="124"/>
        <v>2085</v>
      </c>
      <c r="E1272" t="s">
        <v>110</v>
      </c>
      <c r="H1272" s="53">
        <f>DATE(K1272,6,19)</f>
        <v>69203</v>
      </c>
      <c r="I1272" s="54">
        <f t="shared" si="120"/>
        <v>69203</v>
      </c>
      <c r="J1272" t="s">
        <v>114</v>
      </c>
      <c r="K1272">
        <f t="shared" si="125"/>
        <v>2089</v>
      </c>
      <c r="L1272" t="s">
        <v>115</v>
      </c>
    </row>
    <row r="1273" spans="1:12" x14ac:dyDescent="0.3">
      <c r="A1273" s="53">
        <f>DATE(D1273,11,15)</f>
        <v>67891</v>
      </c>
      <c r="B1273" s="54">
        <f t="shared" si="119"/>
        <v>67891</v>
      </c>
      <c r="C1273" t="s">
        <v>127</v>
      </c>
      <c r="D1273">
        <f t="shared" si="124"/>
        <v>2085</v>
      </c>
      <c r="E1273" t="s">
        <v>110</v>
      </c>
      <c r="H1273" s="53">
        <f>DATE(K1273,7,9)</f>
        <v>69223</v>
      </c>
      <c r="I1273" s="54">
        <f t="shared" si="120"/>
        <v>69223</v>
      </c>
      <c r="J1273" t="s">
        <v>120</v>
      </c>
      <c r="K1273">
        <f t="shared" si="125"/>
        <v>2089</v>
      </c>
      <c r="L1273" t="s">
        <v>121</v>
      </c>
    </row>
    <row r="1274" spans="1:12" x14ac:dyDescent="0.3">
      <c r="A1274" s="53">
        <f>DATE(D1274,11,20)</f>
        <v>67896</v>
      </c>
      <c r="B1274" s="54">
        <f t="shared" si="119"/>
        <v>67896</v>
      </c>
      <c r="C1274" t="s">
        <v>128</v>
      </c>
      <c r="D1274">
        <f t="shared" si="124"/>
        <v>2085</v>
      </c>
      <c r="E1274" t="s">
        <v>110</v>
      </c>
      <c r="H1274" s="53">
        <f>DATE(K1274,8,1)+(14-WEEKDAY(DATE(K1274,8,1),2))</f>
        <v>69259</v>
      </c>
      <c r="I1274" s="54">
        <f t="shared" si="120"/>
        <v>69259</v>
      </c>
      <c r="J1274" t="s">
        <v>123</v>
      </c>
      <c r="K1274">
        <f t="shared" si="125"/>
        <v>2089</v>
      </c>
      <c r="L1274" t="s">
        <v>110</v>
      </c>
    </row>
    <row r="1275" spans="1:12" x14ac:dyDescent="0.3">
      <c r="A1275" s="53">
        <f>DATE(D1275,12,25)</f>
        <v>67931</v>
      </c>
      <c r="B1275" s="54">
        <f t="shared" si="119"/>
        <v>67931</v>
      </c>
      <c r="C1275" t="s">
        <v>129</v>
      </c>
      <c r="D1275">
        <f t="shared" si="124"/>
        <v>2085</v>
      </c>
      <c r="E1275" t="s">
        <v>110</v>
      </c>
      <c r="H1275" s="53">
        <f>DATE(K1275,9,7)</f>
        <v>69283</v>
      </c>
      <c r="I1275" s="54">
        <f t="shared" si="120"/>
        <v>69283</v>
      </c>
      <c r="J1275" t="s">
        <v>124</v>
      </c>
      <c r="K1275">
        <f t="shared" si="125"/>
        <v>2089</v>
      </c>
      <c r="L1275" t="s">
        <v>110</v>
      </c>
    </row>
    <row r="1276" spans="1:12" x14ac:dyDescent="0.3">
      <c r="A1276" s="53">
        <f>DATE(D1276,1,1)</f>
        <v>67938</v>
      </c>
      <c r="B1276" s="54">
        <f t="shared" si="119"/>
        <v>67938</v>
      </c>
      <c r="C1276" t="s">
        <v>109</v>
      </c>
      <c r="D1276">
        <f>D1257+1</f>
        <v>2086</v>
      </c>
      <c r="E1276" t="s">
        <v>110</v>
      </c>
      <c r="H1276" s="53">
        <f>DATE(K1276,10,12)</f>
        <v>69318</v>
      </c>
      <c r="I1276" s="54">
        <f t="shared" si="120"/>
        <v>69318</v>
      </c>
      <c r="J1276" t="s">
        <v>125</v>
      </c>
      <c r="K1276">
        <f t="shared" si="125"/>
        <v>2089</v>
      </c>
      <c r="L1276" t="s">
        <v>110</v>
      </c>
    </row>
    <row r="1277" spans="1:12" x14ac:dyDescent="0.3">
      <c r="A1277" s="53">
        <f>A1280-48</f>
        <v>67979</v>
      </c>
      <c r="B1277" s="54">
        <f t="shared" si="119"/>
        <v>67979</v>
      </c>
      <c r="C1277" t="s">
        <v>111</v>
      </c>
      <c r="D1277">
        <f t="shared" ref="D1277:D1340" si="126">D1258+1</f>
        <v>2086</v>
      </c>
      <c r="E1277" t="s">
        <v>110</v>
      </c>
      <c r="H1277" s="53">
        <f>DATE(K1277,11,2)</f>
        <v>69339</v>
      </c>
      <c r="I1277" s="54">
        <f t="shared" si="120"/>
        <v>69339</v>
      </c>
      <c r="J1277" t="s">
        <v>126</v>
      </c>
      <c r="K1277">
        <f t="shared" si="125"/>
        <v>2089</v>
      </c>
      <c r="L1277" t="s">
        <v>110</v>
      </c>
    </row>
    <row r="1278" spans="1:12" x14ac:dyDescent="0.3">
      <c r="A1278" s="53">
        <f>A1280-47</f>
        <v>67980</v>
      </c>
      <c r="B1278" s="54">
        <f t="shared" si="119"/>
        <v>67980</v>
      </c>
      <c r="C1278" t="s">
        <v>111</v>
      </c>
      <c r="D1278">
        <f t="shared" si="126"/>
        <v>2086</v>
      </c>
      <c r="E1278" t="s">
        <v>110</v>
      </c>
      <c r="H1278" s="53">
        <f>DATE(K1278,11,15)</f>
        <v>69352</v>
      </c>
      <c r="I1278" s="54">
        <f t="shared" si="120"/>
        <v>69352</v>
      </c>
      <c r="J1278" t="s">
        <v>127</v>
      </c>
      <c r="K1278">
        <f t="shared" si="125"/>
        <v>2089</v>
      </c>
      <c r="L1278" t="s">
        <v>110</v>
      </c>
    </row>
    <row r="1279" spans="1:12" x14ac:dyDescent="0.3">
      <c r="A1279" s="53">
        <f>A1280-2</f>
        <v>68025</v>
      </c>
      <c r="B1279" s="54">
        <f t="shared" si="119"/>
        <v>68025</v>
      </c>
      <c r="C1279" t="s">
        <v>112</v>
      </c>
      <c r="D1279">
        <f t="shared" si="126"/>
        <v>2086</v>
      </c>
      <c r="E1279" t="s">
        <v>110</v>
      </c>
      <c r="H1279" s="53">
        <f>DATE(K1279,11,20)</f>
        <v>69357</v>
      </c>
      <c r="I1279" s="54">
        <f t="shared" si="120"/>
        <v>69357</v>
      </c>
      <c r="J1279" t="s">
        <v>128</v>
      </c>
      <c r="K1279">
        <f t="shared" si="125"/>
        <v>2089</v>
      </c>
      <c r="L1279" t="s">
        <v>110</v>
      </c>
    </row>
    <row r="1280" spans="1:12" x14ac:dyDescent="0.3">
      <c r="A1280" s="53">
        <f>FLOOR(DAY(MINUTE(D1280/38)/2+56)&amp;"/5"&amp;"/"&amp;D1280,7)-34</f>
        <v>68027</v>
      </c>
      <c r="B1280" s="54">
        <f t="shared" si="119"/>
        <v>68027</v>
      </c>
      <c r="C1280" t="s">
        <v>113</v>
      </c>
      <c r="D1280">
        <f t="shared" si="126"/>
        <v>2086</v>
      </c>
      <c r="E1280" t="s">
        <v>110</v>
      </c>
      <c r="H1280" s="53">
        <f>DATE(K1280,12,25)</f>
        <v>69392</v>
      </c>
      <c r="I1280" s="54">
        <f t="shared" si="120"/>
        <v>69392</v>
      </c>
      <c r="J1280" t="s">
        <v>129</v>
      </c>
      <c r="K1280">
        <f t="shared" si="125"/>
        <v>2089</v>
      </c>
      <c r="L1280" t="s">
        <v>110</v>
      </c>
    </row>
    <row r="1281" spans="1:12" x14ac:dyDescent="0.3">
      <c r="A1281" s="53">
        <f>DATE(D1281,4,14)</f>
        <v>68041</v>
      </c>
      <c r="B1281" s="54">
        <f t="shared" si="119"/>
        <v>68041</v>
      </c>
      <c r="C1281" t="s">
        <v>114</v>
      </c>
      <c r="D1281">
        <f t="shared" si="126"/>
        <v>2086</v>
      </c>
      <c r="E1281" t="s">
        <v>115</v>
      </c>
      <c r="H1281" s="53">
        <f>DATE(K1281,1,1)</f>
        <v>69399</v>
      </c>
      <c r="I1281" s="54">
        <f t="shared" si="120"/>
        <v>69399</v>
      </c>
      <c r="J1281" t="s">
        <v>109</v>
      </c>
      <c r="K1281">
        <f>K1263+1</f>
        <v>2090</v>
      </c>
      <c r="L1281" t="s">
        <v>110</v>
      </c>
    </row>
    <row r="1282" spans="1:12" x14ac:dyDescent="0.3">
      <c r="A1282" s="53">
        <f>DATE(D1282,4,21)</f>
        <v>68048</v>
      </c>
      <c r="B1282" s="54">
        <f t="shared" si="119"/>
        <v>68048</v>
      </c>
      <c r="C1282" t="s">
        <v>116</v>
      </c>
      <c r="D1282">
        <f t="shared" si="126"/>
        <v>2086</v>
      </c>
      <c r="E1282" t="s">
        <v>110</v>
      </c>
      <c r="H1282" s="53">
        <f>H1285-48</f>
        <v>69456</v>
      </c>
      <c r="I1282" s="54">
        <f t="shared" si="120"/>
        <v>69456</v>
      </c>
      <c r="J1282" t="s">
        <v>111</v>
      </c>
      <c r="K1282">
        <f t="shared" ref="K1282:K1345" si="127">K1264+1</f>
        <v>2090</v>
      </c>
      <c r="L1282" t="s">
        <v>110</v>
      </c>
    </row>
    <row r="1283" spans="1:12" x14ac:dyDescent="0.3">
      <c r="A1283" s="53">
        <f>DATE(D1283,5,1)</f>
        <v>68058</v>
      </c>
      <c r="B1283" s="54">
        <f t="shared" ref="B1283:B1346" si="128">A1283</f>
        <v>68058</v>
      </c>
      <c r="C1283" t="s">
        <v>117</v>
      </c>
      <c r="D1283">
        <f t="shared" si="126"/>
        <v>2086</v>
      </c>
      <c r="E1283" t="s">
        <v>110</v>
      </c>
      <c r="H1283" s="53">
        <f>H1285-47</f>
        <v>69457</v>
      </c>
      <c r="I1283" s="54">
        <f t="shared" si="120"/>
        <v>69457</v>
      </c>
      <c r="J1283" t="s">
        <v>111</v>
      </c>
      <c r="K1283">
        <f t="shared" si="127"/>
        <v>2090</v>
      </c>
      <c r="L1283" t="s">
        <v>110</v>
      </c>
    </row>
    <row r="1284" spans="1:12" x14ac:dyDescent="0.3">
      <c r="A1284" s="53">
        <f>DATE(D1284,5,1)+(14-WEEKDAY(DATE(D1284,5,1),2))</f>
        <v>68069</v>
      </c>
      <c r="B1284" s="54">
        <f t="shared" si="128"/>
        <v>68069</v>
      </c>
      <c r="C1284" t="s">
        <v>118</v>
      </c>
      <c r="D1284">
        <f t="shared" si="126"/>
        <v>2086</v>
      </c>
      <c r="E1284" t="s">
        <v>110</v>
      </c>
      <c r="H1284" s="53">
        <f>H1285-2</f>
        <v>69502</v>
      </c>
      <c r="I1284" s="54">
        <f t="shared" si="120"/>
        <v>69502</v>
      </c>
      <c r="J1284" t="s">
        <v>112</v>
      </c>
      <c r="K1284">
        <f t="shared" si="127"/>
        <v>2090</v>
      </c>
      <c r="L1284" t="s">
        <v>110</v>
      </c>
    </row>
    <row r="1285" spans="1:12" x14ac:dyDescent="0.3">
      <c r="A1285" s="53">
        <f>A1280+60</f>
        <v>68087</v>
      </c>
      <c r="B1285" s="54">
        <f t="shared" si="128"/>
        <v>68087</v>
      </c>
      <c r="C1285" t="s">
        <v>119</v>
      </c>
      <c r="D1285">
        <f t="shared" si="126"/>
        <v>2086</v>
      </c>
      <c r="E1285" t="s">
        <v>110</v>
      </c>
      <c r="H1285" s="53">
        <f>FLOOR(DAY(MINUTE(K1285/38)/2+56)&amp;"/5"&amp;"/"&amp;K1285,7)-34</f>
        <v>69504</v>
      </c>
      <c r="I1285" s="54">
        <f t="shared" si="120"/>
        <v>69504</v>
      </c>
      <c r="J1285" t="s">
        <v>113</v>
      </c>
      <c r="K1285">
        <f t="shared" si="127"/>
        <v>2090</v>
      </c>
      <c r="L1285" t="s">
        <v>110</v>
      </c>
    </row>
    <row r="1286" spans="1:12" x14ac:dyDescent="0.3">
      <c r="A1286" s="53">
        <f>DATE(D1286,7,9)</f>
        <v>68127</v>
      </c>
      <c r="B1286" s="54">
        <f t="shared" si="128"/>
        <v>68127</v>
      </c>
      <c r="C1286" t="s">
        <v>120</v>
      </c>
      <c r="D1286">
        <f t="shared" si="126"/>
        <v>2086</v>
      </c>
      <c r="E1286" t="s">
        <v>121</v>
      </c>
      <c r="H1286" s="53">
        <f>DATE(K1286,4,21)</f>
        <v>69509</v>
      </c>
      <c r="I1286" s="54">
        <f t="shared" si="120"/>
        <v>69509</v>
      </c>
      <c r="J1286" t="s">
        <v>116</v>
      </c>
      <c r="K1286">
        <f t="shared" si="127"/>
        <v>2090</v>
      </c>
      <c r="L1286" t="s">
        <v>110</v>
      </c>
    </row>
    <row r="1287" spans="1:12" x14ac:dyDescent="0.3">
      <c r="A1287" s="53">
        <f>DATE(D1287,8,8)</f>
        <v>68157</v>
      </c>
      <c r="B1287" s="54">
        <f t="shared" si="128"/>
        <v>68157</v>
      </c>
      <c r="C1287" t="s">
        <v>122</v>
      </c>
      <c r="D1287">
        <f t="shared" si="126"/>
        <v>2086</v>
      </c>
      <c r="E1287" t="s">
        <v>115</v>
      </c>
      <c r="H1287" s="53">
        <f>DATE(K1287,5,1)</f>
        <v>69519</v>
      </c>
      <c r="I1287" s="54">
        <f t="shared" si="120"/>
        <v>69519</v>
      </c>
      <c r="J1287" t="s">
        <v>117</v>
      </c>
      <c r="K1287">
        <f t="shared" si="127"/>
        <v>2090</v>
      </c>
      <c r="L1287" t="s">
        <v>110</v>
      </c>
    </row>
    <row r="1288" spans="1:12" x14ac:dyDescent="0.3">
      <c r="A1288" s="53">
        <f>DATE(D1288,8,1)+(14-WEEKDAY(DATE(D1288,8,1),2))</f>
        <v>68160</v>
      </c>
      <c r="B1288" s="54">
        <f t="shared" si="128"/>
        <v>68160</v>
      </c>
      <c r="C1288" t="s">
        <v>123</v>
      </c>
      <c r="D1288">
        <f t="shared" si="126"/>
        <v>2086</v>
      </c>
      <c r="E1288" t="s">
        <v>110</v>
      </c>
      <c r="H1288" s="53">
        <f>DATE(K1288,5,1)+(14-WEEKDAY(DATE(K1288,5,1),2))</f>
        <v>69532</v>
      </c>
      <c r="I1288" s="54">
        <f t="shared" ref="I1288:I1351" si="129">H1288</f>
        <v>69532</v>
      </c>
      <c r="J1288" t="s">
        <v>118</v>
      </c>
      <c r="K1288">
        <f t="shared" si="127"/>
        <v>2090</v>
      </c>
      <c r="L1288" t="s">
        <v>110</v>
      </c>
    </row>
    <row r="1289" spans="1:12" x14ac:dyDescent="0.3">
      <c r="A1289" s="53">
        <f>DATE(D1289,9,7)</f>
        <v>68187</v>
      </c>
      <c r="B1289" s="54">
        <f t="shared" si="128"/>
        <v>68187</v>
      </c>
      <c r="C1289" t="s">
        <v>124</v>
      </c>
      <c r="D1289">
        <f t="shared" si="126"/>
        <v>2086</v>
      </c>
      <c r="E1289" t="s">
        <v>110</v>
      </c>
      <c r="H1289" s="53">
        <f>H1285+60</f>
        <v>69564</v>
      </c>
      <c r="I1289" s="54">
        <f t="shared" si="129"/>
        <v>69564</v>
      </c>
      <c r="J1289" t="s">
        <v>119</v>
      </c>
      <c r="K1289">
        <f t="shared" si="127"/>
        <v>2090</v>
      </c>
      <c r="L1289" t="s">
        <v>110</v>
      </c>
    </row>
    <row r="1290" spans="1:12" x14ac:dyDescent="0.3">
      <c r="A1290" s="53">
        <f>DATE(D1290,10,12)</f>
        <v>68222</v>
      </c>
      <c r="B1290" s="54">
        <f t="shared" si="128"/>
        <v>68222</v>
      </c>
      <c r="C1290" t="s">
        <v>125</v>
      </c>
      <c r="D1290">
        <f t="shared" si="126"/>
        <v>2086</v>
      </c>
      <c r="E1290" t="s">
        <v>110</v>
      </c>
      <c r="H1290" s="53">
        <f>DATE(K1290,6,19)</f>
        <v>69568</v>
      </c>
      <c r="I1290" s="54">
        <f t="shared" si="129"/>
        <v>69568</v>
      </c>
      <c r="J1290" t="s">
        <v>114</v>
      </c>
      <c r="K1290">
        <f t="shared" si="127"/>
        <v>2090</v>
      </c>
      <c r="L1290" t="s">
        <v>115</v>
      </c>
    </row>
    <row r="1291" spans="1:12" x14ac:dyDescent="0.3">
      <c r="A1291" s="53">
        <f>DATE(D1291,11,2)</f>
        <v>68243</v>
      </c>
      <c r="B1291" s="54">
        <f t="shared" si="128"/>
        <v>68243</v>
      </c>
      <c r="C1291" t="s">
        <v>126</v>
      </c>
      <c r="D1291">
        <f t="shared" si="126"/>
        <v>2086</v>
      </c>
      <c r="E1291" t="s">
        <v>110</v>
      </c>
      <c r="H1291" s="53">
        <f>DATE(K1291,7,9)</f>
        <v>69588</v>
      </c>
      <c r="I1291" s="54">
        <f t="shared" si="129"/>
        <v>69588</v>
      </c>
      <c r="J1291" t="s">
        <v>120</v>
      </c>
      <c r="K1291">
        <f t="shared" si="127"/>
        <v>2090</v>
      </c>
      <c r="L1291" t="s">
        <v>121</v>
      </c>
    </row>
    <row r="1292" spans="1:12" x14ac:dyDescent="0.3">
      <c r="A1292" s="53">
        <f>DATE(D1292,11,15)</f>
        <v>68256</v>
      </c>
      <c r="B1292" s="54">
        <f t="shared" si="128"/>
        <v>68256</v>
      </c>
      <c r="C1292" t="s">
        <v>127</v>
      </c>
      <c r="D1292">
        <f t="shared" si="126"/>
        <v>2086</v>
      </c>
      <c r="E1292" t="s">
        <v>110</v>
      </c>
      <c r="H1292" s="53">
        <f>DATE(K1292,8,1)+(14-WEEKDAY(DATE(K1292,8,1),2))</f>
        <v>69623</v>
      </c>
      <c r="I1292" s="54">
        <f t="shared" si="129"/>
        <v>69623</v>
      </c>
      <c r="J1292" t="s">
        <v>123</v>
      </c>
      <c r="K1292">
        <f t="shared" si="127"/>
        <v>2090</v>
      </c>
      <c r="L1292" t="s">
        <v>110</v>
      </c>
    </row>
    <row r="1293" spans="1:12" x14ac:dyDescent="0.3">
      <c r="A1293" s="53">
        <f>DATE(D1293,11,20)</f>
        <v>68261</v>
      </c>
      <c r="B1293" s="54">
        <f t="shared" si="128"/>
        <v>68261</v>
      </c>
      <c r="C1293" t="s">
        <v>128</v>
      </c>
      <c r="D1293">
        <f t="shared" si="126"/>
        <v>2086</v>
      </c>
      <c r="E1293" t="s">
        <v>110</v>
      </c>
      <c r="H1293" s="53">
        <f>DATE(K1293,9,7)</f>
        <v>69648</v>
      </c>
      <c r="I1293" s="54">
        <f t="shared" si="129"/>
        <v>69648</v>
      </c>
      <c r="J1293" t="s">
        <v>124</v>
      </c>
      <c r="K1293">
        <f t="shared" si="127"/>
        <v>2090</v>
      </c>
      <c r="L1293" t="s">
        <v>110</v>
      </c>
    </row>
    <row r="1294" spans="1:12" x14ac:dyDescent="0.3">
      <c r="A1294" s="53">
        <f>DATE(D1294,12,25)</f>
        <v>68296</v>
      </c>
      <c r="B1294" s="54">
        <f t="shared" si="128"/>
        <v>68296</v>
      </c>
      <c r="C1294" t="s">
        <v>129</v>
      </c>
      <c r="D1294">
        <f t="shared" si="126"/>
        <v>2086</v>
      </c>
      <c r="E1294" t="s">
        <v>110</v>
      </c>
      <c r="H1294" s="53">
        <f>DATE(K1294,10,12)</f>
        <v>69683</v>
      </c>
      <c r="I1294" s="54">
        <f t="shared" si="129"/>
        <v>69683</v>
      </c>
      <c r="J1294" t="s">
        <v>125</v>
      </c>
      <c r="K1294">
        <f t="shared" si="127"/>
        <v>2090</v>
      </c>
      <c r="L1294" t="s">
        <v>110</v>
      </c>
    </row>
    <row r="1295" spans="1:12" x14ac:dyDescent="0.3">
      <c r="A1295" s="53">
        <f>DATE(D1295,1,1)</f>
        <v>68303</v>
      </c>
      <c r="B1295" s="54">
        <f t="shared" si="128"/>
        <v>68303</v>
      </c>
      <c r="C1295" t="s">
        <v>109</v>
      </c>
      <c r="D1295">
        <f>D1276+1</f>
        <v>2087</v>
      </c>
      <c r="E1295" t="s">
        <v>110</v>
      </c>
      <c r="H1295" s="53">
        <f>DATE(K1295,11,2)</f>
        <v>69704</v>
      </c>
      <c r="I1295" s="54">
        <f t="shared" si="129"/>
        <v>69704</v>
      </c>
      <c r="J1295" t="s">
        <v>126</v>
      </c>
      <c r="K1295">
        <f t="shared" si="127"/>
        <v>2090</v>
      </c>
      <c r="L1295" t="s">
        <v>110</v>
      </c>
    </row>
    <row r="1296" spans="1:12" x14ac:dyDescent="0.3">
      <c r="A1296" s="53">
        <f>A1299-48</f>
        <v>68364</v>
      </c>
      <c r="B1296" s="54">
        <f t="shared" si="128"/>
        <v>68364</v>
      </c>
      <c r="C1296" t="s">
        <v>111</v>
      </c>
      <c r="D1296">
        <f t="shared" si="126"/>
        <v>2087</v>
      </c>
      <c r="E1296" t="s">
        <v>110</v>
      </c>
      <c r="H1296" s="53">
        <f>DATE(K1296,11,15)</f>
        <v>69717</v>
      </c>
      <c r="I1296" s="54">
        <f t="shared" si="129"/>
        <v>69717</v>
      </c>
      <c r="J1296" t="s">
        <v>127</v>
      </c>
      <c r="K1296">
        <f t="shared" si="127"/>
        <v>2090</v>
      </c>
      <c r="L1296" t="s">
        <v>110</v>
      </c>
    </row>
    <row r="1297" spans="1:12" x14ac:dyDescent="0.3">
      <c r="A1297" s="53">
        <f>A1299-47</f>
        <v>68365</v>
      </c>
      <c r="B1297" s="54">
        <f t="shared" si="128"/>
        <v>68365</v>
      </c>
      <c r="C1297" t="s">
        <v>111</v>
      </c>
      <c r="D1297">
        <f t="shared" si="126"/>
        <v>2087</v>
      </c>
      <c r="E1297" t="s">
        <v>110</v>
      </c>
      <c r="H1297" s="53">
        <f>DATE(K1297,11,20)</f>
        <v>69722</v>
      </c>
      <c r="I1297" s="54">
        <f t="shared" si="129"/>
        <v>69722</v>
      </c>
      <c r="J1297" t="s">
        <v>128</v>
      </c>
      <c r="K1297">
        <f t="shared" si="127"/>
        <v>2090</v>
      </c>
      <c r="L1297" t="s">
        <v>110</v>
      </c>
    </row>
    <row r="1298" spans="1:12" x14ac:dyDescent="0.3">
      <c r="A1298" s="53">
        <f>A1299-2</f>
        <v>68410</v>
      </c>
      <c r="B1298" s="54">
        <f t="shared" si="128"/>
        <v>68410</v>
      </c>
      <c r="C1298" t="s">
        <v>112</v>
      </c>
      <c r="D1298">
        <f t="shared" si="126"/>
        <v>2087</v>
      </c>
      <c r="E1298" t="s">
        <v>110</v>
      </c>
      <c r="H1298" s="53">
        <f>DATE(K1298,12,25)</f>
        <v>69757</v>
      </c>
      <c r="I1298" s="54">
        <f t="shared" si="129"/>
        <v>69757</v>
      </c>
      <c r="J1298" t="s">
        <v>129</v>
      </c>
      <c r="K1298">
        <f t="shared" si="127"/>
        <v>2090</v>
      </c>
      <c r="L1298" t="s">
        <v>110</v>
      </c>
    </row>
    <row r="1299" spans="1:12" x14ac:dyDescent="0.3">
      <c r="A1299" s="53">
        <f>FLOOR(DAY(MINUTE(D1299/38)/2+56)&amp;"/5"&amp;"/"&amp;D1299,7)-34</f>
        <v>68412</v>
      </c>
      <c r="B1299" s="54">
        <f t="shared" si="128"/>
        <v>68412</v>
      </c>
      <c r="C1299" t="s">
        <v>113</v>
      </c>
      <c r="D1299">
        <f t="shared" si="126"/>
        <v>2087</v>
      </c>
      <c r="E1299" t="s">
        <v>110</v>
      </c>
      <c r="H1299" s="53">
        <f>DATE(K1299,1,1)</f>
        <v>69764</v>
      </c>
      <c r="I1299" s="54">
        <f t="shared" si="129"/>
        <v>69764</v>
      </c>
      <c r="J1299" t="s">
        <v>109</v>
      </c>
      <c r="K1299">
        <f>K1281+1</f>
        <v>2091</v>
      </c>
      <c r="L1299" t="s">
        <v>110</v>
      </c>
    </row>
    <row r="1300" spans="1:12" x14ac:dyDescent="0.3">
      <c r="A1300" s="53">
        <f>DATE(D1300,4,14)</f>
        <v>68406</v>
      </c>
      <c r="B1300" s="54">
        <f t="shared" si="128"/>
        <v>68406</v>
      </c>
      <c r="C1300" t="s">
        <v>114</v>
      </c>
      <c r="D1300">
        <f t="shared" si="126"/>
        <v>2087</v>
      </c>
      <c r="E1300" t="s">
        <v>115</v>
      </c>
      <c r="H1300" s="53">
        <f>H1303-48</f>
        <v>69813</v>
      </c>
      <c r="I1300" s="54">
        <f t="shared" si="129"/>
        <v>69813</v>
      </c>
      <c r="J1300" t="s">
        <v>111</v>
      </c>
      <c r="K1300">
        <f t="shared" si="127"/>
        <v>2091</v>
      </c>
      <c r="L1300" t="s">
        <v>110</v>
      </c>
    </row>
    <row r="1301" spans="1:12" x14ac:dyDescent="0.3">
      <c r="A1301" s="53">
        <f>DATE(D1301,4,21)</f>
        <v>68413</v>
      </c>
      <c r="B1301" s="54">
        <f t="shared" si="128"/>
        <v>68413</v>
      </c>
      <c r="C1301" t="s">
        <v>116</v>
      </c>
      <c r="D1301">
        <f t="shared" si="126"/>
        <v>2087</v>
      </c>
      <c r="E1301" t="s">
        <v>110</v>
      </c>
      <c r="H1301" s="53">
        <f>H1303-47</f>
        <v>69814</v>
      </c>
      <c r="I1301" s="54">
        <f t="shared" si="129"/>
        <v>69814</v>
      </c>
      <c r="J1301" t="s">
        <v>111</v>
      </c>
      <c r="K1301">
        <f t="shared" si="127"/>
        <v>2091</v>
      </c>
      <c r="L1301" t="s">
        <v>110</v>
      </c>
    </row>
    <row r="1302" spans="1:12" x14ac:dyDescent="0.3">
      <c r="A1302" s="53">
        <f>DATE(D1302,5,1)</f>
        <v>68423</v>
      </c>
      <c r="B1302" s="54">
        <f t="shared" si="128"/>
        <v>68423</v>
      </c>
      <c r="C1302" t="s">
        <v>117</v>
      </c>
      <c r="D1302">
        <f t="shared" si="126"/>
        <v>2087</v>
      </c>
      <c r="E1302" t="s">
        <v>110</v>
      </c>
      <c r="H1302" s="53">
        <f>H1303-2</f>
        <v>69859</v>
      </c>
      <c r="I1302" s="54">
        <f t="shared" si="129"/>
        <v>69859</v>
      </c>
      <c r="J1302" t="s">
        <v>112</v>
      </c>
      <c r="K1302">
        <f t="shared" si="127"/>
        <v>2091</v>
      </c>
      <c r="L1302" t="s">
        <v>110</v>
      </c>
    </row>
    <row r="1303" spans="1:12" x14ac:dyDescent="0.3">
      <c r="A1303" s="53">
        <f>DATE(D1303,5,1)+(14-WEEKDAY(DATE(D1303,5,1),2))</f>
        <v>68433</v>
      </c>
      <c r="B1303" s="54">
        <f t="shared" si="128"/>
        <v>68433</v>
      </c>
      <c r="C1303" t="s">
        <v>118</v>
      </c>
      <c r="D1303">
        <f t="shared" si="126"/>
        <v>2087</v>
      </c>
      <c r="E1303" t="s">
        <v>110</v>
      </c>
      <c r="H1303" s="53">
        <f>FLOOR(DAY(MINUTE(K1303/38)/2+56)&amp;"/5"&amp;"/"&amp;K1303,7)-34</f>
        <v>69861</v>
      </c>
      <c r="I1303" s="54">
        <f t="shared" si="129"/>
        <v>69861</v>
      </c>
      <c r="J1303" t="s">
        <v>113</v>
      </c>
      <c r="K1303">
        <f t="shared" si="127"/>
        <v>2091</v>
      </c>
      <c r="L1303" t="s">
        <v>110</v>
      </c>
    </row>
    <row r="1304" spans="1:12" x14ac:dyDescent="0.3">
      <c r="A1304" s="53">
        <f>A1299+60</f>
        <v>68472</v>
      </c>
      <c r="B1304" s="54">
        <f t="shared" si="128"/>
        <v>68472</v>
      </c>
      <c r="C1304" t="s">
        <v>119</v>
      </c>
      <c r="D1304">
        <f t="shared" si="126"/>
        <v>2087</v>
      </c>
      <c r="E1304" t="s">
        <v>110</v>
      </c>
      <c r="H1304" s="53">
        <f>DATE(K1304,4,21)</f>
        <v>69874</v>
      </c>
      <c r="I1304" s="54">
        <f t="shared" si="129"/>
        <v>69874</v>
      </c>
      <c r="J1304" t="s">
        <v>116</v>
      </c>
      <c r="K1304">
        <f t="shared" si="127"/>
        <v>2091</v>
      </c>
      <c r="L1304" t="s">
        <v>110</v>
      </c>
    </row>
    <row r="1305" spans="1:12" x14ac:dyDescent="0.3">
      <c r="A1305" s="53">
        <f>DATE(D1305,7,9)</f>
        <v>68492</v>
      </c>
      <c r="B1305" s="54">
        <f t="shared" si="128"/>
        <v>68492</v>
      </c>
      <c r="C1305" t="s">
        <v>120</v>
      </c>
      <c r="D1305">
        <f t="shared" si="126"/>
        <v>2087</v>
      </c>
      <c r="E1305" t="s">
        <v>121</v>
      </c>
      <c r="H1305" s="53">
        <f>DATE(K1305,5,1)</f>
        <v>69884</v>
      </c>
      <c r="I1305" s="54">
        <f t="shared" si="129"/>
        <v>69884</v>
      </c>
      <c r="J1305" t="s">
        <v>117</v>
      </c>
      <c r="K1305">
        <f t="shared" si="127"/>
        <v>2091</v>
      </c>
      <c r="L1305" t="s">
        <v>110</v>
      </c>
    </row>
    <row r="1306" spans="1:12" x14ac:dyDescent="0.3">
      <c r="A1306" s="53">
        <f>DATE(D1306,8,8)</f>
        <v>68522</v>
      </c>
      <c r="B1306" s="54">
        <f t="shared" si="128"/>
        <v>68522</v>
      </c>
      <c r="C1306" t="s">
        <v>122</v>
      </c>
      <c r="D1306">
        <f t="shared" si="126"/>
        <v>2087</v>
      </c>
      <c r="E1306" t="s">
        <v>115</v>
      </c>
      <c r="H1306" s="53">
        <f>DATE(K1306,5,1)+(14-WEEKDAY(DATE(K1306,5,1),2))</f>
        <v>69896</v>
      </c>
      <c r="I1306" s="54">
        <f t="shared" si="129"/>
        <v>69896</v>
      </c>
      <c r="J1306" t="s">
        <v>118</v>
      </c>
      <c r="K1306">
        <f t="shared" si="127"/>
        <v>2091</v>
      </c>
      <c r="L1306" t="s">
        <v>110</v>
      </c>
    </row>
    <row r="1307" spans="1:12" x14ac:dyDescent="0.3">
      <c r="A1307" s="53">
        <f>DATE(D1307,8,1)+(14-WEEKDAY(DATE(D1307,8,1),2))</f>
        <v>68524</v>
      </c>
      <c r="B1307" s="54">
        <f t="shared" si="128"/>
        <v>68524</v>
      </c>
      <c r="C1307" t="s">
        <v>123</v>
      </c>
      <c r="D1307">
        <f t="shared" si="126"/>
        <v>2087</v>
      </c>
      <c r="E1307" t="s">
        <v>110</v>
      </c>
      <c r="H1307" s="53">
        <f>H1303+60</f>
        <v>69921</v>
      </c>
      <c r="I1307" s="54">
        <f t="shared" si="129"/>
        <v>69921</v>
      </c>
      <c r="J1307" t="s">
        <v>119</v>
      </c>
      <c r="K1307">
        <f t="shared" si="127"/>
        <v>2091</v>
      </c>
      <c r="L1307" t="s">
        <v>110</v>
      </c>
    </row>
    <row r="1308" spans="1:12" x14ac:dyDescent="0.3">
      <c r="A1308" s="53">
        <f>DATE(D1308,9,7)</f>
        <v>68552</v>
      </c>
      <c r="B1308" s="54">
        <f t="shared" si="128"/>
        <v>68552</v>
      </c>
      <c r="C1308" t="s">
        <v>124</v>
      </c>
      <c r="D1308">
        <f t="shared" si="126"/>
        <v>2087</v>
      </c>
      <c r="E1308" t="s">
        <v>110</v>
      </c>
      <c r="H1308" s="53">
        <f>DATE(K1308,6,19)</f>
        <v>69933</v>
      </c>
      <c r="I1308" s="54">
        <f t="shared" si="129"/>
        <v>69933</v>
      </c>
      <c r="J1308" t="s">
        <v>114</v>
      </c>
      <c r="K1308">
        <f t="shared" si="127"/>
        <v>2091</v>
      </c>
      <c r="L1308" t="s">
        <v>115</v>
      </c>
    </row>
    <row r="1309" spans="1:12" x14ac:dyDescent="0.3">
      <c r="A1309" s="53">
        <f>DATE(D1309,10,12)</f>
        <v>68587</v>
      </c>
      <c r="B1309" s="54">
        <f t="shared" si="128"/>
        <v>68587</v>
      </c>
      <c r="C1309" t="s">
        <v>125</v>
      </c>
      <c r="D1309">
        <f t="shared" si="126"/>
        <v>2087</v>
      </c>
      <c r="E1309" t="s">
        <v>110</v>
      </c>
      <c r="H1309" s="53">
        <f>DATE(K1309,7,9)</f>
        <v>69953</v>
      </c>
      <c r="I1309" s="54">
        <f t="shared" si="129"/>
        <v>69953</v>
      </c>
      <c r="J1309" t="s">
        <v>120</v>
      </c>
      <c r="K1309">
        <f t="shared" si="127"/>
        <v>2091</v>
      </c>
      <c r="L1309" t="s">
        <v>121</v>
      </c>
    </row>
    <row r="1310" spans="1:12" x14ac:dyDescent="0.3">
      <c r="A1310" s="53">
        <f>DATE(D1310,11,2)</f>
        <v>68608</v>
      </c>
      <c r="B1310" s="54">
        <f t="shared" si="128"/>
        <v>68608</v>
      </c>
      <c r="C1310" t="s">
        <v>126</v>
      </c>
      <c r="D1310">
        <f t="shared" si="126"/>
        <v>2087</v>
      </c>
      <c r="E1310" t="s">
        <v>110</v>
      </c>
      <c r="H1310" s="53">
        <f>DATE(K1310,8,1)+(14-WEEKDAY(DATE(K1310,8,1),2))</f>
        <v>69987</v>
      </c>
      <c r="I1310" s="54">
        <f t="shared" si="129"/>
        <v>69987</v>
      </c>
      <c r="J1310" t="s">
        <v>123</v>
      </c>
      <c r="K1310">
        <f t="shared" si="127"/>
        <v>2091</v>
      </c>
      <c r="L1310" t="s">
        <v>110</v>
      </c>
    </row>
    <row r="1311" spans="1:12" x14ac:dyDescent="0.3">
      <c r="A1311" s="53">
        <f>DATE(D1311,11,15)</f>
        <v>68621</v>
      </c>
      <c r="B1311" s="54">
        <f t="shared" si="128"/>
        <v>68621</v>
      </c>
      <c r="C1311" t="s">
        <v>127</v>
      </c>
      <c r="D1311">
        <f t="shared" si="126"/>
        <v>2087</v>
      </c>
      <c r="E1311" t="s">
        <v>110</v>
      </c>
      <c r="H1311" s="53">
        <f>DATE(K1311,9,7)</f>
        <v>70013</v>
      </c>
      <c r="I1311" s="54">
        <f t="shared" si="129"/>
        <v>70013</v>
      </c>
      <c r="J1311" t="s">
        <v>124</v>
      </c>
      <c r="K1311">
        <f t="shared" si="127"/>
        <v>2091</v>
      </c>
      <c r="L1311" t="s">
        <v>110</v>
      </c>
    </row>
    <row r="1312" spans="1:12" x14ac:dyDescent="0.3">
      <c r="A1312" s="53">
        <f>DATE(D1312,11,20)</f>
        <v>68626</v>
      </c>
      <c r="B1312" s="54">
        <f t="shared" si="128"/>
        <v>68626</v>
      </c>
      <c r="C1312" t="s">
        <v>128</v>
      </c>
      <c r="D1312">
        <f t="shared" si="126"/>
        <v>2087</v>
      </c>
      <c r="E1312" t="s">
        <v>110</v>
      </c>
      <c r="H1312" s="53">
        <f>DATE(K1312,10,12)</f>
        <v>70048</v>
      </c>
      <c r="I1312" s="54">
        <f t="shared" si="129"/>
        <v>70048</v>
      </c>
      <c r="J1312" t="s">
        <v>125</v>
      </c>
      <c r="K1312">
        <f t="shared" si="127"/>
        <v>2091</v>
      </c>
      <c r="L1312" t="s">
        <v>110</v>
      </c>
    </row>
    <row r="1313" spans="1:12" x14ac:dyDescent="0.3">
      <c r="A1313" s="53">
        <f>DATE(D1313,12,25)</f>
        <v>68661</v>
      </c>
      <c r="B1313" s="54">
        <f t="shared" si="128"/>
        <v>68661</v>
      </c>
      <c r="C1313" t="s">
        <v>129</v>
      </c>
      <c r="D1313">
        <f t="shared" si="126"/>
        <v>2087</v>
      </c>
      <c r="E1313" t="s">
        <v>110</v>
      </c>
      <c r="H1313" s="53">
        <f>DATE(K1313,11,2)</f>
        <v>70069</v>
      </c>
      <c r="I1313" s="54">
        <f t="shared" si="129"/>
        <v>70069</v>
      </c>
      <c r="J1313" t="s">
        <v>126</v>
      </c>
      <c r="K1313">
        <f t="shared" si="127"/>
        <v>2091</v>
      </c>
      <c r="L1313" t="s">
        <v>110</v>
      </c>
    </row>
    <row r="1314" spans="1:12" x14ac:dyDescent="0.3">
      <c r="A1314" s="53">
        <f>DATE(D1314,1,1)</f>
        <v>68668</v>
      </c>
      <c r="B1314" s="54">
        <f t="shared" si="128"/>
        <v>68668</v>
      </c>
      <c r="C1314" t="s">
        <v>109</v>
      </c>
      <c r="D1314">
        <f>D1295+1</f>
        <v>2088</v>
      </c>
      <c r="E1314" t="s">
        <v>110</v>
      </c>
      <c r="H1314" s="53">
        <f>DATE(K1314,11,15)</f>
        <v>70082</v>
      </c>
      <c r="I1314" s="54">
        <f t="shared" si="129"/>
        <v>70082</v>
      </c>
      <c r="J1314" t="s">
        <v>127</v>
      </c>
      <c r="K1314">
        <f t="shared" si="127"/>
        <v>2091</v>
      </c>
      <c r="L1314" t="s">
        <v>110</v>
      </c>
    </row>
    <row r="1315" spans="1:12" x14ac:dyDescent="0.3">
      <c r="A1315" s="53">
        <f>A1318-48</f>
        <v>68721</v>
      </c>
      <c r="B1315" s="54">
        <f t="shared" si="128"/>
        <v>68721</v>
      </c>
      <c r="C1315" t="s">
        <v>111</v>
      </c>
      <c r="D1315">
        <f t="shared" si="126"/>
        <v>2088</v>
      </c>
      <c r="E1315" t="s">
        <v>110</v>
      </c>
      <c r="H1315" s="53">
        <f>DATE(K1315,11,20)</f>
        <v>70087</v>
      </c>
      <c r="I1315" s="54">
        <f t="shared" si="129"/>
        <v>70087</v>
      </c>
      <c r="J1315" t="s">
        <v>128</v>
      </c>
      <c r="K1315">
        <f t="shared" si="127"/>
        <v>2091</v>
      </c>
      <c r="L1315" t="s">
        <v>110</v>
      </c>
    </row>
    <row r="1316" spans="1:12" x14ac:dyDescent="0.3">
      <c r="A1316" s="53">
        <f>A1318-47</f>
        <v>68722</v>
      </c>
      <c r="B1316" s="54">
        <f t="shared" si="128"/>
        <v>68722</v>
      </c>
      <c r="C1316" t="s">
        <v>111</v>
      </c>
      <c r="D1316">
        <f t="shared" si="126"/>
        <v>2088</v>
      </c>
      <c r="E1316" t="s">
        <v>110</v>
      </c>
      <c r="H1316" s="53">
        <f>DATE(K1316,12,25)</f>
        <v>70122</v>
      </c>
      <c r="I1316" s="54">
        <f t="shared" si="129"/>
        <v>70122</v>
      </c>
      <c r="J1316" t="s">
        <v>129</v>
      </c>
      <c r="K1316">
        <f t="shared" si="127"/>
        <v>2091</v>
      </c>
      <c r="L1316" t="s">
        <v>110</v>
      </c>
    </row>
    <row r="1317" spans="1:12" x14ac:dyDescent="0.3">
      <c r="A1317" s="53">
        <f>A1318-2</f>
        <v>68767</v>
      </c>
      <c r="B1317" s="54">
        <f t="shared" si="128"/>
        <v>68767</v>
      </c>
      <c r="C1317" t="s">
        <v>112</v>
      </c>
      <c r="D1317">
        <f t="shared" si="126"/>
        <v>2088</v>
      </c>
      <c r="E1317" t="s">
        <v>110</v>
      </c>
      <c r="H1317" s="53">
        <f>DATE(K1317,1,1)</f>
        <v>70129</v>
      </c>
      <c r="I1317" s="54">
        <f t="shared" si="129"/>
        <v>70129</v>
      </c>
      <c r="J1317" t="s">
        <v>109</v>
      </c>
      <c r="K1317">
        <f>K1299+1</f>
        <v>2092</v>
      </c>
      <c r="L1317" t="s">
        <v>110</v>
      </c>
    </row>
    <row r="1318" spans="1:12" x14ac:dyDescent="0.3">
      <c r="A1318" s="53">
        <f>FLOOR(DAY(MINUTE(D1318/38)/2+56)&amp;"/5"&amp;"/"&amp;D1318,7)-34</f>
        <v>68769</v>
      </c>
      <c r="B1318" s="54">
        <f t="shared" si="128"/>
        <v>68769</v>
      </c>
      <c r="C1318" t="s">
        <v>113</v>
      </c>
      <c r="D1318">
        <f t="shared" si="126"/>
        <v>2088</v>
      </c>
      <c r="E1318" t="s">
        <v>110</v>
      </c>
      <c r="H1318" s="53">
        <f>H1321-48</f>
        <v>70170</v>
      </c>
      <c r="I1318" s="54">
        <f t="shared" si="129"/>
        <v>70170</v>
      </c>
      <c r="J1318" t="s">
        <v>111</v>
      </c>
      <c r="K1318">
        <f t="shared" si="127"/>
        <v>2092</v>
      </c>
      <c r="L1318" t="s">
        <v>110</v>
      </c>
    </row>
    <row r="1319" spans="1:12" x14ac:dyDescent="0.3">
      <c r="A1319" s="53">
        <f>DATE(D1319,4,14)</f>
        <v>68772</v>
      </c>
      <c r="B1319" s="54">
        <f t="shared" si="128"/>
        <v>68772</v>
      </c>
      <c r="C1319" t="s">
        <v>114</v>
      </c>
      <c r="D1319">
        <f t="shared" si="126"/>
        <v>2088</v>
      </c>
      <c r="E1319" t="s">
        <v>115</v>
      </c>
      <c r="H1319" s="53">
        <f>H1321-47</f>
        <v>70171</v>
      </c>
      <c r="I1319" s="54">
        <f t="shared" si="129"/>
        <v>70171</v>
      </c>
      <c r="J1319" t="s">
        <v>111</v>
      </c>
      <c r="K1319">
        <f t="shared" si="127"/>
        <v>2092</v>
      </c>
      <c r="L1319" t="s">
        <v>110</v>
      </c>
    </row>
    <row r="1320" spans="1:12" x14ac:dyDescent="0.3">
      <c r="A1320" s="53">
        <f>DATE(D1320,4,21)</f>
        <v>68779</v>
      </c>
      <c r="B1320" s="54">
        <f t="shared" si="128"/>
        <v>68779</v>
      </c>
      <c r="C1320" t="s">
        <v>116</v>
      </c>
      <c r="D1320">
        <f t="shared" si="126"/>
        <v>2088</v>
      </c>
      <c r="E1320" t="s">
        <v>110</v>
      </c>
      <c r="H1320" s="53">
        <f>H1321-2</f>
        <v>70216</v>
      </c>
      <c r="I1320" s="54">
        <f t="shared" si="129"/>
        <v>70216</v>
      </c>
      <c r="J1320" t="s">
        <v>112</v>
      </c>
      <c r="K1320">
        <f t="shared" si="127"/>
        <v>2092</v>
      </c>
      <c r="L1320" t="s">
        <v>110</v>
      </c>
    </row>
    <row r="1321" spans="1:12" x14ac:dyDescent="0.3">
      <c r="A1321" s="53">
        <f>DATE(D1321,5,1)</f>
        <v>68789</v>
      </c>
      <c r="B1321" s="54">
        <f t="shared" si="128"/>
        <v>68789</v>
      </c>
      <c r="C1321" t="s">
        <v>117</v>
      </c>
      <c r="D1321">
        <f t="shared" si="126"/>
        <v>2088</v>
      </c>
      <c r="E1321" t="s">
        <v>110</v>
      </c>
      <c r="H1321" s="53">
        <f>FLOOR(DAY(MINUTE(K1321/38)/2+56)&amp;"/5"&amp;"/"&amp;K1321,7)-34</f>
        <v>70218</v>
      </c>
      <c r="I1321" s="54">
        <f t="shared" si="129"/>
        <v>70218</v>
      </c>
      <c r="J1321" t="s">
        <v>113</v>
      </c>
      <c r="K1321">
        <f t="shared" si="127"/>
        <v>2092</v>
      </c>
      <c r="L1321" t="s">
        <v>110</v>
      </c>
    </row>
    <row r="1322" spans="1:12" x14ac:dyDescent="0.3">
      <c r="A1322" s="53">
        <f>DATE(D1322,5,1)+(14-WEEKDAY(DATE(D1322,5,1),2))</f>
        <v>68797</v>
      </c>
      <c r="B1322" s="54">
        <f t="shared" si="128"/>
        <v>68797</v>
      </c>
      <c r="C1322" t="s">
        <v>118</v>
      </c>
      <c r="D1322">
        <f t="shared" si="126"/>
        <v>2088</v>
      </c>
      <c r="E1322" t="s">
        <v>110</v>
      </c>
      <c r="H1322" s="53">
        <f>DATE(K1322,4,21)</f>
        <v>70240</v>
      </c>
      <c r="I1322" s="54">
        <f t="shared" si="129"/>
        <v>70240</v>
      </c>
      <c r="J1322" t="s">
        <v>116</v>
      </c>
      <c r="K1322">
        <f t="shared" si="127"/>
        <v>2092</v>
      </c>
      <c r="L1322" t="s">
        <v>110</v>
      </c>
    </row>
    <row r="1323" spans="1:12" x14ac:dyDescent="0.3">
      <c r="A1323" s="53">
        <f>A1318+60</f>
        <v>68829</v>
      </c>
      <c r="B1323" s="54">
        <f t="shared" si="128"/>
        <v>68829</v>
      </c>
      <c r="C1323" t="s">
        <v>119</v>
      </c>
      <c r="D1323">
        <f t="shared" si="126"/>
        <v>2088</v>
      </c>
      <c r="E1323" t="s">
        <v>110</v>
      </c>
      <c r="H1323" s="53">
        <f>DATE(K1323,5,1)</f>
        <v>70250</v>
      </c>
      <c r="I1323" s="54">
        <f t="shared" si="129"/>
        <v>70250</v>
      </c>
      <c r="J1323" t="s">
        <v>117</v>
      </c>
      <c r="K1323">
        <f t="shared" si="127"/>
        <v>2092</v>
      </c>
      <c r="L1323" t="s">
        <v>110</v>
      </c>
    </row>
    <row r="1324" spans="1:12" x14ac:dyDescent="0.3">
      <c r="A1324" s="53">
        <f>DATE(D1324,7,9)</f>
        <v>68858</v>
      </c>
      <c r="B1324" s="54">
        <f t="shared" si="128"/>
        <v>68858</v>
      </c>
      <c r="C1324" t="s">
        <v>120</v>
      </c>
      <c r="D1324">
        <f t="shared" si="126"/>
        <v>2088</v>
      </c>
      <c r="E1324" t="s">
        <v>121</v>
      </c>
      <c r="H1324" s="53">
        <f>DATE(K1324,5,1)+(14-WEEKDAY(DATE(K1324,5,1),2))</f>
        <v>70260</v>
      </c>
      <c r="I1324" s="54">
        <f t="shared" si="129"/>
        <v>70260</v>
      </c>
      <c r="J1324" t="s">
        <v>118</v>
      </c>
      <c r="K1324">
        <f t="shared" si="127"/>
        <v>2092</v>
      </c>
      <c r="L1324" t="s">
        <v>110</v>
      </c>
    </row>
    <row r="1325" spans="1:12" x14ac:dyDescent="0.3">
      <c r="A1325" s="53">
        <f>DATE(D1325,8,8)</f>
        <v>68888</v>
      </c>
      <c r="B1325" s="54">
        <f t="shared" si="128"/>
        <v>68888</v>
      </c>
      <c r="C1325" t="s">
        <v>122</v>
      </c>
      <c r="D1325">
        <f t="shared" si="126"/>
        <v>2088</v>
      </c>
      <c r="E1325" t="s">
        <v>115</v>
      </c>
      <c r="H1325" s="53">
        <f>H1321+60</f>
        <v>70278</v>
      </c>
      <c r="I1325" s="54">
        <f t="shared" si="129"/>
        <v>70278</v>
      </c>
      <c r="J1325" t="s">
        <v>119</v>
      </c>
      <c r="K1325">
        <f t="shared" si="127"/>
        <v>2092</v>
      </c>
      <c r="L1325" t="s">
        <v>110</v>
      </c>
    </row>
    <row r="1326" spans="1:12" x14ac:dyDescent="0.3">
      <c r="A1326" s="53">
        <f>DATE(D1326,8,1)+(14-WEEKDAY(DATE(D1326,8,1),2))</f>
        <v>68888</v>
      </c>
      <c r="B1326" s="54">
        <f t="shared" si="128"/>
        <v>68888</v>
      </c>
      <c r="C1326" t="s">
        <v>123</v>
      </c>
      <c r="D1326">
        <f t="shared" si="126"/>
        <v>2088</v>
      </c>
      <c r="E1326" t="s">
        <v>110</v>
      </c>
      <c r="H1326" s="53">
        <f>DATE(K1326,6,19)</f>
        <v>70299</v>
      </c>
      <c r="I1326" s="54">
        <f t="shared" si="129"/>
        <v>70299</v>
      </c>
      <c r="J1326" t="s">
        <v>114</v>
      </c>
      <c r="K1326">
        <f t="shared" si="127"/>
        <v>2092</v>
      </c>
      <c r="L1326" t="s">
        <v>115</v>
      </c>
    </row>
    <row r="1327" spans="1:12" x14ac:dyDescent="0.3">
      <c r="A1327" s="53">
        <f>DATE(D1327,9,7)</f>
        <v>68918</v>
      </c>
      <c r="B1327" s="54">
        <f t="shared" si="128"/>
        <v>68918</v>
      </c>
      <c r="C1327" t="s">
        <v>124</v>
      </c>
      <c r="D1327">
        <f t="shared" si="126"/>
        <v>2088</v>
      </c>
      <c r="E1327" t="s">
        <v>110</v>
      </c>
      <c r="H1327" s="53">
        <f>DATE(K1327,7,9)</f>
        <v>70319</v>
      </c>
      <c r="I1327" s="54">
        <f t="shared" si="129"/>
        <v>70319</v>
      </c>
      <c r="J1327" t="s">
        <v>120</v>
      </c>
      <c r="K1327">
        <f t="shared" si="127"/>
        <v>2092</v>
      </c>
      <c r="L1327" t="s">
        <v>121</v>
      </c>
    </row>
    <row r="1328" spans="1:12" x14ac:dyDescent="0.3">
      <c r="A1328" s="53">
        <f>DATE(D1328,10,12)</f>
        <v>68953</v>
      </c>
      <c r="B1328" s="54">
        <f t="shared" si="128"/>
        <v>68953</v>
      </c>
      <c r="C1328" t="s">
        <v>125</v>
      </c>
      <c r="D1328">
        <f t="shared" si="126"/>
        <v>2088</v>
      </c>
      <c r="E1328" t="s">
        <v>110</v>
      </c>
      <c r="H1328" s="53">
        <f>DATE(K1328,8,1)+(14-WEEKDAY(DATE(K1328,8,1),2))</f>
        <v>70351</v>
      </c>
      <c r="I1328" s="54">
        <f t="shared" si="129"/>
        <v>70351</v>
      </c>
      <c r="J1328" t="s">
        <v>123</v>
      </c>
      <c r="K1328">
        <f t="shared" si="127"/>
        <v>2092</v>
      </c>
      <c r="L1328" t="s">
        <v>110</v>
      </c>
    </row>
    <row r="1329" spans="1:12" x14ac:dyDescent="0.3">
      <c r="A1329" s="53">
        <f>DATE(D1329,11,2)</f>
        <v>68974</v>
      </c>
      <c r="B1329" s="54">
        <f t="shared" si="128"/>
        <v>68974</v>
      </c>
      <c r="C1329" t="s">
        <v>126</v>
      </c>
      <c r="D1329">
        <f t="shared" si="126"/>
        <v>2088</v>
      </c>
      <c r="E1329" t="s">
        <v>110</v>
      </c>
      <c r="H1329" s="53">
        <f>DATE(K1329,9,7)</f>
        <v>70379</v>
      </c>
      <c r="I1329" s="54">
        <f t="shared" si="129"/>
        <v>70379</v>
      </c>
      <c r="J1329" t="s">
        <v>124</v>
      </c>
      <c r="K1329">
        <f t="shared" si="127"/>
        <v>2092</v>
      </c>
      <c r="L1329" t="s">
        <v>110</v>
      </c>
    </row>
    <row r="1330" spans="1:12" x14ac:dyDescent="0.3">
      <c r="A1330" s="53">
        <f>DATE(D1330,11,15)</f>
        <v>68987</v>
      </c>
      <c r="B1330" s="54">
        <f t="shared" si="128"/>
        <v>68987</v>
      </c>
      <c r="C1330" t="s">
        <v>127</v>
      </c>
      <c r="D1330">
        <f t="shared" si="126"/>
        <v>2088</v>
      </c>
      <c r="E1330" t="s">
        <v>110</v>
      </c>
      <c r="H1330" s="53">
        <f>DATE(K1330,10,12)</f>
        <v>70414</v>
      </c>
      <c r="I1330" s="54">
        <f t="shared" si="129"/>
        <v>70414</v>
      </c>
      <c r="J1330" t="s">
        <v>125</v>
      </c>
      <c r="K1330">
        <f t="shared" si="127"/>
        <v>2092</v>
      </c>
      <c r="L1330" t="s">
        <v>110</v>
      </c>
    </row>
    <row r="1331" spans="1:12" x14ac:dyDescent="0.3">
      <c r="A1331" s="53">
        <f>DATE(D1331,11,20)</f>
        <v>68992</v>
      </c>
      <c r="B1331" s="54">
        <f t="shared" si="128"/>
        <v>68992</v>
      </c>
      <c r="C1331" t="s">
        <v>128</v>
      </c>
      <c r="D1331">
        <f t="shared" si="126"/>
        <v>2088</v>
      </c>
      <c r="E1331" t="s">
        <v>110</v>
      </c>
      <c r="H1331" s="53">
        <f>DATE(K1331,11,2)</f>
        <v>70435</v>
      </c>
      <c r="I1331" s="54">
        <f t="shared" si="129"/>
        <v>70435</v>
      </c>
      <c r="J1331" t="s">
        <v>126</v>
      </c>
      <c r="K1331">
        <f t="shared" si="127"/>
        <v>2092</v>
      </c>
      <c r="L1331" t="s">
        <v>110</v>
      </c>
    </row>
    <row r="1332" spans="1:12" x14ac:dyDescent="0.3">
      <c r="A1332" s="53">
        <f>DATE(D1332,12,25)</f>
        <v>69027</v>
      </c>
      <c r="B1332" s="54">
        <f t="shared" si="128"/>
        <v>69027</v>
      </c>
      <c r="C1332" t="s">
        <v>129</v>
      </c>
      <c r="D1332">
        <f t="shared" si="126"/>
        <v>2088</v>
      </c>
      <c r="E1332" t="s">
        <v>110</v>
      </c>
      <c r="H1332" s="53">
        <f>DATE(K1332,11,15)</f>
        <v>70448</v>
      </c>
      <c r="I1332" s="54">
        <f t="shared" si="129"/>
        <v>70448</v>
      </c>
      <c r="J1332" t="s">
        <v>127</v>
      </c>
      <c r="K1332">
        <f t="shared" si="127"/>
        <v>2092</v>
      </c>
      <c r="L1332" t="s">
        <v>110</v>
      </c>
    </row>
    <row r="1333" spans="1:12" x14ac:dyDescent="0.3">
      <c r="A1333" s="53">
        <f>DATE(D1333,1,1)</f>
        <v>69034</v>
      </c>
      <c r="B1333" s="54">
        <f t="shared" si="128"/>
        <v>69034</v>
      </c>
      <c r="C1333" t="s">
        <v>109</v>
      </c>
      <c r="D1333">
        <f>D1314+1</f>
        <v>2089</v>
      </c>
      <c r="E1333" t="s">
        <v>110</v>
      </c>
      <c r="H1333" s="53">
        <f>DATE(K1333,11,20)</f>
        <v>70453</v>
      </c>
      <c r="I1333" s="54">
        <f t="shared" si="129"/>
        <v>70453</v>
      </c>
      <c r="J1333" t="s">
        <v>128</v>
      </c>
      <c r="K1333">
        <f t="shared" si="127"/>
        <v>2092</v>
      </c>
      <c r="L1333" t="s">
        <v>110</v>
      </c>
    </row>
    <row r="1334" spans="1:12" x14ac:dyDescent="0.3">
      <c r="A1334" s="53">
        <f>A1337-48</f>
        <v>69078</v>
      </c>
      <c r="B1334" s="54">
        <f t="shared" si="128"/>
        <v>69078</v>
      </c>
      <c r="C1334" t="s">
        <v>111</v>
      </c>
      <c r="D1334">
        <f t="shared" si="126"/>
        <v>2089</v>
      </c>
      <c r="E1334" t="s">
        <v>110</v>
      </c>
      <c r="H1334" s="53">
        <f>DATE(K1334,12,25)</f>
        <v>70488</v>
      </c>
      <c r="I1334" s="54">
        <f t="shared" si="129"/>
        <v>70488</v>
      </c>
      <c r="J1334" t="s">
        <v>129</v>
      </c>
      <c r="K1334">
        <f t="shared" si="127"/>
        <v>2092</v>
      </c>
      <c r="L1334" t="s">
        <v>110</v>
      </c>
    </row>
    <row r="1335" spans="1:12" x14ac:dyDescent="0.3">
      <c r="A1335" s="53">
        <f>A1337-47</f>
        <v>69079</v>
      </c>
      <c r="B1335" s="54">
        <f t="shared" si="128"/>
        <v>69079</v>
      </c>
      <c r="C1335" t="s">
        <v>111</v>
      </c>
      <c r="D1335">
        <f t="shared" si="126"/>
        <v>2089</v>
      </c>
      <c r="E1335" t="s">
        <v>110</v>
      </c>
      <c r="H1335" s="53">
        <f>DATE(K1335,1,1)</f>
        <v>70495</v>
      </c>
      <c r="I1335" s="54">
        <f t="shared" si="129"/>
        <v>70495</v>
      </c>
      <c r="J1335" t="s">
        <v>109</v>
      </c>
      <c r="K1335">
        <f>K1317+1</f>
        <v>2093</v>
      </c>
      <c r="L1335" t="s">
        <v>110</v>
      </c>
    </row>
    <row r="1336" spans="1:12" x14ac:dyDescent="0.3">
      <c r="A1336" s="53">
        <f>A1337-2</f>
        <v>69124</v>
      </c>
      <c r="B1336" s="54">
        <f t="shared" si="128"/>
        <v>69124</v>
      </c>
      <c r="C1336" t="s">
        <v>112</v>
      </c>
      <c r="D1336">
        <f t="shared" si="126"/>
        <v>2089</v>
      </c>
      <c r="E1336" t="s">
        <v>110</v>
      </c>
      <c r="H1336" s="53">
        <f>H1339-48</f>
        <v>70548</v>
      </c>
      <c r="I1336" s="54">
        <f t="shared" si="129"/>
        <v>70548</v>
      </c>
      <c r="J1336" t="s">
        <v>111</v>
      </c>
      <c r="K1336">
        <f t="shared" si="127"/>
        <v>2093</v>
      </c>
      <c r="L1336" t="s">
        <v>110</v>
      </c>
    </row>
    <row r="1337" spans="1:12" x14ac:dyDescent="0.3">
      <c r="A1337" s="53">
        <f>FLOOR(DAY(MINUTE(D1337/38)/2+56)&amp;"/5"&amp;"/"&amp;D1337,7)-34</f>
        <v>69126</v>
      </c>
      <c r="B1337" s="54">
        <f t="shared" si="128"/>
        <v>69126</v>
      </c>
      <c r="C1337" t="s">
        <v>113</v>
      </c>
      <c r="D1337">
        <f t="shared" si="126"/>
        <v>2089</v>
      </c>
      <c r="E1337" t="s">
        <v>110</v>
      </c>
      <c r="H1337" s="53">
        <f>H1339-47</f>
        <v>70549</v>
      </c>
      <c r="I1337" s="54">
        <f t="shared" si="129"/>
        <v>70549</v>
      </c>
      <c r="J1337" t="s">
        <v>111</v>
      </c>
      <c r="K1337">
        <f t="shared" si="127"/>
        <v>2093</v>
      </c>
      <c r="L1337" t="s">
        <v>110</v>
      </c>
    </row>
    <row r="1338" spans="1:12" x14ac:dyDescent="0.3">
      <c r="A1338" s="53">
        <f>DATE(D1338,4,14)</f>
        <v>69137</v>
      </c>
      <c r="B1338" s="54">
        <f t="shared" si="128"/>
        <v>69137</v>
      </c>
      <c r="C1338" t="s">
        <v>114</v>
      </c>
      <c r="D1338">
        <f t="shared" si="126"/>
        <v>2089</v>
      </c>
      <c r="E1338" t="s">
        <v>115</v>
      </c>
      <c r="H1338" s="53">
        <f>H1339-2</f>
        <v>70594</v>
      </c>
      <c r="I1338" s="54">
        <f t="shared" si="129"/>
        <v>70594</v>
      </c>
      <c r="J1338" t="s">
        <v>112</v>
      </c>
      <c r="K1338">
        <f t="shared" si="127"/>
        <v>2093</v>
      </c>
      <c r="L1338" t="s">
        <v>110</v>
      </c>
    </row>
    <row r="1339" spans="1:12" x14ac:dyDescent="0.3">
      <c r="A1339" s="53">
        <f>DATE(D1339,4,21)</f>
        <v>69144</v>
      </c>
      <c r="B1339" s="54">
        <f t="shared" si="128"/>
        <v>69144</v>
      </c>
      <c r="C1339" t="s">
        <v>116</v>
      </c>
      <c r="D1339">
        <f t="shared" si="126"/>
        <v>2089</v>
      </c>
      <c r="E1339" t="s">
        <v>110</v>
      </c>
      <c r="H1339" s="53">
        <f>FLOOR(DAY(MINUTE(K1339/38)/2+56)&amp;"/5"&amp;"/"&amp;K1339,7)-34</f>
        <v>70596</v>
      </c>
      <c r="I1339" s="54">
        <f t="shared" si="129"/>
        <v>70596</v>
      </c>
      <c r="J1339" t="s">
        <v>113</v>
      </c>
      <c r="K1339">
        <f t="shared" si="127"/>
        <v>2093</v>
      </c>
      <c r="L1339" t="s">
        <v>110</v>
      </c>
    </row>
    <row r="1340" spans="1:12" x14ac:dyDescent="0.3">
      <c r="A1340" s="53">
        <f>DATE(D1340,5,1)</f>
        <v>69154</v>
      </c>
      <c r="B1340" s="54">
        <f t="shared" si="128"/>
        <v>69154</v>
      </c>
      <c r="C1340" t="s">
        <v>117</v>
      </c>
      <c r="D1340">
        <f t="shared" si="126"/>
        <v>2089</v>
      </c>
      <c r="E1340" t="s">
        <v>110</v>
      </c>
      <c r="H1340" s="53">
        <f>DATE(K1340,4,21)</f>
        <v>70605</v>
      </c>
      <c r="I1340" s="54">
        <f t="shared" si="129"/>
        <v>70605</v>
      </c>
      <c r="J1340" t="s">
        <v>116</v>
      </c>
      <c r="K1340">
        <f t="shared" si="127"/>
        <v>2093</v>
      </c>
      <c r="L1340" t="s">
        <v>110</v>
      </c>
    </row>
    <row r="1341" spans="1:12" x14ac:dyDescent="0.3">
      <c r="A1341" s="53">
        <f>DATE(D1341,5,1)+(14-WEEKDAY(DATE(D1341,5,1),2))</f>
        <v>69161</v>
      </c>
      <c r="B1341" s="54">
        <f t="shared" si="128"/>
        <v>69161</v>
      </c>
      <c r="C1341" t="s">
        <v>118</v>
      </c>
      <c r="D1341">
        <f t="shared" ref="D1341:D1351" si="130">D1322+1</f>
        <v>2089</v>
      </c>
      <c r="E1341" t="s">
        <v>110</v>
      </c>
      <c r="H1341" s="53">
        <f>DATE(K1341,5,1)</f>
        <v>70615</v>
      </c>
      <c r="I1341" s="54">
        <f t="shared" si="129"/>
        <v>70615</v>
      </c>
      <c r="J1341" t="s">
        <v>117</v>
      </c>
      <c r="K1341">
        <f t="shared" si="127"/>
        <v>2093</v>
      </c>
      <c r="L1341" t="s">
        <v>110</v>
      </c>
    </row>
    <row r="1342" spans="1:12" x14ac:dyDescent="0.3">
      <c r="A1342" s="53">
        <f>A1337+60</f>
        <v>69186</v>
      </c>
      <c r="B1342" s="54">
        <f t="shared" si="128"/>
        <v>69186</v>
      </c>
      <c r="C1342" t="s">
        <v>119</v>
      </c>
      <c r="D1342">
        <f t="shared" si="130"/>
        <v>2089</v>
      </c>
      <c r="E1342" t="s">
        <v>110</v>
      </c>
      <c r="H1342" s="53">
        <f>DATE(K1342,5,1)+(14-WEEKDAY(DATE(K1342,5,1),2))</f>
        <v>70624</v>
      </c>
      <c r="I1342" s="54">
        <f t="shared" si="129"/>
        <v>70624</v>
      </c>
      <c r="J1342" t="s">
        <v>118</v>
      </c>
      <c r="K1342">
        <f t="shared" si="127"/>
        <v>2093</v>
      </c>
      <c r="L1342" t="s">
        <v>110</v>
      </c>
    </row>
    <row r="1343" spans="1:12" x14ac:dyDescent="0.3">
      <c r="A1343" s="53">
        <f>DATE(D1343,7,9)</f>
        <v>69223</v>
      </c>
      <c r="B1343" s="54">
        <f t="shared" si="128"/>
        <v>69223</v>
      </c>
      <c r="C1343" t="s">
        <v>120</v>
      </c>
      <c r="D1343">
        <f t="shared" si="130"/>
        <v>2089</v>
      </c>
      <c r="E1343" t="s">
        <v>121</v>
      </c>
      <c r="H1343" s="53">
        <f>H1339+60</f>
        <v>70656</v>
      </c>
      <c r="I1343" s="54">
        <f t="shared" si="129"/>
        <v>70656</v>
      </c>
      <c r="J1343" t="s">
        <v>119</v>
      </c>
      <c r="K1343">
        <f t="shared" si="127"/>
        <v>2093</v>
      </c>
      <c r="L1343" t="s">
        <v>110</v>
      </c>
    </row>
    <row r="1344" spans="1:12" x14ac:dyDescent="0.3">
      <c r="A1344" s="53">
        <f>DATE(D1344,8,8)</f>
        <v>69253</v>
      </c>
      <c r="B1344" s="54">
        <f t="shared" si="128"/>
        <v>69253</v>
      </c>
      <c r="C1344" t="s">
        <v>122</v>
      </c>
      <c r="D1344">
        <f t="shared" si="130"/>
        <v>2089</v>
      </c>
      <c r="E1344" t="s">
        <v>115</v>
      </c>
      <c r="H1344" s="53">
        <f>DATE(K1344,6,19)</f>
        <v>70664</v>
      </c>
      <c r="I1344" s="54">
        <f t="shared" si="129"/>
        <v>70664</v>
      </c>
      <c r="J1344" t="s">
        <v>114</v>
      </c>
      <c r="K1344">
        <f t="shared" si="127"/>
        <v>2093</v>
      </c>
      <c r="L1344" t="s">
        <v>115</v>
      </c>
    </row>
    <row r="1345" spans="1:12" x14ac:dyDescent="0.3">
      <c r="A1345" s="53">
        <f>DATE(D1345,8,1)+(14-WEEKDAY(DATE(D1345,8,1),2))</f>
        <v>69259</v>
      </c>
      <c r="B1345" s="54">
        <f t="shared" si="128"/>
        <v>69259</v>
      </c>
      <c r="C1345" t="s">
        <v>123</v>
      </c>
      <c r="D1345">
        <f t="shared" si="130"/>
        <v>2089</v>
      </c>
      <c r="E1345" t="s">
        <v>110</v>
      </c>
      <c r="H1345" s="53">
        <f>DATE(K1345,7,9)</f>
        <v>70684</v>
      </c>
      <c r="I1345" s="54">
        <f t="shared" si="129"/>
        <v>70684</v>
      </c>
      <c r="J1345" t="s">
        <v>120</v>
      </c>
      <c r="K1345">
        <f t="shared" si="127"/>
        <v>2093</v>
      </c>
      <c r="L1345" t="s">
        <v>121</v>
      </c>
    </row>
    <row r="1346" spans="1:12" x14ac:dyDescent="0.3">
      <c r="A1346" s="53">
        <f>DATE(D1346,9,7)</f>
        <v>69283</v>
      </c>
      <c r="B1346" s="54">
        <f t="shared" si="128"/>
        <v>69283</v>
      </c>
      <c r="C1346" t="s">
        <v>124</v>
      </c>
      <c r="D1346">
        <f t="shared" si="130"/>
        <v>2089</v>
      </c>
      <c r="E1346" t="s">
        <v>110</v>
      </c>
      <c r="H1346" s="53">
        <f>DATE(K1346,8,1)+(14-WEEKDAY(DATE(K1346,8,1),2))</f>
        <v>70715</v>
      </c>
      <c r="I1346" s="54">
        <f t="shared" si="129"/>
        <v>70715</v>
      </c>
      <c r="J1346" t="s">
        <v>123</v>
      </c>
      <c r="K1346">
        <f t="shared" ref="K1346:K1352" si="131">K1328+1</f>
        <v>2093</v>
      </c>
      <c r="L1346" t="s">
        <v>110</v>
      </c>
    </row>
    <row r="1347" spans="1:12" x14ac:dyDescent="0.3">
      <c r="A1347" s="53">
        <f>DATE(D1347,10,12)</f>
        <v>69318</v>
      </c>
      <c r="B1347" s="54">
        <f t="shared" ref="B1347:B1410" si="132">A1347</f>
        <v>69318</v>
      </c>
      <c r="C1347" t="s">
        <v>125</v>
      </c>
      <c r="D1347">
        <f t="shared" si="130"/>
        <v>2089</v>
      </c>
      <c r="E1347" t="s">
        <v>110</v>
      </c>
      <c r="H1347" s="53">
        <f>DATE(K1347,9,7)</f>
        <v>70744</v>
      </c>
      <c r="I1347" s="54">
        <f t="shared" si="129"/>
        <v>70744</v>
      </c>
      <c r="J1347" t="s">
        <v>124</v>
      </c>
      <c r="K1347">
        <f t="shared" si="131"/>
        <v>2093</v>
      </c>
      <c r="L1347" t="s">
        <v>110</v>
      </c>
    </row>
    <row r="1348" spans="1:12" x14ac:dyDescent="0.3">
      <c r="A1348" s="53">
        <f>DATE(D1348,11,2)</f>
        <v>69339</v>
      </c>
      <c r="B1348" s="54">
        <f t="shared" si="132"/>
        <v>69339</v>
      </c>
      <c r="C1348" t="s">
        <v>126</v>
      </c>
      <c r="D1348">
        <f t="shared" si="130"/>
        <v>2089</v>
      </c>
      <c r="E1348" t="s">
        <v>110</v>
      </c>
      <c r="H1348" s="53">
        <f>DATE(K1348,10,12)</f>
        <v>70779</v>
      </c>
      <c r="I1348" s="54">
        <f t="shared" si="129"/>
        <v>70779</v>
      </c>
      <c r="J1348" t="s">
        <v>125</v>
      </c>
      <c r="K1348">
        <f t="shared" si="131"/>
        <v>2093</v>
      </c>
      <c r="L1348" t="s">
        <v>110</v>
      </c>
    </row>
    <row r="1349" spans="1:12" x14ac:dyDescent="0.3">
      <c r="A1349" s="53">
        <f>DATE(D1349,11,15)</f>
        <v>69352</v>
      </c>
      <c r="B1349" s="54">
        <f t="shared" si="132"/>
        <v>69352</v>
      </c>
      <c r="C1349" t="s">
        <v>127</v>
      </c>
      <c r="D1349">
        <f t="shared" si="130"/>
        <v>2089</v>
      </c>
      <c r="E1349" t="s">
        <v>110</v>
      </c>
      <c r="H1349" s="53">
        <f>DATE(K1349,11,2)</f>
        <v>70800</v>
      </c>
      <c r="I1349" s="54">
        <f t="shared" si="129"/>
        <v>70800</v>
      </c>
      <c r="J1349" t="s">
        <v>126</v>
      </c>
      <c r="K1349">
        <f t="shared" si="131"/>
        <v>2093</v>
      </c>
      <c r="L1349" t="s">
        <v>110</v>
      </c>
    </row>
    <row r="1350" spans="1:12" x14ac:dyDescent="0.3">
      <c r="A1350" s="53">
        <f>DATE(D1350,11,20)</f>
        <v>69357</v>
      </c>
      <c r="B1350" s="54">
        <f t="shared" si="132"/>
        <v>69357</v>
      </c>
      <c r="C1350" t="s">
        <v>128</v>
      </c>
      <c r="D1350">
        <f t="shared" si="130"/>
        <v>2089</v>
      </c>
      <c r="E1350" t="s">
        <v>110</v>
      </c>
      <c r="H1350" s="53">
        <f>DATE(K1350,11,15)</f>
        <v>70813</v>
      </c>
      <c r="I1350" s="54">
        <f t="shared" si="129"/>
        <v>70813</v>
      </c>
      <c r="J1350" t="s">
        <v>127</v>
      </c>
      <c r="K1350">
        <f t="shared" si="131"/>
        <v>2093</v>
      </c>
      <c r="L1350" t="s">
        <v>110</v>
      </c>
    </row>
    <row r="1351" spans="1:12" x14ac:dyDescent="0.3">
      <c r="A1351" s="53">
        <f>DATE(D1351,12,25)</f>
        <v>69392</v>
      </c>
      <c r="B1351" s="54">
        <f t="shared" si="132"/>
        <v>69392</v>
      </c>
      <c r="C1351" t="s">
        <v>129</v>
      </c>
      <c r="D1351">
        <f t="shared" si="130"/>
        <v>2089</v>
      </c>
      <c r="E1351" t="s">
        <v>110</v>
      </c>
      <c r="H1351" s="53">
        <f>DATE(K1351,11,20)</f>
        <v>70818</v>
      </c>
      <c r="I1351" s="54">
        <f t="shared" si="129"/>
        <v>70818</v>
      </c>
      <c r="J1351" t="s">
        <v>128</v>
      </c>
      <c r="K1351">
        <f t="shared" si="131"/>
        <v>2093</v>
      </c>
      <c r="L1351" t="s">
        <v>110</v>
      </c>
    </row>
    <row r="1352" spans="1:12" x14ac:dyDescent="0.3">
      <c r="A1352" s="53">
        <f>DATE(D1352,1,1)</f>
        <v>69399</v>
      </c>
      <c r="B1352" s="54">
        <f t="shared" si="132"/>
        <v>69399</v>
      </c>
      <c r="C1352" t="s">
        <v>109</v>
      </c>
      <c r="D1352">
        <f>D1333+1</f>
        <v>2090</v>
      </c>
      <c r="E1352" t="s">
        <v>110</v>
      </c>
      <c r="H1352" s="53">
        <f>DATE(K1352,12,25)</f>
        <v>70853</v>
      </c>
      <c r="I1352" s="54">
        <f t="shared" ref="I1352:I1415" si="133">H1352</f>
        <v>70853</v>
      </c>
      <c r="J1352" t="s">
        <v>129</v>
      </c>
      <c r="K1352">
        <f t="shared" si="131"/>
        <v>2093</v>
      </c>
      <c r="L1352" t="s">
        <v>110</v>
      </c>
    </row>
    <row r="1353" spans="1:12" x14ac:dyDescent="0.3">
      <c r="A1353" s="53">
        <f>A1356-48</f>
        <v>69456</v>
      </c>
      <c r="B1353" s="54">
        <f t="shared" si="132"/>
        <v>69456</v>
      </c>
      <c r="C1353" t="s">
        <v>111</v>
      </c>
      <c r="D1353">
        <f t="shared" ref="D1353:D1370" si="134">D1334+1</f>
        <v>2090</v>
      </c>
      <c r="E1353" t="s">
        <v>110</v>
      </c>
      <c r="H1353" s="53">
        <f>DATE(K1353,1,1)</f>
        <v>70860</v>
      </c>
      <c r="I1353" s="54">
        <f t="shared" si="133"/>
        <v>70860</v>
      </c>
      <c r="J1353" t="s">
        <v>109</v>
      </c>
      <c r="K1353">
        <f>K1335+1</f>
        <v>2094</v>
      </c>
      <c r="L1353" t="s">
        <v>110</v>
      </c>
    </row>
    <row r="1354" spans="1:12" x14ac:dyDescent="0.3">
      <c r="A1354" s="53">
        <f>A1356-47</f>
        <v>69457</v>
      </c>
      <c r="B1354" s="54">
        <f t="shared" si="132"/>
        <v>69457</v>
      </c>
      <c r="C1354" t="s">
        <v>111</v>
      </c>
      <c r="D1354">
        <f t="shared" si="134"/>
        <v>2090</v>
      </c>
      <c r="E1354" t="s">
        <v>110</v>
      </c>
      <c r="H1354" s="53">
        <f>H1357-48</f>
        <v>70905</v>
      </c>
      <c r="I1354" s="54">
        <f t="shared" si="133"/>
        <v>70905</v>
      </c>
      <c r="J1354" t="s">
        <v>111</v>
      </c>
      <c r="K1354">
        <f t="shared" ref="K1354:K1370" si="135">K1336+1</f>
        <v>2094</v>
      </c>
      <c r="L1354" t="s">
        <v>110</v>
      </c>
    </row>
    <row r="1355" spans="1:12" x14ac:dyDescent="0.3">
      <c r="A1355" s="53">
        <f>A1356-2</f>
        <v>69502</v>
      </c>
      <c r="B1355" s="54">
        <f t="shared" si="132"/>
        <v>69502</v>
      </c>
      <c r="C1355" t="s">
        <v>112</v>
      </c>
      <c r="D1355">
        <f t="shared" si="134"/>
        <v>2090</v>
      </c>
      <c r="E1355" t="s">
        <v>110</v>
      </c>
      <c r="H1355" s="53">
        <f>H1357-47</f>
        <v>70906</v>
      </c>
      <c r="I1355" s="54">
        <f t="shared" si="133"/>
        <v>70906</v>
      </c>
      <c r="J1355" t="s">
        <v>111</v>
      </c>
      <c r="K1355">
        <f t="shared" si="135"/>
        <v>2094</v>
      </c>
      <c r="L1355" t="s">
        <v>110</v>
      </c>
    </row>
    <row r="1356" spans="1:12" x14ac:dyDescent="0.3">
      <c r="A1356" s="53">
        <f>FLOOR(DAY(MINUTE(D1356/38)/2+56)&amp;"/5"&amp;"/"&amp;D1356,7)-34</f>
        <v>69504</v>
      </c>
      <c r="B1356" s="54">
        <f t="shared" si="132"/>
        <v>69504</v>
      </c>
      <c r="C1356" t="s">
        <v>113</v>
      </c>
      <c r="D1356">
        <f t="shared" si="134"/>
        <v>2090</v>
      </c>
      <c r="E1356" t="s">
        <v>110</v>
      </c>
      <c r="H1356" s="53">
        <f>H1357-2</f>
        <v>70951</v>
      </c>
      <c r="I1356" s="54">
        <f t="shared" si="133"/>
        <v>70951</v>
      </c>
      <c r="J1356" t="s">
        <v>112</v>
      </c>
      <c r="K1356">
        <f t="shared" si="135"/>
        <v>2094</v>
      </c>
      <c r="L1356" t="s">
        <v>110</v>
      </c>
    </row>
    <row r="1357" spans="1:12" x14ac:dyDescent="0.3">
      <c r="A1357" s="53">
        <f>DATE(D1357,4,14)</f>
        <v>69502</v>
      </c>
      <c r="B1357" s="54">
        <f t="shared" si="132"/>
        <v>69502</v>
      </c>
      <c r="C1357" t="s">
        <v>114</v>
      </c>
      <c r="D1357">
        <f t="shared" si="134"/>
        <v>2090</v>
      </c>
      <c r="E1357" t="s">
        <v>115</v>
      </c>
      <c r="H1357" s="53">
        <f>FLOOR(DAY(MINUTE(K1357/38)/2+56)&amp;"/5"&amp;"/"&amp;K1357,7)-34</f>
        <v>70953</v>
      </c>
      <c r="I1357" s="54">
        <f t="shared" si="133"/>
        <v>70953</v>
      </c>
      <c r="J1357" t="s">
        <v>113</v>
      </c>
      <c r="K1357">
        <f t="shared" si="135"/>
        <v>2094</v>
      </c>
      <c r="L1357" t="s">
        <v>110</v>
      </c>
    </row>
    <row r="1358" spans="1:12" x14ac:dyDescent="0.3">
      <c r="A1358" s="53">
        <f>DATE(D1358,4,21)</f>
        <v>69509</v>
      </c>
      <c r="B1358" s="54">
        <f t="shared" si="132"/>
        <v>69509</v>
      </c>
      <c r="C1358" t="s">
        <v>116</v>
      </c>
      <c r="D1358">
        <f t="shared" si="134"/>
        <v>2090</v>
      </c>
      <c r="E1358" t="s">
        <v>110</v>
      </c>
      <c r="H1358" s="53">
        <f>DATE(K1358,4,21)</f>
        <v>70970</v>
      </c>
      <c r="I1358" s="54">
        <f t="shared" si="133"/>
        <v>70970</v>
      </c>
      <c r="J1358" t="s">
        <v>116</v>
      </c>
      <c r="K1358">
        <f t="shared" si="135"/>
        <v>2094</v>
      </c>
      <c r="L1358" t="s">
        <v>110</v>
      </c>
    </row>
    <row r="1359" spans="1:12" x14ac:dyDescent="0.3">
      <c r="A1359" s="53">
        <f>DATE(D1359,5,1)</f>
        <v>69519</v>
      </c>
      <c r="B1359" s="54">
        <f t="shared" si="132"/>
        <v>69519</v>
      </c>
      <c r="C1359" t="s">
        <v>117</v>
      </c>
      <c r="D1359">
        <f t="shared" si="134"/>
        <v>2090</v>
      </c>
      <c r="E1359" t="s">
        <v>110</v>
      </c>
      <c r="H1359" s="53">
        <f>DATE(K1359,5,1)</f>
        <v>70980</v>
      </c>
      <c r="I1359" s="54">
        <f t="shared" si="133"/>
        <v>70980</v>
      </c>
      <c r="J1359" t="s">
        <v>117</v>
      </c>
      <c r="K1359">
        <f t="shared" si="135"/>
        <v>2094</v>
      </c>
      <c r="L1359" t="s">
        <v>110</v>
      </c>
    </row>
    <row r="1360" spans="1:12" x14ac:dyDescent="0.3">
      <c r="A1360" s="53">
        <f>DATE(D1360,5,1)+(14-WEEKDAY(DATE(D1360,5,1),2))</f>
        <v>69532</v>
      </c>
      <c r="B1360" s="54">
        <f t="shared" si="132"/>
        <v>69532</v>
      </c>
      <c r="C1360" t="s">
        <v>118</v>
      </c>
      <c r="D1360">
        <f t="shared" si="134"/>
        <v>2090</v>
      </c>
      <c r="E1360" t="s">
        <v>110</v>
      </c>
      <c r="H1360" s="53">
        <f>DATE(K1360,5,1)+(14-WEEKDAY(DATE(K1360,5,1),2))</f>
        <v>70988</v>
      </c>
      <c r="I1360" s="54">
        <f t="shared" si="133"/>
        <v>70988</v>
      </c>
      <c r="J1360" t="s">
        <v>118</v>
      </c>
      <c r="K1360">
        <f t="shared" si="135"/>
        <v>2094</v>
      </c>
      <c r="L1360" t="s">
        <v>110</v>
      </c>
    </row>
    <row r="1361" spans="1:12" x14ac:dyDescent="0.3">
      <c r="A1361" s="53">
        <f>A1356+60</f>
        <v>69564</v>
      </c>
      <c r="B1361" s="54">
        <f t="shared" si="132"/>
        <v>69564</v>
      </c>
      <c r="C1361" t="s">
        <v>119</v>
      </c>
      <c r="D1361">
        <f t="shared" si="134"/>
        <v>2090</v>
      </c>
      <c r="E1361" t="s">
        <v>110</v>
      </c>
      <c r="H1361" s="53">
        <f>H1357+60</f>
        <v>71013</v>
      </c>
      <c r="I1361" s="54">
        <f t="shared" si="133"/>
        <v>71013</v>
      </c>
      <c r="J1361" t="s">
        <v>119</v>
      </c>
      <c r="K1361">
        <f t="shared" si="135"/>
        <v>2094</v>
      </c>
      <c r="L1361" t="s">
        <v>110</v>
      </c>
    </row>
    <row r="1362" spans="1:12" x14ac:dyDescent="0.3">
      <c r="A1362" s="53">
        <f>DATE(D1362,7,9)</f>
        <v>69588</v>
      </c>
      <c r="B1362" s="54">
        <f t="shared" si="132"/>
        <v>69588</v>
      </c>
      <c r="C1362" t="s">
        <v>120</v>
      </c>
      <c r="D1362">
        <f t="shared" si="134"/>
        <v>2090</v>
      </c>
      <c r="E1362" t="s">
        <v>121</v>
      </c>
      <c r="H1362" s="53">
        <f>DATE(K1362,6,19)</f>
        <v>71029</v>
      </c>
      <c r="I1362" s="54">
        <f t="shared" si="133"/>
        <v>71029</v>
      </c>
      <c r="J1362" t="s">
        <v>114</v>
      </c>
      <c r="K1362">
        <f t="shared" si="135"/>
        <v>2094</v>
      </c>
      <c r="L1362" t="s">
        <v>115</v>
      </c>
    </row>
    <row r="1363" spans="1:12" x14ac:dyDescent="0.3">
      <c r="A1363" s="53">
        <f>DATE(D1363,8,8)</f>
        <v>69618</v>
      </c>
      <c r="B1363" s="54">
        <f t="shared" si="132"/>
        <v>69618</v>
      </c>
      <c r="C1363" t="s">
        <v>122</v>
      </c>
      <c r="D1363">
        <f t="shared" si="134"/>
        <v>2090</v>
      </c>
      <c r="E1363" t="s">
        <v>115</v>
      </c>
      <c r="H1363" s="53">
        <f>DATE(K1363,7,9)</f>
        <v>71049</v>
      </c>
      <c r="I1363" s="54">
        <f t="shared" si="133"/>
        <v>71049</v>
      </c>
      <c r="J1363" t="s">
        <v>120</v>
      </c>
      <c r="K1363">
        <f t="shared" si="135"/>
        <v>2094</v>
      </c>
      <c r="L1363" t="s">
        <v>121</v>
      </c>
    </row>
    <row r="1364" spans="1:12" x14ac:dyDescent="0.3">
      <c r="A1364" s="53">
        <f>DATE(D1364,8,1)+(14-WEEKDAY(DATE(D1364,8,1),2))</f>
        <v>69623</v>
      </c>
      <c r="B1364" s="54">
        <f t="shared" si="132"/>
        <v>69623</v>
      </c>
      <c r="C1364" t="s">
        <v>123</v>
      </c>
      <c r="D1364">
        <f t="shared" si="134"/>
        <v>2090</v>
      </c>
      <c r="E1364" t="s">
        <v>110</v>
      </c>
      <c r="H1364" s="53">
        <f>DATE(K1364,8,1)+(14-WEEKDAY(DATE(K1364,8,1),2))</f>
        <v>71079</v>
      </c>
      <c r="I1364" s="54">
        <f t="shared" si="133"/>
        <v>71079</v>
      </c>
      <c r="J1364" t="s">
        <v>123</v>
      </c>
      <c r="K1364">
        <f t="shared" si="135"/>
        <v>2094</v>
      </c>
      <c r="L1364" t="s">
        <v>110</v>
      </c>
    </row>
    <row r="1365" spans="1:12" x14ac:dyDescent="0.3">
      <c r="A1365" s="53">
        <f>DATE(D1365,9,7)</f>
        <v>69648</v>
      </c>
      <c r="B1365" s="54">
        <f t="shared" si="132"/>
        <v>69648</v>
      </c>
      <c r="C1365" t="s">
        <v>124</v>
      </c>
      <c r="D1365">
        <f t="shared" si="134"/>
        <v>2090</v>
      </c>
      <c r="E1365" t="s">
        <v>110</v>
      </c>
      <c r="H1365" s="53">
        <f>DATE(K1365,9,7)</f>
        <v>71109</v>
      </c>
      <c r="I1365" s="54">
        <f t="shared" si="133"/>
        <v>71109</v>
      </c>
      <c r="J1365" t="s">
        <v>124</v>
      </c>
      <c r="K1365">
        <f t="shared" si="135"/>
        <v>2094</v>
      </c>
      <c r="L1365" t="s">
        <v>110</v>
      </c>
    </row>
    <row r="1366" spans="1:12" x14ac:dyDescent="0.3">
      <c r="A1366" s="53">
        <f>DATE(D1366,10,12)</f>
        <v>69683</v>
      </c>
      <c r="B1366" s="54">
        <f t="shared" si="132"/>
        <v>69683</v>
      </c>
      <c r="C1366" t="s">
        <v>125</v>
      </c>
      <c r="D1366">
        <f t="shared" si="134"/>
        <v>2090</v>
      </c>
      <c r="E1366" t="s">
        <v>110</v>
      </c>
      <c r="H1366" s="53">
        <f>DATE(K1366,10,12)</f>
        <v>71144</v>
      </c>
      <c r="I1366" s="54">
        <f t="shared" si="133"/>
        <v>71144</v>
      </c>
      <c r="J1366" t="s">
        <v>125</v>
      </c>
      <c r="K1366">
        <f t="shared" si="135"/>
        <v>2094</v>
      </c>
      <c r="L1366" t="s">
        <v>110</v>
      </c>
    </row>
    <row r="1367" spans="1:12" x14ac:dyDescent="0.3">
      <c r="A1367" s="53">
        <f>DATE(D1367,11,2)</f>
        <v>69704</v>
      </c>
      <c r="B1367" s="54">
        <f t="shared" si="132"/>
        <v>69704</v>
      </c>
      <c r="C1367" t="s">
        <v>126</v>
      </c>
      <c r="D1367">
        <f t="shared" si="134"/>
        <v>2090</v>
      </c>
      <c r="E1367" t="s">
        <v>110</v>
      </c>
      <c r="H1367" s="53">
        <f>DATE(K1367,11,2)</f>
        <v>71165</v>
      </c>
      <c r="I1367" s="54">
        <f t="shared" si="133"/>
        <v>71165</v>
      </c>
      <c r="J1367" t="s">
        <v>126</v>
      </c>
      <c r="K1367">
        <f t="shared" si="135"/>
        <v>2094</v>
      </c>
      <c r="L1367" t="s">
        <v>110</v>
      </c>
    </row>
    <row r="1368" spans="1:12" x14ac:dyDescent="0.3">
      <c r="A1368" s="53">
        <f>DATE(D1368,11,15)</f>
        <v>69717</v>
      </c>
      <c r="B1368" s="54">
        <f t="shared" si="132"/>
        <v>69717</v>
      </c>
      <c r="C1368" t="s">
        <v>127</v>
      </c>
      <c r="D1368">
        <f t="shared" si="134"/>
        <v>2090</v>
      </c>
      <c r="E1368" t="s">
        <v>110</v>
      </c>
      <c r="H1368" s="53">
        <f>DATE(K1368,11,15)</f>
        <v>71178</v>
      </c>
      <c r="I1368" s="54">
        <f t="shared" si="133"/>
        <v>71178</v>
      </c>
      <c r="J1368" t="s">
        <v>127</v>
      </c>
      <c r="K1368">
        <f t="shared" si="135"/>
        <v>2094</v>
      </c>
      <c r="L1368" t="s">
        <v>110</v>
      </c>
    </row>
    <row r="1369" spans="1:12" x14ac:dyDescent="0.3">
      <c r="A1369" s="53">
        <f>DATE(D1369,11,20)</f>
        <v>69722</v>
      </c>
      <c r="B1369" s="54">
        <f t="shared" si="132"/>
        <v>69722</v>
      </c>
      <c r="C1369" t="s">
        <v>128</v>
      </c>
      <c r="D1369">
        <f t="shared" si="134"/>
        <v>2090</v>
      </c>
      <c r="E1369" t="s">
        <v>110</v>
      </c>
      <c r="H1369" s="53">
        <f>DATE(K1369,11,20)</f>
        <v>71183</v>
      </c>
      <c r="I1369" s="54">
        <f t="shared" si="133"/>
        <v>71183</v>
      </c>
      <c r="J1369" t="s">
        <v>128</v>
      </c>
      <c r="K1369">
        <f t="shared" si="135"/>
        <v>2094</v>
      </c>
      <c r="L1369" t="s">
        <v>110</v>
      </c>
    </row>
    <row r="1370" spans="1:12" x14ac:dyDescent="0.3">
      <c r="A1370" s="53">
        <f>DATE(D1370,12,25)</f>
        <v>69757</v>
      </c>
      <c r="B1370" s="54">
        <f t="shared" si="132"/>
        <v>69757</v>
      </c>
      <c r="C1370" t="s">
        <v>129</v>
      </c>
      <c r="D1370">
        <f t="shared" si="134"/>
        <v>2090</v>
      </c>
      <c r="E1370" t="s">
        <v>110</v>
      </c>
      <c r="H1370" s="53">
        <f>DATE(K1370,12,25)</f>
        <v>71218</v>
      </c>
      <c r="I1370" s="54">
        <f t="shared" si="133"/>
        <v>71218</v>
      </c>
      <c r="J1370" t="s">
        <v>129</v>
      </c>
      <c r="K1370">
        <f t="shared" si="135"/>
        <v>2094</v>
      </c>
      <c r="L1370" t="s">
        <v>110</v>
      </c>
    </row>
    <row r="1371" spans="1:12" x14ac:dyDescent="0.3">
      <c r="A1371" s="53">
        <f>DATE(D1371,1,1)</f>
        <v>69764</v>
      </c>
      <c r="B1371" s="54">
        <f t="shared" si="132"/>
        <v>69764</v>
      </c>
      <c r="C1371" t="s">
        <v>109</v>
      </c>
      <c r="D1371">
        <f>D1352+1</f>
        <v>2091</v>
      </c>
      <c r="E1371" t="s">
        <v>110</v>
      </c>
      <c r="H1371" s="53">
        <f>DATE(K1371,1,1)</f>
        <v>71225</v>
      </c>
      <c r="I1371" s="54">
        <f t="shared" si="133"/>
        <v>71225</v>
      </c>
      <c r="J1371" t="s">
        <v>109</v>
      </c>
      <c r="K1371">
        <f>K1353+1</f>
        <v>2095</v>
      </c>
      <c r="L1371" t="s">
        <v>110</v>
      </c>
    </row>
    <row r="1372" spans="1:12" x14ac:dyDescent="0.3">
      <c r="A1372" s="53">
        <f>A1375-48</f>
        <v>69813</v>
      </c>
      <c r="B1372" s="54">
        <f t="shared" si="132"/>
        <v>69813</v>
      </c>
      <c r="C1372" t="s">
        <v>111</v>
      </c>
      <c r="D1372">
        <f t="shared" ref="D1372:D1389" si="136">D1353+1</f>
        <v>2091</v>
      </c>
      <c r="E1372" t="s">
        <v>110</v>
      </c>
      <c r="H1372" s="53">
        <f>H1375-48</f>
        <v>71290</v>
      </c>
      <c r="I1372" s="54">
        <f t="shared" si="133"/>
        <v>71290</v>
      </c>
      <c r="J1372" t="s">
        <v>111</v>
      </c>
      <c r="K1372">
        <f t="shared" ref="K1372:K1435" si="137">K1354+1</f>
        <v>2095</v>
      </c>
      <c r="L1372" t="s">
        <v>110</v>
      </c>
    </row>
    <row r="1373" spans="1:12" x14ac:dyDescent="0.3">
      <c r="A1373" s="53">
        <f>A1375-47</f>
        <v>69814</v>
      </c>
      <c r="B1373" s="54">
        <f t="shared" si="132"/>
        <v>69814</v>
      </c>
      <c r="C1373" t="s">
        <v>111</v>
      </c>
      <c r="D1373">
        <f t="shared" si="136"/>
        <v>2091</v>
      </c>
      <c r="E1373" t="s">
        <v>110</v>
      </c>
      <c r="H1373" s="53">
        <f>H1375-47</f>
        <v>71291</v>
      </c>
      <c r="I1373" s="54">
        <f t="shared" si="133"/>
        <v>71291</v>
      </c>
      <c r="J1373" t="s">
        <v>111</v>
      </c>
      <c r="K1373">
        <f t="shared" si="137"/>
        <v>2095</v>
      </c>
      <c r="L1373" t="s">
        <v>110</v>
      </c>
    </row>
    <row r="1374" spans="1:12" x14ac:dyDescent="0.3">
      <c r="A1374" s="53">
        <f>A1375-2</f>
        <v>69859</v>
      </c>
      <c r="B1374" s="54">
        <f t="shared" si="132"/>
        <v>69859</v>
      </c>
      <c r="C1374" t="s">
        <v>112</v>
      </c>
      <c r="D1374">
        <f t="shared" si="136"/>
        <v>2091</v>
      </c>
      <c r="E1374" t="s">
        <v>110</v>
      </c>
      <c r="H1374" s="53">
        <f>H1375-2</f>
        <v>71336</v>
      </c>
      <c r="I1374" s="54">
        <f t="shared" si="133"/>
        <v>71336</v>
      </c>
      <c r="J1374" t="s">
        <v>112</v>
      </c>
      <c r="K1374">
        <f t="shared" si="137"/>
        <v>2095</v>
      </c>
      <c r="L1374" t="s">
        <v>110</v>
      </c>
    </row>
    <row r="1375" spans="1:12" x14ac:dyDescent="0.3">
      <c r="A1375" s="53">
        <f>FLOOR(DAY(MINUTE(D1375/38)/2+56)&amp;"/5"&amp;"/"&amp;D1375,7)-34</f>
        <v>69861</v>
      </c>
      <c r="B1375" s="54">
        <f t="shared" si="132"/>
        <v>69861</v>
      </c>
      <c r="C1375" t="s">
        <v>113</v>
      </c>
      <c r="D1375">
        <f t="shared" si="136"/>
        <v>2091</v>
      </c>
      <c r="E1375" t="s">
        <v>110</v>
      </c>
      <c r="H1375" s="53">
        <f>FLOOR(DAY(MINUTE(K1375/38)/2+56)&amp;"/5"&amp;"/"&amp;K1375,7)-34</f>
        <v>71338</v>
      </c>
      <c r="I1375" s="54">
        <f t="shared" si="133"/>
        <v>71338</v>
      </c>
      <c r="J1375" t="s">
        <v>113</v>
      </c>
      <c r="K1375">
        <f t="shared" si="137"/>
        <v>2095</v>
      </c>
      <c r="L1375" t="s">
        <v>110</v>
      </c>
    </row>
    <row r="1376" spans="1:12" x14ac:dyDescent="0.3">
      <c r="A1376" s="53">
        <f>DATE(D1376,4,14)</f>
        <v>69867</v>
      </c>
      <c r="B1376" s="54">
        <f t="shared" si="132"/>
        <v>69867</v>
      </c>
      <c r="C1376" t="s">
        <v>114</v>
      </c>
      <c r="D1376">
        <f t="shared" si="136"/>
        <v>2091</v>
      </c>
      <c r="E1376" t="s">
        <v>115</v>
      </c>
      <c r="H1376" s="53">
        <f>DATE(K1376,4,21)</f>
        <v>71335</v>
      </c>
      <c r="I1376" s="54">
        <f t="shared" si="133"/>
        <v>71335</v>
      </c>
      <c r="J1376" t="s">
        <v>116</v>
      </c>
      <c r="K1376">
        <f t="shared" si="137"/>
        <v>2095</v>
      </c>
      <c r="L1376" t="s">
        <v>110</v>
      </c>
    </row>
    <row r="1377" spans="1:12" x14ac:dyDescent="0.3">
      <c r="A1377" s="53">
        <f>DATE(D1377,4,21)</f>
        <v>69874</v>
      </c>
      <c r="B1377" s="54">
        <f t="shared" si="132"/>
        <v>69874</v>
      </c>
      <c r="C1377" t="s">
        <v>116</v>
      </c>
      <c r="D1377">
        <f t="shared" si="136"/>
        <v>2091</v>
      </c>
      <c r="E1377" t="s">
        <v>110</v>
      </c>
      <c r="H1377" s="53">
        <f>DATE(K1377,5,1)</f>
        <v>71345</v>
      </c>
      <c r="I1377" s="54">
        <f t="shared" si="133"/>
        <v>71345</v>
      </c>
      <c r="J1377" t="s">
        <v>117</v>
      </c>
      <c r="K1377">
        <f t="shared" si="137"/>
        <v>2095</v>
      </c>
      <c r="L1377" t="s">
        <v>110</v>
      </c>
    </row>
    <row r="1378" spans="1:12" x14ac:dyDescent="0.3">
      <c r="A1378" s="53">
        <f>DATE(D1378,5,1)</f>
        <v>69884</v>
      </c>
      <c r="B1378" s="54">
        <f t="shared" si="132"/>
        <v>69884</v>
      </c>
      <c r="C1378" t="s">
        <v>117</v>
      </c>
      <c r="D1378">
        <f t="shared" si="136"/>
        <v>2091</v>
      </c>
      <c r="E1378" t="s">
        <v>110</v>
      </c>
      <c r="H1378" s="53">
        <f>DATE(K1378,5,1)+(14-WEEKDAY(DATE(K1378,5,1),2))</f>
        <v>71352</v>
      </c>
      <c r="I1378" s="54">
        <f t="shared" si="133"/>
        <v>71352</v>
      </c>
      <c r="J1378" t="s">
        <v>118</v>
      </c>
      <c r="K1378">
        <f t="shared" si="137"/>
        <v>2095</v>
      </c>
      <c r="L1378" t="s">
        <v>110</v>
      </c>
    </row>
    <row r="1379" spans="1:12" x14ac:dyDescent="0.3">
      <c r="A1379" s="53">
        <f>DATE(D1379,5,1)+(14-WEEKDAY(DATE(D1379,5,1),2))</f>
        <v>69896</v>
      </c>
      <c r="B1379" s="54">
        <f t="shared" si="132"/>
        <v>69896</v>
      </c>
      <c r="C1379" t="s">
        <v>118</v>
      </c>
      <c r="D1379">
        <f t="shared" si="136"/>
        <v>2091</v>
      </c>
      <c r="E1379" t="s">
        <v>110</v>
      </c>
      <c r="H1379" s="53">
        <f>H1375+60</f>
        <v>71398</v>
      </c>
      <c r="I1379" s="54">
        <f t="shared" si="133"/>
        <v>71398</v>
      </c>
      <c r="J1379" t="s">
        <v>119</v>
      </c>
      <c r="K1379">
        <f t="shared" si="137"/>
        <v>2095</v>
      </c>
      <c r="L1379" t="s">
        <v>110</v>
      </c>
    </row>
    <row r="1380" spans="1:12" x14ac:dyDescent="0.3">
      <c r="A1380" s="53">
        <f>A1375+60</f>
        <v>69921</v>
      </c>
      <c r="B1380" s="54">
        <f t="shared" si="132"/>
        <v>69921</v>
      </c>
      <c r="C1380" t="s">
        <v>119</v>
      </c>
      <c r="D1380">
        <f t="shared" si="136"/>
        <v>2091</v>
      </c>
      <c r="E1380" t="s">
        <v>110</v>
      </c>
      <c r="H1380" s="53">
        <f>DATE(K1380,6,19)</f>
        <v>71394</v>
      </c>
      <c r="I1380" s="54">
        <f t="shared" si="133"/>
        <v>71394</v>
      </c>
      <c r="J1380" t="s">
        <v>114</v>
      </c>
      <c r="K1380">
        <f t="shared" si="137"/>
        <v>2095</v>
      </c>
      <c r="L1380" t="s">
        <v>115</v>
      </c>
    </row>
    <row r="1381" spans="1:12" x14ac:dyDescent="0.3">
      <c r="A1381" s="53">
        <f>DATE(D1381,7,9)</f>
        <v>69953</v>
      </c>
      <c r="B1381" s="54">
        <f t="shared" si="132"/>
        <v>69953</v>
      </c>
      <c r="C1381" t="s">
        <v>120</v>
      </c>
      <c r="D1381">
        <f t="shared" si="136"/>
        <v>2091</v>
      </c>
      <c r="E1381" t="s">
        <v>121</v>
      </c>
      <c r="H1381" s="53">
        <f>DATE(K1381,7,9)</f>
        <v>71414</v>
      </c>
      <c r="I1381" s="54">
        <f t="shared" si="133"/>
        <v>71414</v>
      </c>
      <c r="J1381" t="s">
        <v>120</v>
      </c>
      <c r="K1381">
        <f t="shared" si="137"/>
        <v>2095</v>
      </c>
      <c r="L1381" t="s">
        <v>121</v>
      </c>
    </row>
    <row r="1382" spans="1:12" x14ac:dyDescent="0.3">
      <c r="A1382" s="53">
        <f>DATE(D1382,8,8)</f>
        <v>69983</v>
      </c>
      <c r="B1382" s="54">
        <f t="shared" si="132"/>
        <v>69983</v>
      </c>
      <c r="C1382" t="s">
        <v>122</v>
      </c>
      <c r="D1382">
        <f t="shared" si="136"/>
        <v>2091</v>
      </c>
      <c r="E1382" t="s">
        <v>115</v>
      </c>
      <c r="H1382" s="53">
        <f>DATE(K1382,8,1)+(14-WEEKDAY(DATE(K1382,8,1),2))</f>
        <v>71450</v>
      </c>
      <c r="I1382" s="54">
        <f t="shared" si="133"/>
        <v>71450</v>
      </c>
      <c r="J1382" t="s">
        <v>123</v>
      </c>
      <c r="K1382">
        <f t="shared" si="137"/>
        <v>2095</v>
      </c>
      <c r="L1382" t="s">
        <v>110</v>
      </c>
    </row>
    <row r="1383" spans="1:12" x14ac:dyDescent="0.3">
      <c r="A1383" s="53">
        <f>DATE(D1383,8,1)+(14-WEEKDAY(DATE(D1383,8,1),2))</f>
        <v>69987</v>
      </c>
      <c r="B1383" s="54">
        <f t="shared" si="132"/>
        <v>69987</v>
      </c>
      <c r="C1383" t="s">
        <v>123</v>
      </c>
      <c r="D1383">
        <f t="shared" si="136"/>
        <v>2091</v>
      </c>
      <c r="E1383" t="s">
        <v>110</v>
      </c>
      <c r="H1383" s="53">
        <f>DATE(K1383,9,7)</f>
        <v>71474</v>
      </c>
      <c r="I1383" s="54">
        <f t="shared" si="133"/>
        <v>71474</v>
      </c>
      <c r="J1383" t="s">
        <v>124</v>
      </c>
      <c r="K1383">
        <f t="shared" si="137"/>
        <v>2095</v>
      </c>
      <c r="L1383" t="s">
        <v>110</v>
      </c>
    </row>
    <row r="1384" spans="1:12" x14ac:dyDescent="0.3">
      <c r="A1384" s="53">
        <f>DATE(D1384,9,7)</f>
        <v>70013</v>
      </c>
      <c r="B1384" s="54">
        <f t="shared" si="132"/>
        <v>70013</v>
      </c>
      <c r="C1384" t="s">
        <v>124</v>
      </c>
      <c r="D1384">
        <f t="shared" si="136"/>
        <v>2091</v>
      </c>
      <c r="E1384" t="s">
        <v>110</v>
      </c>
      <c r="H1384" s="53">
        <f>DATE(K1384,10,12)</f>
        <v>71509</v>
      </c>
      <c r="I1384" s="54">
        <f t="shared" si="133"/>
        <v>71509</v>
      </c>
      <c r="J1384" t="s">
        <v>125</v>
      </c>
      <c r="K1384">
        <f t="shared" si="137"/>
        <v>2095</v>
      </c>
      <c r="L1384" t="s">
        <v>110</v>
      </c>
    </row>
    <row r="1385" spans="1:12" x14ac:dyDescent="0.3">
      <c r="A1385" s="53">
        <f>DATE(D1385,10,12)</f>
        <v>70048</v>
      </c>
      <c r="B1385" s="54">
        <f t="shared" si="132"/>
        <v>70048</v>
      </c>
      <c r="C1385" t="s">
        <v>125</v>
      </c>
      <c r="D1385">
        <f t="shared" si="136"/>
        <v>2091</v>
      </c>
      <c r="E1385" t="s">
        <v>110</v>
      </c>
      <c r="H1385" s="53">
        <f>DATE(K1385,11,2)</f>
        <v>71530</v>
      </c>
      <c r="I1385" s="54">
        <f t="shared" si="133"/>
        <v>71530</v>
      </c>
      <c r="J1385" t="s">
        <v>126</v>
      </c>
      <c r="K1385">
        <f t="shared" si="137"/>
        <v>2095</v>
      </c>
      <c r="L1385" t="s">
        <v>110</v>
      </c>
    </row>
    <row r="1386" spans="1:12" x14ac:dyDescent="0.3">
      <c r="A1386" s="53">
        <f>DATE(D1386,11,2)</f>
        <v>70069</v>
      </c>
      <c r="B1386" s="54">
        <f t="shared" si="132"/>
        <v>70069</v>
      </c>
      <c r="C1386" t="s">
        <v>126</v>
      </c>
      <c r="D1386">
        <f t="shared" si="136"/>
        <v>2091</v>
      </c>
      <c r="E1386" t="s">
        <v>110</v>
      </c>
      <c r="H1386" s="53">
        <f>DATE(K1386,11,15)</f>
        <v>71543</v>
      </c>
      <c r="I1386" s="54">
        <f t="shared" si="133"/>
        <v>71543</v>
      </c>
      <c r="J1386" t="s">
        <v>127</v>
      </c>
      <c r="K1386">
        <f t="shared" si="137"/>
        <v>2095</v>
      </c>
      <c r="L1386" t="s">
        <v>110</v>
      </c>
    </row>
    <row r="1387" spans="1:12" x14ac:dyDescent="0.3">
      <c r="A1387" s="53">
        <f>DATE(D1387,11,15)</f>
        <v>70082</v>
      </c>
      <c r="B1387" s="54">
        <f t="shared" si="132"/>
        <v>70082</v>
      </c>
      <c r="C1387" t="s">
        <v>127</v>
      </c>
      <c r="D1387">
        <f t="shared" si="136"/>
        <v>2091</v>
      </c>
      <c r="E1387" t="s">
        <v>110</v>
      </c>
      <c r="H1387" s="53">
        <f>DATE(K1387,11,20)</f>
        <v>71548</v>
      </c>
      <c r="I1387" s="54">
        <f t="shared" si="133"/>
        <v>71548</v>
      </c>
      <c r="J1387" t="s">
        <v>128</v>
      </c>
      <c r="K1387">
        <f t="shared" si="137"/>
        <v>2095</v>
      </c>
      <c r="L1387" t="s">
        <v>110</v>
      </c>
    </row>
    <row r="1388" spans="1:12" x14ac:dyDescent="0.3">
      <c r="A1388" s="53">
        <f>DATE(D1388,11,20)</f>
        <v>70087</v>
      </c>
      <c r="B1388" s="54">
        <f t="shared" si="132"/>
        <v>70087</v>
      </c>
      <c r="C1388" t="s">
        <v>128</v>
      </c>
      <c r="D1388">
        <f t="shared" si="136"/>
        <v>2091</v>
      </c>
      <c r="E1388" t="s">
        <v>110</v>
      </c>
      <c r="H1388" s="53">
        <f>DATE(K1388,12,25)</f>
        <v>71583</v>
      </c>
      <c r="I1388" s="54">
        <f t="shared" si="133"/>
        <v>71583</v>
      </c>
      <c r="J1388" t="s">
        <v>129</v>
      </c>
      <c r="K1388">
        <f t="shared" si="137"/>
        <v>2095</v>
      </c>
      <c r="L1388" t="s">
        <v>110</v>
      </c>
    </row>
    <row r="1389" spans="1:12" x14ac:dyDescent="0.3">
      <c r="A1389" s="53">
        <f>DATE(D1389,12,25)</f>
        <v>70122</v>
      </c>
      <c r="B1389" s="54">
        <f t="shared" si="132"/>
        <v>70122</v>
      </c>
      <c r="C1389" t="s">
        <v>129</v>
      </c>
      <c r="D1389">
        <f t="shared" si="136"/>
        <v>2091</v>
      </c>
      <c r="E1389" t="s">
        <v>110</v>
      </c>
      <c r="H1389" s="53">
        <f>DATE(K1389,1,1)</f>
        <v>71590</v>
      </c>
      <c r="I1389" s="54">
        <f t="shared" si="133"/>
        <v>71590</v>
      </c>
      <c r="J1389" t="s">
        <v>109</v>
      </c>
      <c r="K1389">
        <f>K1371+1</f>
        <v>2096</v>
      </c>
      <c r="L1389" t="s">
        <v>110</v>
      </c>
    </row>
    <row r="1390" spans="1:12" x14ac:dyDescent="0.3">
      <c r="A1390" s="53">
        <f>DATE(D1390,1,1)</f>
        <v>70129</v>
      </c>
      <c r="B1390" s="54">
        <f t="shared" si="132"/>
        <v>70129</v>
      </c>
      <c r="C1390" t="s">
        <v>109</v>
      </c>
      <c r="D1390">
        <f>D1371+1</f>
        <v>2092</v>
      </c>
      <c r="E1390" t="s">
        <v>110</v>
      </c>
      <c r="H1390" s="53">
        <f>H1393-48</f>
        <v>71647</v>
      </c>
      <c r="I1390" s="54">
        <f t="shared" si="133"/>
        <v>71647</v>
      </c>
      <c r="J1390" t="s">
        <v>111</v>
      </c>
      <c r="K1390">
        <f t="shared" si="137"/>
        <v>2096</v>
      </c>
      <c r="L1390" t="s">
        <v>110</v>
      </c>
    </row>
    <row r="1391" spans="1:12" x14ac:dyDescent="0.3">
      <c r="A1391" s="53">
        <f>A1394-48</f>
        <v>70170</v>
      </c>
      <c r="B1391" s="54">
        <f t="shared" si="132"/>
        <v>70170</v>
      </c>
      <c r="C1391" t="s">
        <v>111</v>
      </c>
      <c r="D1391">
        <f t="shared" ref="D1391:D1454" si="138">D1372+1</f>
        <v>2092</v>
      </c>
      <c r="E1391" t="s">
        <v>110</v>
      </c>
      <c r="H1391" s="53">
        <f>H1393-47</f>
        <v>71648</v>
      </c>
      <c r="I1391" s="54">
        <f t="shared" si="133"/>
        <v>71648</v>
      </c>
      <c r="J1391" t="s">
        <v>111</v>
      </c>
      <c r="K1391">
        <f t="shared" si="137"/>
        <v>2096</v>
      </c>
      <c r="L1391" t="s">
        <v>110</v>
      </c>
    </row>
    <row r="1392" spans="1:12" x14ac:dyDescent="0.3">
      <c r="A1392" s="53">
        <f>A1394-47</f>
        <v>70171</v>
      </c>
      <c r="B1392" s="54">
        <f t="shared" si="132"/>
        <v>70171</v>
      </c>
      <c r="C1392" t="s">
        <v>111</v>
      </c>
      <c r="D1392">
        <f t="shared" si="138"/>
        <v>2092</v>
      </c>
      <c r="E1392" t="s">
        <v>110</v>
      </c>
      <c r="H1392" s="53">
        <f>H1393-2</f>
        <v>71693</v>
      </c>
      <c r="I1392" s="54">
        <f t="shared" si="133"/>
        <v>71693</v>
      </c>
      <c r="J1392" t="s">
        <v>112</v>
      </c>
      <c r="K1392">
        <f t="shared" si="137"/>
        <v>2096</v>
      </c>
      <c r="L1392" t="s">
        <v>110</v>
      </c>
    </row>
    <row r="1393" spans="1:12" x14ac:dyDescent="0.3">
      <c r="A1393" s="53">
        <f>A1394-2</f>
        <v>70216</v>
      </c>
      <c r="B1393" s="54">
        <f t="shared" si="132"/>
        <v>70216</v>
      </c>
      <c r="C1393" t="s">
        <v>112</v>
      </c>
      <c r="D1393">
        <f t="shared" si="138"/>
        <v>2092</v>
      </c>
      <c r="E1393" t="s">
        <v>110</v>
      </c>
      <c r="H1393" s="53">
        <f>FLOOR(DAY(MINUTE(K1393/38)/2+56)&amp;"/5"&amp;"/"&amp;K1393,7)-34</f>
        <v>71695</v>
      </c>
      <c r="I1393" s="54">
        <f t="shared" si="133"/>
        <v>71695</v>
      </c>
      <c r="J1393" t="s">
        <v>113</v>
      </c>
      <c r="K1393">
        <f t="shared" si="137"/>
        <v>2096</v>
      </c>
      <c r="L1393" t="s">
        <v>110</v>
      </c>
    </row>
    <row r="1394" spans="1:12" x14ac:dyDescent="0.3">
      <c r="A1394" s="53">
        <f>FLOOR(DAY(MINUTE(D1394/38)/2+56)&amp;"/5"&amp;"/"&amp;D1394,7)-34</f>
        <v>70218</v>
      </c>
      <c r="B1394" s="54">
        <f t="shared" si="132"/>
        <v>70218</v>
      </c>
      <c r="C1394" t="s">
        <v>113</v>
      </c>
      <c r="D1394">
        <f t="shared" si="138"/>
        <v>2092</v>
      </c>
      <c r="E1394" t="s">
        <v>110</v>
      </c>
      <c r="H1394" s="53">
        <f>DATE(K1394,4,21)</f>
        <v>71701</v>
      </c>
      <c r="I1394" s="54">
        <f t="shared" si="133"/>
        <v>71701</v>
      </c>
      <c r="J1394" t="s">
        <v>116</v>
      </c>
      <c r="K1394">
        <f t="shared" si="137"/>
        <v>2096</v>
      </c>
      <c r="L1394" t="s">
        <v>110</v>
      </c>
    </row>
    <row r="1395" spans="1:12" x14ac:dyDescent="0.3">
      <c r="A1395" s="53">
        <f>DATE(D1395,4,14)</f>
        <v>70233</v>
      </c>
      <c r="B1395" s="54">
        <f t="shared" si="132"/>
        <v>70233</v>
      </c>
      <c r="C1395" t="s">
        <v>114</v>
      </c>
      <c r="D1395">
        <f t="shared" si="138"/>
        <v>2092</v>
      </c>
      <c r="E1395" t="s">
        <v>115</v>
      </c>
      <c r="H1395" s="53">
        <f>DATE(K1395,5,1)</f>
        <v>71711</v>
      </c>
      <c r="I1395" s="54">
        <f t="shared" si="133"/>
        <v>71711</v>
      </c>
      <c r="J1395" t="s">
        <v>117</v>
      </c>
      <c r="K1395">
        <f t="shared" si="137"/>
        <v>2096</v>
      </c>
      <c r="L1395" t="s">
        <v>110</v>
      </c>
    </row>
    <row r="1396" spans="1:12" x14ac:dyDescent="0.3">
      <c r="A1396" s="53">
        <f>DATE(D1396,4,21)</f>
        <v>70240</v>
      </c>
      <c r="B1396" s="54">
        <f t="shared" si="132"/>
        <v>70240</v>
      </c>
      <c r="C1396" t="s">
        <v>116</v>
      </c>
      <c r="D1396">
        <f t="shared" si="138"/>
        <v>2092</v>
      </c>
      <c r="E1396" t="s">
        <v>110</v>
      </c>
      <c r="H1396" s="53">
        <f>DATE(K1396,5,1)+(14-WEEKDAY(DATE(K1396,5,1),2))</f>
        <v>71723</v>
      </c>
      <c r="I1396" s="54">
        <f t="shared" si="133"/>
        <v>71723</v>
      </c>
      <c r="J1396" t="s">
        <v>118</v>
      </c>
      <c r="K1396">
        <f t="shared" si="137"/>
        <v>2096</v>
      </c>
      <c r="L1396" t="s">
        <v>110</v>
      </c>
    </row>
    <row r="1397" spans="1:12" x14ac:dyDescent="0.3">
      <c r="A1397" s="53">
        <f>DATE(D1397,5,1)</f>
        <v>70250</v>
      </c>
      <c r="B1397" s="54">
        <f t="shared" si="132"/>
        <v>70250</v>
      </c>
      <c r="C1397" t="s">
        <v>117</v>
      </c>
      <c r="D1397">
        <f t="shared" si="138"/>
        <v>2092</v>
      </c>
      <c r="E1397" t="s">
        <v>110</v>
      </c>
      <c r="H1397" s="53">
        <f>H1393+60</f>
        <v>71755</v>
      </c>
      <c r="I1397" s="54">
        <f t="shared" si="133"/>
        <v>71755</v>
      </c>
      <c r="J1397" t="s">
        <v>119</v>
      </c>
      <c r="K1397">
        <f t="shared" si="137"/>
        <v>2096</v>
      </c>
      <c r="L1397" t="s">
        <v>110</v>
      </c>
    </row>
    <row r="1398" spans="1:12" x14ac:dyDescent="0.3">
      <c r="A1398" s="53">
        <f>DATE(D1398,5,1)+(14-WEEKDAY(DATE(D1398,5,1),2))</f>
        <v>70260</v>
      </c>
      <c r="B1398" s="54">
        <f t="shared" si="132"/>
        <v>70260</v>
      </c>
      <c r="C1398" t="s">
        <v>118</v>
      </c>
      <c r="D1398">
        <f t="shared" si="138"/>
        <v>2092</v>
      </c>
      <c r="E1398" t="s">
        <v>110</v>
      </c>
      <c r="H1398" s="53">
        <f>DATE(K1398,6,19)</f>
        <v>71760</v>
      </c>
      <c r="I1398" s="54">
        <f t="shared" si="133"/>
        <v>71760</v>
      </c>
      <c r="J1398" t="s">
        <v>114</v>
      </c>
      <c r="K1398">
        <f t="shared" si="137"/>
        <v>2096</v>
      </c>
      <c r="L1398" t="s">
        <v>115</v>
      </c>
    </row>
    <row r="1399" spans="1:12" x14ac:dyDescent="0.3">
      <c r="A1399" s="53">
        <f>A1394+60</f>
        <v>70278</v>
      </c>
      <c r="B1399" s="54">
        <f t="shared" si="132"/>
        <v>70278</v>
      </c>
      <c r="C1399" t="s">
        <v>119</v>
      </c>
      <c r="D1399">
        <f t="shared" si="138"/>
        <v>2092</v>
      </c>
      <c r="E1399" t="s">
        <v>110</v>
      </c>
      <c r="H1399" s="53">
        <f>DATE(K1399,7,9)</f>
        <v>71780</v>
      </c>
      <c r="I1399" s="54">
        <f t="shared" si="133"/>
        <v>71780</v>
      </c>
      <c r="J1399" t="s">
        <v>120</v>
      </c>
      <c r="K1399">
        <f t="shared" si="137"/>
        <v>2096</v>
      </c>
      <c r="L1399" t="s">
        <v>121</v>
      </c>
    </row>
    <row r="1400" spans="1:12" x14ac:dyDescent="0.3">
      <c r="A1400" s="53">
        <f>DATE(D1400,7,9)</f>
        <v>70319</v>
      </c>
      <c r="B1400" s="54">
        <f t="shared" si="132"/>
        <v>70319</v>
      </c>
      <c r="C1400" t="s">
        <v>120</v>
      </c>
      <c r="D1400">
        <f t="shared" si="138"/>
        <v>2092</v>
      </c>
      <c r="E1400" t="s">
        <v>121</v>
      </c>
      <c r="H1400" s="53">
        <f>DATE(K1400,8,1)+(14-WEEKDAY(DATE(K1400,8,1),2))</f>
        <v>71814</v>
      </c>
      <c r="I1400" s="54">
        <f t="shared" si="133"/>
        <v>71814</v>
      </c>
      <c r="J1400" t="s">
        <v>123</v>
      </c>
      <c r="K1400">
        <f t="shared" si="137"/>
        <v>2096</v>
      </c>
      <c r="L1400" t="s">
        <v>110</v>
      </c>
    </row>
    <row r="1401" spans="1:12" x14ac:dyDescent="0.3">
      <c r="A1401" s="53">
        <f>DATE(D1401,8,8)</f>
        <v>70349</v>
      </c>
      <c r="B1401" s="54">
        <f t="shared" si="132"/>
        <v>70349</v>
      </c>
      <c r="C1401" t="s">
        <v>122</v>
      </c>
      <c r="D1401">
        <f t="shared" si="138"/>
        <v>2092</v>
      </c>
      <c r="E1401" t="s">
        <v>115</v>
      </c>
      <c r="H1401" s="53">
        <f>DATE(K1401,9,7)</f>
        <v>71840</v>
      </c>
      <c r="I1401" s="54">
        <f t="shared" si="133"/>
        <v>71840</v>
      </c>
      <c r="J1401" t="s">
        <v>124</v>
      </c>
      <c r="K1401">
        <f t="shared" si="137"/>
        <v>2096</v>
      </c>
      <c r="L1401" t="s">
        <v>110</v>
      </c>
    </row>
    <row r="1402" spans="1:12" x14ac:dyDescent="0.3">
      <c r="A1402" s="53">
        <f>DATE(D1402,8,1)+(14-WEEKDAY(DATE(D1402,8,1),2))</f>
        <v>70351</v>
      </c>
      <c r="B1402" s="54">
        <f t="shared" si="132"/>
        <v>70351</v>
      </c>
      <c r="C1402" t="s">
        <v>123</v>
      </c>
      <c r="D1402">
        <f t="shared" si="138"/>
        <v>2092</v>
      </c>
      <c r="E1402" t="s">
        <v>110</v>
      </c>
      <c r="H1402" s="53">
        <f>DATE(K1402,10,12)</f>
        <v>71875</v>
      </c>
      <c r="I1402" s="54">
        <f t="shared" si="133"/>
        <v>71875</v>
      </c>
      <c r="J1402" t="s">
        <v>125</v>
      </c>
      <c r="K1402">
        <f t="shared" si="137"/>
        <v>2096</v>
      </c>
      <c r="L1402" t="s">
        <v>110</v>
      </c>
    </row>
    <row r="1403" spans="1:12" x14ac:dyDescent="0.3">
      <c r="A1403" s="53">
        <f>DATE(D1403,9,7)</f>
        <v>70379</v>
      </c>
      <c r="B1403" s="54">
        <f t="shared" si="132"/>
        <v>70379</v>
      </c>
      <c r="C1403" t="s">
        <v>124</v>
      </c>
      <c r="D1403">
        <f t="shared" si="138"/>
        <v>2092</v>
      </c>
      <c r="E1403" t="s">
        <v>110</v>
      </c>
      <c r="H1403" s="53">
        <f>DATE(K1403,11,2)</f>
        <v>71896</v>
      </c>
      <c r="I1403" s="54">
        <f t="shared" si="133"/>
        <v>71896</v>
      </c>
      <c r="J1403" t="s">
        <v>126</v>
      </c>
      <c r="K1403">
        <f t="shared" si="137"/>
        <v>2096</v>
      </c>
      <c r="L1403" t="s">
        <v>110</v>
      </c>
    </row>
    <row r="1404" spans="1:12" x14ac:dyDescent="0.3">
      <c r="A1404" s="53">
        <f>DATE(D1404,10,12)</f>
        <v>70414</v>
      </c>
      <c r="B1404" s="54">
        <f t="shared" si="132"/>
        <v>70414</v>
      </c>
      <c r="C1404" t="s">
        <v>125</v>
      </c>
      <c r="D1404">
        <f t="shared" si="138"/>
        <v>2092</v>
      </c>
      <c r="E1404" t="s">
        <v>110</v>
      </c>
      <c r="H1404" s="53">
        <f>DATE(K1404,11,15)</f>
        <v>71909</v>
      </c>
      <c r="I1404" s="54">
        <f t="shared" si="133"/>
        <v>71909</v>
      </c>
      <c r="J1404" t="s">
        <v>127</v>
      </c>
      <c r="K1404">
        <f t="shared" si="137"/>
        <v>2096</v>
      </c>
      <c r="L1404" t="s">
        <v>110</v>
      </c>
    </row>
    <row r="1405" spans="1:12" x14ac:dyDescent="0.3">
      <c r="A1405" s="53">
        <f>DATE(D1405,11,2)</f>
        <v>70435</v>
      </c>
      <c r="B1405" s="54">
        <f t="shared" si="132"/>
        <v>70435</v>
      </c>
      <c r="C1405" t="s">
        <v>126</v>
      </c>
      <c r="D1405">
        <f t="shared" si="138"/>
        <v>2092</v>
      </c>
      <c r="E1405" t="s">
        <v>110</v>
      </c>
      <c r="H1405" s="53">
        <f>DATE(K1405,11,20)</f>
        <v>71914</v>
      </c>
      <c r="I1405" s="54">
        <f t="shared" si="133"/>
        <v>71914</v>
      </c>
      <c r="J1405" t="s">
        <v>128</v>
      </c>
      <c r="K1405">
        <f t="shared" si="137"/>
        <v>2096</v>
      </c>
      <c r="L1405" t="s">
        <v>110</v>
      </c>
    </row>
    <row r="1406" spans="1:12" x14ac:dyDescent="0.3">
      <c r="A1406" s="53">
        <f>DATE(D1406,11,15)</f>
        <v>70448</v>
      </c>
      <c r="B1406" s="54">
        <f t="shared" si="132"/>
        <v>70448</v>
      </c>
      <c r="C1406" t="s">
        <v>127</v>
      </c>
      <c r="D1406">
        <f t="shared" si="138"/>
        <v>2092</v>
      </c>
      <c r="E1406" t="s">
        <v>110</v>
      </c>
      <c r="H1406" s="53">
        <f>DATE(K1406,12,25)</f>
        <v>71949</v>
      </c>
      <c r="I1406" s="54">
        <f t="shared" si="133"/>
        <v>71949</v>
      </c>
      <c r="J1406" t="s">
        <v>129</v>
      </c>
      <c r="K1406">
        <f t="shared" si="137"/>
        <v>2096</v>
      </c>
      <c r="L1406" t="s">
        <v>110</v>
      </c>
    </row>
    <row r="1407" spans="1:12" x14ac:dyDescent="0.3">
      <c r="A1407" s="53">
        <f>DATE(D1407,11,20)</f>
        <v>70453</v>
      </c>
      <c r="B1407" s="54">
        <f t="shared" si="132"/>
        <v>70453</v>
      </c>
      <c r="C1407" t="s">
        <v>128</v>
      </c>
      <c r="D1407">
        <f t="shared" si="138"/>
        <v>2092</v>
      </c>
      <c r="E1407" t="s">
        <v>110</v>
      </c>
      <c r="H1407" s="53">
        <f>DATE(K1407,1,1)</f>
        <v>71956</v>
      </c>
      <c r="I1407" s="54">
        <f t="shared" si="133"/>
        <v>71956</v>
      </c>
      <c r="J1407" t="s">
        <v>109</v>
      </c>
      <c r="K1407">
        <f>K1389+1</f>
        <v>2097</v>
      </c>
      <c r="L1407" t="s">
        <v>110</v>
      </c>
    </row>
    <row r="1408" spans="1:12" x14ac:dyDescent="0.3">
      <c r="A1408" s="53">
        <f>DATE(D1408,12,25)</f>
        <v>70488</v>
      </c>
      <c r="B1408" s="54">
        <f t="shared" si="132"/>
        <v>70488</v>
      </c>
      <c r="C1408" t="s">
        <v>129</v>
      </c>
      <c r="D1408">
        <f t="shared" si="138"/>
        <v>2092</v>
      </c>
      <c r="E1408" t="s">
        <v>110</v>
      </c>
      <c r="H1408" s="53">
        <f>H1411-48</f>
        <v>71997</v>
      </c>
      <c r="I1408" s="54">
        <f t="shared" si="133"/>
        <v>71997</v>
      </c>
      <c r="J1408" t="s">
        <v>111</v>
      </c>
      <c r="K1408">
        <f t="shared" si="137"/>
        <v>2097</v>
      </c>
      <c r="L1408" t="s">
        <v>110</v>
      </c>
    </row>
    <row r="1409" spans="1:12" x14ac:dyDescent="0.3">
      <c r="A1409" s="53">
        <f>DATE(D1409,1,1)</f>
        <v>70495</v>
      </c>
      <c r="B1409" s="54">
        <f t="shared" si="132"/>
        <v>70495</v>
      </c>
      <c r="C1409" t="s">
        <v>109</v>
      </c>
      <c r="D1409">
        <f>D1390+1</f>
        <v>2093</v>
      </c>
      <c r="E1409" t="s">
        <v>110</v>
      </c>
      <c r="H1409" s="53">
        <f>H1411-47</f>
        <v>71998</v>
      </c>
      <c r="I1409" s="54">
        <f t="shared" si="133"/>
        <v>71998</v>
      </c>
      <c r="J1409" t="s">
        <v>111</v>
      </c>
      <c r="K1409">
        <f t="shared" si="137"/>
        <v>2097</v>
      </c>
      <c r="L1409" t="s">
        <v>110</v>
      </c>
    </row>
    <row r="1410" spans="1:12" x14ac:dyDescent="0.3">
      <c r="A1410" s="53">
        <f>A1413-48</f>
        <v>70548</v>
      </c>
      <c r="B1410" s="54">
        <f t="shared" si="132"/>
        <v>70548</v>
      </c>
      <c r="C1410" t="s">
        <v>111</v>
      </c>
      <c r="D1410">
        <f t="shared" si="138"/>
        <v>2093</v>
      </c>
      <c r="E1410" t="s">
        <v>110</v>
      </c>
      <c r="H1410" s="53">
        <f>H1411-2</f>
        <v>72043</v>
      </c>
      <c r="I1410" s="54">
        <f t="shared" si="133"/>
        <v>72043</v>
      </c>
      <c r="J1410" t="s">
        <v>112</v>
      </c>
      <c r="K1410">
        <f t="shared" si="137"/>
        <v>2097</v>
      </c>
      <c r="L1410" t="s">
        <v>110</v>
      </c>
    </row>
    <row r="1411" spans="1:12" x14ac:dyDescent="0.3">
      <c r="A1411" s="53">
        <f>A1413-47</f>
        <v>70549</v>
      </c>
      <c r="B1411" s="54">
        <f t="shared" ref="B1411:B1474" si="139">A1411</f>
        <v>70549</v>
      </c>
      <c r="C1411" t="s">
        <v>111</v>
      </c>
      <c r="D1411">
        <f t="shared" si="138"/>
        <v>2093</v>
      </c>
      <c r="E1411" t="s">
        <v>110</v>
      </c>
      <c r="H1411" s="53">
        <f>FLOOR(DAY(MINUTE(K1411/38)/2+56)&amp;"/5"&amp;"/"&amp;K1411,7)-34</f>
        <v>72045</v>
      </c>
      <c r="I1411" s="54">
        <f t="shared" si="133"/>
        <v>72045</v>
      </c>
      <c r="J1411" t="s">
        <v>113</v>
      </c>
      <c r="K1411">
        <f t="shared" si="137"/>
        <v>2097</v>
      </c>
      <c r="L1411" t="s">
        <v>110</v>
      </c>
    </row>
    <row r="1412" spans="1:12" x14ac:dyDescent="0.3">
      <c r="A1412" s="53">
        <f>A1413-2</f>
        <v>70594</v>
      </c>
      <c r="B1412" s="54">
        <f t="shared" si="139"/>
        <v>70594</v>
      </c>
      <c r="C1412" t="s">
        <v>112</v>
      </c>
      <c r="D1412">
        <f t="shared" si="138"/>
        <v>2093</v>
      </c>
      <c r="E1412" t="s">
        <v>110</v>
      </c>
      <c r="H1412" s="53">
        <f>DATE(K1412,4,21)</f>
        <v>72066</v>
      </c>
      <c r="I1412" s="54">
        <f t="shared" si="133"/>
        <v>72066</v>
      </c>
      <c r="J1412" t="s">
        <v>116</v>
      </c>
      <c r="K1412">
        <f t="shared" si="137"/>
        <v>2097</v>
      </c>
      <c r="L1412" t="s">
        <v>110</v>
      </c>
    </row>
    <row r="1413" spans="1:12" x14ac:dyDescent="0.3">
      <c r="A1413" s="53">
        <f>FLOOR(DAY(MINUTE(D1413/38)/2+56)&amp;"/5"&amp;"/"&amp;D1413,7)-34</f>
        <v>70596</v>
      </c>
      <c r="B1413" s="54">
        <f t="shared" si="139"/>
        <v>70596</v>
      </c>
      <c r="C1413" t="s">
        <v>113</v>
      </c>
      <c r="D1413">
        <f t="shared" si="138"/>
        <v>2093</v>
      </c>
      <c r="E1413" t="s">
        <v>110</v>
      </c>
      <c r="H1413" s="53">
        <f>DATE(K1413,5,1)</f>
        <v>72076</v>
      </c>
      <c r="I1413" s="54">
        <f t="shared" si="133"/>
        <v>72076</v>
      </c>
      <c r="J1413" t="s">
        <v>117</v>
      </c>
      <c r="K1413">
        <f t="shared" si="137"/>
        <v>2097</v>
      </c>
      <c r="L1413" t="s">
        <v>110</v>
      </c>
    </row>
    <row r="1414" spans="1:12" x14ac:dyDescent="0.3">
      <c r="A1414" s="53">
        <f>DATE(D1414,4,14)</f>
        <v>70598</v>
      </c>
      <c r="B1414" s="54">
        <f t="shared" si="139"/>
        <v>70598</v>
      </c>
      <c r="C1414" t="s">
        <v>114</v>
      </c>
      <c r="D1414">
        <f t="shared" si="138"/>
        <v>2093</v>
      </c>
      <c r="E1414" t="s">
        <v>115</v>
      </c>
      <c r="H1414" s="53">
        <f>DATE(K1414,5,1)+(14-WEEKDAY(DATE(K1414,5,1),2))</f>
        <v>72087</v>
      </c>
      <c r="I1414" s="54">
        <f t="shared" si="133"/>
        <v>72087</v>
      </c>
      <c r="J1414" t="s">
        <v>118</v>
      </c>
      <c r="K1414">
        <f t="shared" si="137"/>
        <v>2097</v>
      </c>
      <c r="L1414" t="s">
        <v>110</v>
      </c>
    </row>
    <row r="1415" spans="1:12" x14ac:dyDescent="0.3">
      <c r="A1415" s="53">
        <f>DATE(D1415,4,21)</f>
        <v>70605</v>
      </c>
      <c r="B1415" s="54">
        <f t="shared" si="139"/>
        <v>70605</v>
      </c>
      <c r="C1415" t="s">
        <v>116</v>
      </c>
      <c r="D1415">
        <f t="shared" si="138"/>
        <v>2093</v>
      </c>
      <c r="E1415" t="s">
        <v>110</v>
      </c>
      <c r="H1415" s="53">
        <f>H1411+60</f>
        <v>72105</v>
      </c>
      <c r="I1415" s="54">
        <f t="shared" si="133"/>
        <v>72105</v>
      </c>
      <c r="J1415" t="s">
        <v>119</v>
      </c>
      <c r="K1415">
        <f t="shared" si="137"/>
        <v>2097</v>
      </c>
      <c r="L1415" t="s">
        <v>110</v>
      </c>
    </row>
    <row r="1416" spans="1:12" x14ac:dyDescent="0.3">
      <c r="A1416" s="53">
        <f>DATE(D1416,5,1)</f>
        <v>70615</v>
      </c>
      <c r="B1416" s="54">
        <f t="shared" si="139"/>
        <v>70615</v>
      </c>
      <c r="C1416" t="s">
        <v>117</v>
      </c>
      <c r="D1416">
        <f t="shared" si="138"/>
        <v>2093</v>
      </c>
      <c r="E1416" t="s">
        <v>110</v>
      </c>
      <c r="H1416" s="53">
        <f>DATE(K1416,6,19)</f>
        <v>72125</v>
      </c>
      <c r="I1416" s="54">
        <f t="shared" ref="I1416:I1479" si="140">H1416</f>
        <v>72125</v>
      </c>
      <c r="J1416" t="s">
        <v>114</v>
      </c>
      <c r="K1416">
        <f t="shared" si="137"/>
        <v>2097</v>
      </c>
      <c r="L1416" t="s">
        <v>115</v>
      </c>
    </row>
    <row r="1417" spans="1:12" x14ac:dyDescent="0.3">
      <c r="A1417" s="53">
        <f>DATE(D1417,5,1)+(14-WEEKDAY(DATE(D1417,5,1),2))</f>
        <v>70624</v>
      </c>
      <c r="B1417" s="54">
        <f t="shared" si="139"/>
        <v>70624</v>
      </c>
      <c r="C1417" t="s">
        <v>118</v>
      </c>
      <c r="D1417">
        <f t="shared" si="138"/>
        <v>2093</v>
      </c>
      <c r="E1417" t="s">
        <v>110</v>
      </c>
      <c r="H1417" s="53">
        <f>DATE(K1417,7,9)</f>
        <v>72145</v>
      </c>
      <c r="I1417" s="54">
        <f t="shared" si="140"/>
        <v>72145</v>
      </c>
      <c r="J1417" t="s">
        <v>120</v>
      </c>
      <c r="K1417">
        <f t="shared" si="137"/>
        <v>2097</v>
      </c>
      <c r="L1417" t="s">
        <v>121</v>
      </c>
    </row>
    <row r="1418" spans="1:12" x14ac:dyDescent="0.3">
      <c r="A1418" s="53">
        <f>A1413+60</f>
        <v>70656</v>
      </c>
      <c r="B1418" s="54">
        <f t="shared" si="139"/>
        <v>70656</v>
      </c>
      <c r="C1418" t="s">
        <v>119</v>
      </c>
      <c r="D1418">
        <f t="shared" si="138"/>
        <v>2093</v>
      </c>
      <c r="E1418" t="s">
        <v>110</v>
      </c>
      <c r="H1418" s="53">
        <f>DATE(K1418,8,1)+(14-WEEKDAY(DATE(K1418,8,1),2))</f>
        <v>72178</v>
      </c>
      <c r="I1418" s="54">
        <f t="shared" si="140"/>
        <v>72178</v>
      </c>
      <c r="J1418" t="s">
        <v>123</v>
      </c>
      <c r="K1418">
        <f t="shared" si="137"/>
        <v>2097</v>
      </c>
      <c r="L1418" t="s">
        <v>110</v>
      </c>
    </row>
    <row r="1419" spans="1:12" x14ac:dyDescent="0.3">
      <c r="A1419" s="53">
        <f>DATE(D1419,7,9)</f>
        <v>70684</v>
      </c>
      <c r="B1419" s="54">
        <f t="shared" si="139"/>
        <v>70684</v>
      </c>
      <c r="C1419" t="s">
        <v>120</v>
      </c>
      <c r="D1419">
        <f t="shared" si="138"/>
        <v>2093</v>
      </c>
      <c r="E1419" t="s">
        <v>121</v>
      </c>
      <c r="H1419" s="53">
        <f>DATE(K1419,9,7)</f>
        <v>72205</v>
      </c>
      <c r="I1419" s="54">
        <f t="shared" si="140"/>
        <v>72205</v>
      </c>
      <c r="J1419" t="s">
        <v>124</v>
      </c>
      <c r="K1419">
        <f t="shared" si="137"/>
        <v>2097</v>
      </c>
      <c r="L1419" t="s">
        <v>110</v>
      </c>
    </row>
    <row r="1420" spans="1:12" x14ac:dyDescent="0.3">
      <c r="A1420" s="53">
        <f>DATE(D1420,8,8)</f>
        <v>70714</v>
      </c>
      <c r="B1420" s="54">
        <f t="shared" si="139"/>
        <v>70714</v>
      </c>
      <c r="C1420" t="s">
        <v>122</v>
      </c>
      <c r="D1420">
        <f t="shared" si="138"/>
        <v>2093</v>
      </c>
      <c r="E1420" t="s">
        <v>115</v>
      </c>
      <c r="H1420" s="53">
        <f>DATE(K1420,10,12)</f>
        <v>72240</v>
      </c>
      <c r="I1420" s="54">
        <f t="shared" si="140"/>
        <v>72240</v>
      </c>
      <c r="J1420" t="s">
        <v>125</v>
      </c>
      <c r="K1420">
        <f t="shared" si="137"/>
        <v>2097</v>
      </c>
      <c r="L1420" t="s">
        <v>110</v>
      </c>
    </row>
    <row r="1421" spans="1:12" x14ac:dyDescent="0.3">
      <c r="A1421" s="53">
        <f>DATE(D1421,8,1)+(14-WEEKDAY(DATE(D1421,8,1),2))</f>
        <v>70715</v>
      </c>
      <c r="B1421" s="54">
        <f t="shared" si="139"/>
        <v>70715</v>
      </c>
      <c r="C1421" t="s">
        <v>123</v>
      </c>
      <c r="D1421">
        <f t="shared" si="138"/>
        <v>2093</v>
      </c>
      <c r="E1421" t="s">
        <v>110</v>
      </c>
      <c r="H1421" s="53">
        <f>DATE(K1421,11,2)</f>
        <v>72261</v>
      </c>
      <c r="I1421" s="54">
        <f t="shared" si="140"/>
        <v>72261</v>
      </c>
      <c r="J1421" t="s">
        <v>126</v>
      </c>
      <c r="K1421">
        <f t="shared" si="137"/>
        <v>2097</v>
      </c>
      <c r="L1421" t="s">
        <v>110</v>
      </c>
    </row>
    <row r="1422" spans="1:12" x14ac:dyDescent="0.3">
      <c r="A1422" s="53">
        <f>DATE(D1422,9,7)</f>
        <v>70744</v>
      </c>
      <c r="B1422" s="54">
        <f t="shared" si="139"/>
        <v>70744</v>
      </c>
      <c r="C1422" t="s">
        <v>124</v>
      </c>
      <c r="D1422">
        <f t="shared" si="138"/>
        <v>2093</v>
      </c>
      <c r="E1422" t="s">
        <v>110</v>
      </c>
      <c r="H1422" s="53">
        <f>DATE(K1422,11,15)</f>
        <v>72274</v>
      </c>
      <c r="I1422" s="54">
        <f t="shared" si="140"/>
        <v>72274</v>
      </c>
      <c r="J1422" t="s">
        <v>127</v>
      </c>
      <c r="K1422">
        <f t="shared" si="137"/>
        <v>2097</v>
      </c>
      <c r="L1422" t="s">
        <v>110</v>
      </c>
    </row>
    <row r="1423" spans="1:12" x14ac:dyDescent="0.3">
      <c r="A1423" s="53">
        <f>DATE(D1423,10,12)</f>
        <v>70779</v>
      </c>
      <c r="B1423" s="54">
        <f t="shared" si="139"/>
        <v>70779</v>
      </c>
      <c r="C1423" t="s">
        <v>125</v>
      </c>
      <c r="D1423">
        <f t="shared" si="138"/>
        <v>2093</v>
      </c>
      <c r="E1423" t="s">
        <v>110</v>
      </c>
      <c r="H1423" s="53">
        <f>DATE(K1423,11,20)</f>
        <v>72279</v>
      </c>
      <c r="I1423" s="54">
        <f t="shared" si="140"/>
        <v>72279</v>
      </c>
      <c r="J1423" t="s">
        <v>128</v>
      </c>
      <c r="K1423">
        <f t="shared" si="137"/>
        <v>2097</v>
      </c>
      <c r="L1423" t="s">
        <v>110</v>
      </c>
    </row>
    <row r="1424" spans="1:12" x14ac:dyDescent="0.3">
      <c r="A1424" s="53">
        <f>DATE(D1424,11,2)</f>
        <v>70800</v>
      </c>
      <c r="B1424" s="54">
        <f t="shared" si="139"/>
        <v>70800</v>
      </c>
      <c r="C1424" t="s">
        <v>126</v>
      </c>
      <c r="D1424">
        <f t="shared" si="138"/>
        <v>2093</v>
      </c>
      <c r="E1424" t="s">
        <v>110</v>
      </c>
      <c r="H1424" s="53">
        <f>DATE(K1424,12,25)</f>
        <v>72314</v>
      </c>
      <c r="I1424" s="54">
        <f t="shared" si="140"/>
        <v>72314</v>
      </c>
      <c r="J1424" t="s">
        <v>129</v>
      </c>
      <c r="K1424">
        <f t="shared" si="137"/>
        <v>2097</v>
      </c>
      <c r="L1424" t="s">
        <v>110</v>
      </c>
    </row>
    <row r="1425" spans="1:12" x14ac:dyDescent="0.3">
      <c r="A1425" s="53">
        <f>DATE(D1425,11,15)</f>
        <v>70813</v>
      </c>
      <c r="B1425" s="54">
        <f t="shared" si="139"/>
        <v>70813</v>
      </c>
      <c r="C1425" t="s">
        <v>127</v>
      </c>
      <c r="D1425">
        <f t="shared" si="138"/>
        <v>2093</v>
      </c>
      <c r="E1425" t="s">
        <v>110</v>
      </c>
      <c r="H1425" s="53">
        <f>DATE(K1425,1,1)</f>
        <v>72321</v>
      </c>
      <c r="I1425" s="54">
        <f t="shared" si="140"/>
        <v>72321</v>
      </c>
      <c r="J1425" t="s">
        <v>109</v>
      </c>
      <c r="K1425">
        <f>K1407+1</f>
        <v>2098</v>
      </c>
      <c r="L1425" t="s">
        <v>110</v>
      </c>
    </row>
    <row r="1426" spans="1:12" x14ac:dyDescent="0.3">
      <c r="A1426" s="53">
        <f>DATE(D1426,11,20)</f>
        <v>70818</v>
      </c>
      <c r="B1426" s="54">
        <f t="shared" si="139"/>
        <v>70818</v>
      </c>
      <c r="C1426" t="s">
        <v>128</v>
      </c>
      <c r="D1426">
        <f t="shared" si="138"/>
        <v>2093</v>
      </c>
      <c r="E1426" t="s">
        <v>110</v>
      </c>
      <c r="H1426" s="53">
        <f>H1429-48</f>
        <v>72382</v>
      </c>
      <c r="I1426" s="54">
        <f t="shared" si="140"/>
        <v>72382</v>
      </c>
      <c r="J1426" t="s">
        <v>111</v>
      </c>
      <c r="K1426">
        <f t="shared" si="137"/>
        <v>2098</v>
      </c>
      <c r="L1426" t="s">
        <v>110</v>
      </c>
    </row>
    <row r="1427" spans="1:12" x14ac:dyDescent="0.3">
      <c r="A1427" s="53">
        <f>DATE(D1427,12,25)</f>
        <v>70853</v>
      </c>
      <c r="B1427" s="54">
        <f t="shared" si="139"/>
        <v>70853</v>
      </c>
      <c r="C1427" t="s">
        <v>129</v>
      </c>
      <c r="D1427">
        <f t="shared" si="138"/>
        <v>2093</v>
      </c>
      <c r="E1427" t="s">
        <v>110</v>
      </c>
      <c r="H1427" s="53">
        <f>H1429-47</f>
        <v>72383</v>
      </c>
      <c r="I1427" s="54">
        <f t="shared" si="140"/>
        <v>72383</v>
      </c>
      <c r="J1427" t="s">
        <v>111</v>
      </c>
      <c r="K1427">
        <f t="shared" si="137"/>
        <v>2098</v>
      </c>
      <c r="L1427" t="s">
        <v>110</v>
      </c>
    </row>
    <row r="1428" spans="1:12" x14ac:dyDescent="0.3">
      <c r="A1428" s="53">
        <f>DATE(D1428,1,1)</f>
        <v>70860</v>
      </c>
      <c r="B1428" s="54">
        <f t="shared" si="139"/>
        <v>70860</v>
      </c>
      <c r="C1428" t="s">
        <v>109</v>
      </c>
      <c r="D1428">
        <f>D1409+1</f>
        <v>2094</v>
      </c>
      <c r="E1428" t="s">
        <v>110</v>
      </c>
      <c r="H1428" s="53">
        <f>H1429-2</f>
        <v>72428</v>
      </c>
      <c r="I1428" s="54">
        <f t="shared" si="140"/>
        <v>72428</v>
      </c>
      <c r="J1428" t="s">
        <v>112</v>
      </c>
      <c r="K1428">
        <f t="shared" si="137"/>
        <v>2098</v>
      </c>
      <c r="L1428" t="s">
        <v>110</v>
      </c>
    </row>
    <row r="1429" spans="1:12" x14ac:dyDescent="0.3">
      <c r="A1429" s="53">
        <f>A1432-48</f>
        <v>70905</v>
      </c>
      <c r="B1429" s="54">
        <f t="shared" si="139"/>
        <v>70905</v>
      </c>
      <c r="C1429" t="s">
        <v>111</v>
      </c>
      <c r="D1429">
        <f t="shared" si="138"/>
        <v>2094</v>
      </c>
      <c r="E1429" t="s">
        <v>110</v>
      </c>
      <c r="H1429" s="53">
        <f>FLOOR(DAY(MINUTE(K1429/38)/2+56)&amp;"/5"&amp;"/"&amp;K1429,7)-34</f>
        <v>72430</v>
      </c>
      <c r="I1429" s="54">
        <f t="shared" si="140"/>
        <v>72430</v>
      </c>
      <c r="J1429" t="s">
        <v>113</v>
      </c>
      <c r="K1429">
        <f t="shared" si="137"/>
        <v>2098</v>
      </c>
      <c r="L1429" t="s">
        <v>110</v>
      </c>
    </row>
    <row r="1430" spans="1:12" x14ac:dyDescent="0.3">
      <c r="A1430" s="53">
        <f>A1432-47</f>
        <v>70906</v>
      </c>
      <c r="B1430" s="54">
        <f t="shared" si="139"/>
        <v>70906</v>
      </c>
      <c r="C1430" t="s">
        <v>111</v>
      </c>
      <c r="D1430">
        <f t="shared" si="138"/>
        <v>2094</v>
      </c>
      <c r="E1430" t="s">
        <v>110</v>
      </c>
      <c r="H1430" s="53">
        <f>DATE(K1430,4,21)</f>
        <v>72431</v>
      </c>
      <c r="I1430" s="54">
        <f t="shared" si="140"/>
        <v>72431</v>
      </c>
      <c r="J1430" t="s">
        <v>116</v>
      </c>
      <c r="K1430">
        <f t="shared" si="137"/>
        <v>2098</v>
      </c>
      <c r="L1430" t="s">
        <v>110</v>
      </c>
    </row>
    <row r="1431" spans="1:12" x14ac:dyDescent="0.3">
      <c r="A1431" s="53">
        <f>A1432-2</f>
        <v>70951</v>
      </c>
      <c r="B1431" s="54">
        <f t="shared" si="139"/>
        <v>70951</v>
      </c>
      <c r="C1431" t="s">
        <v>112</v>
      </c>
      <c r="D1431">
        <f t="shared" si="138"/>
        <v>2094</v>
      </c>
      <c r="E1431" t="s">
        <v>110</v>
      </c>
      <c r="H1431" s="53">
        <f>DATE(K1431,5,1)</f>
        <v>72441</v>
      </c>
      <c r="I1431" s="54">
        <f t="shared" si="140"/>
        <v>72441</v>
      </c>
      <c r="J1431" t="s">
        <v>117</v>
      </c>
      <c r="K1431">
        <f t="shared" si="137"/>
        <v>2098</v>
      </c>
      <c r="L1431" t="s">
        <v>110</v>
      </c>
    </row>
    <row r="1432" spans="1:12" x14ac:dyDescent="0.3">
      <c r="A1432" s="53">
        <f>FLOOR(DAY(MINUTE(D1432/38)/2+56)&amp;"/5"&amp;"/"&amp;D1432,7)-34</f>
        <v>70953</v>
      </c>
      <c r="B1432" s="54">
        <f t="shared" si="139"/>
        <v>70953</v>
      </c>
      <c r="C1432" t="s">
        <v>113</v>
      </c>
      <c r="D1432">
        <f t="shared" si="138"/>
        <v>2094</v>
      </c>
      <c r="E1432" t="s">
        <v>110</v>
      </c>
      <c r="H1432" s="53">
        <f>DATE(K1432,5,1)+(14-WEEKDAY(DATE(K1432,5,1),2))</f>
        <v>72451</v>
      </c>
      <c r="I1432" s="54">
        <f t="shared" si="140"/>
        <v>72451</v>
      </c>
      <c r="J1432" t="s">
        <v>118</v>
      </c>
      <c r="K1432">
        <f t="shared" si="137"/>
        <v>2098</v>
      </c>
      <c r="L1432" t="s">
        <v>110</v>
      </c>
    </row>
    <row r="1433" spans="1:12" x14ac:dyDescent="0.3">
      <c r="A1433" s="53">
        <f>DATE(D1433,4,14)</f>
        <v>70963</v>
      </c>
      <c r="B1433" s="54">
        <f t="shared" si="139"/>
        <v>70963</v>
      </c>
      <c r="C1433" t="s">
        <v>114</v>
      </c>
      <c r="D1433">
        <f t="shared" si="138"/>
        <v>2094</v>
      </c>
      <c r="E1433" t="s">
        <v>115</v>
      </c>
      <c r="H1433" s="53">
        <f>H1429+60</f>
        <v>72490</v>
      </c>
      <c r="I1433" s="54">
        <f t="shared" si="140"/>
        <v>72490</v>
      </c>
      <c r="J1433" t="s">
        <v>119</v>
      </c>
      <c r="K1433">
        <f t="shared" si="137"/>
        <v>2098</v>
      </c>
      <c r="L1433" t="s">
        <v>110</v>
      </c>
    </row>
    <row r="1434" spans="1:12" x14ac:dyDescent="0.3">
      <c r="A1434" s="53">
        <f>DATE(D1434,4,21)</f>
        <v>70970</v>
      </c>
      <c r="B1434" s="54">
        <f t="shared" si="139"/>
        <v>70970</v>
      </c>
      <c r="C1434" t="s">
        <v>116</v>
      </c>
      <c r="D1434">
        <f t="shared" si="138"/>
        <v>2094</v>
      </c>
      <c r="E1434" t="s">
        <v>110</v>
      </c>
      <c r="H1434" s="53">
        <f>DATE(K1434,6,19)</f>
        <v>72490</v>
      </c>
      <c r="I1434" s="54">
        <f t="shared" si="140"/>
        <v>72490</v>
      </c>
      <c r="J1434" t="s">
        <v>114</v>
      </c>
      <c r="K1434">
        <f t="shared" si="137"/>
        <v>2098</v>
      </c>
      <c r="L1434" t="s">
        <v>115</v>
      </c>
    </row>
    <row r="1435" spans="1:12" x14ac:dyDescent="0.3">
      <c r="A1435" s="53">
        <f>DATE(D1435,5,1)</f>
        <v>70980</v>
      </c>
      <c r="B1435" s="54">
        <f t="shared" si="139"/>
        <v>70980</v>
      </c>
      <c r="C1435" t="s">
        <v>117</v>
      </c>
      <c r="D1435">
        <f t="shared" si="138"/>
        <v>2094</v>
      </c>
      <c r="E1435" t="s">
        <v>110</v>
      </c>
      <c r="H1435" s="53">
        <f>DATE(K1435,7,9)</f>
        <v>72510</v>
      </c>
      <c r="I1435" s="54">
        <f t="shared" si="140"/>
        <v>72510</v>
      </c>
      <c r="J1435" t="s">
        <v>120</v>
      </c>
      <c r="K1435">
        <f t="shared" si="137"/>
        <v>2098</v>
      </c>
      <c r="L1435" t="s">
        <v>121</v>
      </c>
    </row>
    <row r="1436" spans="1:12" x14ac:dyDescent="0.3">
      <c r="A1436" s="53">
        <f>DATE(D1436,5,1)+(14-WEEKDAY(DATE(D1436,5,1),2))</f>
        <v>70988</v>
      </c>
      <c r="B1436" s="54">
        <f t="shared" si="139"/>
        <v>70988</v>
      </c>
      <c r="C1436" t="s">
        <v>118</v>
      </c>
      <c r="D1436">
        <f t="shared" si="138"/>
        <v>2094</v>
      </c>
      <c r="E1436" t="s">
        <v>110</v>
      </c>
      <c r="H1436" s="53">
        <f>DATE(K1436,8,1)+(14-WEEKDAY(DATE(K1436,8,1),2))</f>
        <v>72542</v>
      </c>
      <c r="I1436" s="54">
        <f t="shared" si="140"/>
        <v>72542</v>
      </c>
      <c r="J1436" t="s">
        <v>123</v>
      </c>
      <c r="K1436">
        <f t="shared" ref="K1436:K1442" si="141">K1418+1</f>
        <v>2098</v>
      </c>
      <c r="L1436" t="s">
        <v>110</v>
      </c>
    </row>
    <row r="1437" spans="1:12" x14ac:dyDescent="0.3">
      <c r="A1437" s="53">
        <f>A1432+60</f>
        <v>71013</v>
      </c>
      <c r="B1437" s="54">
        <f t="shared" si="139"/>
        <v>71013</v>
      </c>
      <c r="C1437" t="s">
        <v>119</v>
      </c>
      <c r="D1437">
        <f t="shared" si="138"/>
        <v>2094</v>
      </c>
      <c r="E1437" t="s">
        <v>110</v>
      </c>
      <c r="H1437" s="53">
        <f>DATE(K1437,9,7)</f>
        <v>72570</v>
      </c>
      <c r="I1437" s="54">
        <f t="shared" si="140"/>
        <v>72570</v>
      </c>
      <c r="J1437" t="s">
        <v>124</v>
      </c>
      <c r="K1437">
        <f t="shared" si="141"/>
        <v>2098</v>
      </c>
      <c r="L1437" t="s">
        <v>110</v>
      </c>
    </row>
    <row r="1438" spans="1:12" x14ac:dyDescent="0.3">
      <c r="A1438" s="53">
        <f>DATE(D1438,7,9)</f>
        <v>71049</v>
      </c>
      <c r="B1438" s="54">
        <f t="shared" si="139"/>
        <v>71049</v>
      </c>
      <c r="C1438" t="s">
        <v>120</v>
      </c>
      <c r="D1438">
        <f t="shared" si="138"/>
        <v>2094</v>
      </c>
      <c r="E1438" t="s">
        <v>121</v>
      </c>
      <c r="H1438" s="53">
        <f>DATE(K1438,10,12)</f>
        <v>72605</v>
      </c>
      <c r="I1438" s="54">
        <f t="shared" si="140"/>
        <v>72605</v>
      </c>
      <c r="J1438" t="s">
        <v>125</v>
      </c>
      <c r="K1438">
        <f t="shared" si="141"/>
        <v>2098</v>
      </c>
      <c r="L1438" t="s">
        <v>110</v>
      </c>
    </row>
    <row r="1439" spans="1:12" x14ac:dyDescent="0.3">
      <c r="A1439" s="53">
        <f>DATE(D1439,8,8)</f>
        <v>71079</v>
      </c>
      <c r="B1439" s="54">
        <f t="shared" si="139"/>
        <v>71079</v>
      </c>
      <c r="C1439" t="s">
        <v>122</v>
      </c>
      <c r="D1439">
        <f t="shared" si="138"/>
        <v>2094</v>
      </c>
      <c r="E1439" t="s">
        <v>115</v>
      </c>
      <c r="H1439" s="53">
        <f>DATE(K1439,11,2)</f>
        <v>72626</v>
      </c>
      <c r="I1439" s="54">
        <f t="shared" si="140"/>
        <v>72626</v>
      </c>
      <c r="J1439" t="s">
        <v>126</v>
      </c>
      <c r="K1439">
        <f t="shared" si="141"/>
        <v>2098</v>
      </c>
      <c r="L1439" t="s">
        <v>110</v>
      </c>
    </row>
    <row r="1440" spans="1:12" x14ac:dyDescent="0.3">
      <c r="A1440" s="53">
        <f>DATE(D1440,8,1)+(14-WEEKDAY(DATE(D1440,8,1),2))</f>
        <v>71079</v>
      </c>
      <c r="B1440" s="54">
        <f t="shared" si="139"/>
        <v>71079</v>
      </c>
      <c r="C1440" t="s">
        <v>123</v>
      </c>
      <c r="D1440">
        <f t="shared" si="138"/>
        <v>2094</v>
      </c>
      <c r="E1440" t="s">
        <v>110</v>
      </c>
      <c r="H1440" s="53">
        <f>DATE(K1440,11,15)</f>
        <v>72639</v>
      </c>
      <c r="I1440" s="54">
        <f t="shared" si="140"/>
        <v>72639</v>
      </c>
      <c r="J1440" t="s">
        <v>127</v>
      </c>
      <c r="K1440">
        <f t="shared" si="141"/>
        <v>2098</v>
      </c>
      <c r="L1440" t="s">
        <v>110</v>
      </c>
    </row>
    <row r="1441" spans="1:12" x14ac:dyDescent="0.3">
      <c r="A1441" s="53">
        <f>DATE(D1441,9,7)</f>
        <v>71109</v>
      </c>
      <c r="B1441" s="54">
        <f t="shared" si="139"/>
        <v>71109</v>
      </c>
      <c r="C1441" t="s">
        <v>124</v>
      </c>
      <c r="D1441">
        <f t="shared" si="138"/>
        <v>2094</v>
      </c>
      <c r="E1441" t="s">
        <v>110</v>
      </c>
      <c r="H1441" s="53">
        <f>DATE(K1441,11,20)</f>
        <v>72644</v>
      </c>
      <c r="I1441" s="54">
        <f t="shared" si="140"/>
        <v>72644</v>
      </c>
      <c r="J1441" t="s">
        <v>128</v>
      </c>
      <c r="K1441">
        <f t="shared" si="141"/>
        <v>2098</v>
      </c>
      <c r="L1441" t="s">
        <v>110</v>
      </c>
    </row>
    <row r="1442" spans="1:12" x14ac:dyDescent="0.3">
      <c r="A1442" s="53">
        <f>DATE(D1442,10,12)</f>
        <v>71144</v>
      </c>
      <c r="B1442" s="54">
        <f t="shared" si="139"/>
        <v>71144</v>
      </c>
      <c r="C1442" t="s">
        <v>125</v>
      </c>
      <c r="D1442">
        <f t="shared" si="138"/>
        <v>2094</v>
      </c>
      <c r="E1442" t="s">
        <v>110</v>
      </c>
      <c r="H1442" s="53">
        <f>DATE(K1442,12,25)</f>
        <v>72679</v>
      </c>
      <c r="I1442" s="54">
        <f t="shared" si="140"/>
        <v>72679</v>
      </c>
      <c r="J1442" t="s">
        <v>129</v>
      </c>
      <c r="K1442">
        <f t="shared" si="141"/>
        <v>2098</v>
      </c>
      <c r="L1442" t="s">
        <v>110</v>
      </c>
    </row>
    <row r="1443" spans="1:12" x14ac:dyDescent="0.3">
      <c r="A1443" s="53">
        <f>DATE(D1443,11,2)</f>
        <v>71165</v>
      </c>
      <c r="B1443" s="54">
        <f t="shared" si="139"/>
        <v>71165</v>
      </c>
      <c r="C1443" t="s">
        <v>126</v>
      </c>
      <c r="D1443">
        <f t="shared" si="138"/>
        <v>2094</v>
      </c>
      <c r="E1443" t="s">
        <v>110</v>
      </c>
      <c r="H1443" s="53">
        <f>DATE(K1443,1,1)</f>
        <v>72686</v>
      </c>
      <c r="I1443" s="54">
        <f t="shared" si="140"/>
        <v>72686</v>
      </c>
      <c r="J1443" t="s">
        <v>109</v>
      </c>
      <c r="K1443">
        <f>K1425+1</f>
        <v>2099</v>
      </c>
      <c r="L1443" t="s">
        <v>110</v>
      </c>
    </row>
    <row r="1444" spans="1:12" x14ac:dyDescent="0.3">
      <c r="A1444" s="53">
        <f>DATE(D1444,11,15)</f>
        <v>71178</v>
      </c>
      <c r="B1444" s="54">
        <f t="shared" si="139"/>
        <v>71178</v>
      </c>
      <c r="C1444" t="s">
        <v>127</v>
      </c>
      <c r="D1444">
        <f t="shared" si="138"/>
        <v>2094</v>
      </c>
      <c r="E1444" t="s">
        <v>110</v>
      </c>
      <c r="H1444" s="53">
        <f>H1447-48</f>
        <v>72739</v>
      </c>
      <c r="I1444" s="54">
        <f t="shared" si="140"/>
        <v>72739</v>
      </c>
      <c r="J1444" t="s">
        <v>111</v>
      </c>
      <c r="K1444">
        <f t="shared" ref="K1444:K1460" si="142">K1426+1</f>
        <v>2099</v>
      </c>
      <c r="L1444" t="s">
        <v>110</v>
      </c>
    </row>
    <row r="1445" spans="1:12" x14ac:dyDescent="0.3">
      <c r="A1445" s="53">
        <f>DATE(D1445,11,20)</f>
        <v>71183</v>
      </c>
      <c r="B1445" s="54">
        <f t="shared" si="139"/>
        <v>71183</v>
      </c>
      <c r="C1445" t="s">
        <v>128</v>
      </c>
      <c r="D1445">
        <f t="shared" si="138"/>
        <v>2094</v>
      </c>
      <c r="E1445" t="s">
        <v>110</v>
      </c>
      <c r="H1445" s="53">
        <f>H1447-47</f>
        <v>72740</v>
      </c>
      <c r="I1445" s="54">
        <f t="shared" si="140"/>
        <v>72740</v>
      </c>
      <c r="J1445" t="s">
        <v>111</v>
      </c>
      <c r="K1445">
        <f t="shared" si="142"/>
        <v>2099</v>
      </c>
      <c r="L1445" t="s">
        <v>110</v>
      </c>
    </row>
    <row r="1446" spans="1:12" x14ac:dyDescent="0.3">
      <c r="A1446" s="53">
        <f>DATE(D1446,12,25)</f>
        <v>71218</v>
      </c>
      <c r="B1446" s="54">
        <f t="shared" si="139"/>
        <v>71218</v>
      </c>
      <c r="C1446" t="s">
        <v>129</v>
      </c>
      <c r="D1446">
        <f t="shared" si="138"/>
        <v>2094</v>
      </c>
      <c r="E1446" t="s">
        <v>110</v>
      </c>
      <c r="H1446" s="53">
        <f>H1447-2</f>
        <v>72785</v>
      </c>
      <c r="I1446" s="54">
        <f t="shared" si="140"/>
        <v>72785</v>
      </c>
      <c r="J1446" t="s">
        <v>112</v>
      </c>
      <c r="K1446">
        <f t="shared" si="142"/>
        <v>2099</v>
      </c>
      <c r="L1446" t="s">
        <v>110</v>
      </c>
    </row>
    <row r="1447" spans="1:12" x14ac:dyDescent="0.3">
      <c r="A1447" s="53">
        <f>DATE(D1447,1,1)</f>
        <v>71225</v>
      </c>
      <c r="B1447" s="54">
        <f t="shared" si="139"/>
        <v>71225</v>
      </c>
      <c r="C1447" t="s">
        <v>109</v>
      </c>
      <c r="D1447">
        <f>D1428+1</f>
        <v>2095</v>
      </c>
      <c r="E1447" t="s">
        <v>110</v>
      </c>
      <c r="H1447" s="53">
        <f>FLOOR(DAY(MINUTE(K1447/38)/2+56)&amp;"/5"&amp;"/"&amp;K1447,7)-34</f>
        <v>72787</v>
      </c>
      <c r="I1447" s="54">
        <f t="shared" si="140"/>
        <v>72787</v>
      </c>
      <c r="J1447" t="s">
        <v>113</v>
      </c>
      <c r="K1447">
        <f t="shared" si="142"/>
        <v>2099</v>
      </c>
      <c r="L1447" t="s">
        <v>110</v>
      </c>
    </row>
    <row r="1448" spans="1:12" x14ac:dyDescent="0.3">
      <c r="A1448" s="53">
        <f>A1451-48</f>
        <v>71290</v>
      </c>
      <c r="B1448" s="54">
        <f t="shared" si="139"/>
        <v>71290</v>
      </c>
      <c r="C1448" t="s">
        <v>111</v>
      </c>
      <c r="D1448">
        <f t="shared" si="138"/>
        <v>2095</v>
      </c>
      <c r="E1448" t="s">
        <v>110</v>
      </c>
      <c r="H1448" s="53">
        <f>DATE(K1448,4,21)</f>
        <v>72796</v>
      </c>
      <c r="I1448" s="54">
        <f t="shared" si="140"/>
        <v>72796</v>
      </c>
      <c r="J1448" t="s">
        <v>116</v>
      </c>
      <c r="K1448">
        <f t="shared" si="142"/>
        <v>2099</v>
      </c>
      <c r="L1448" t="s">
        <v>110</v>
      </c>
    </row>
    <row r="1449" spans="1:12" x14ac:dyDescent="0.3">
      <c r="A1449" s="53">
        <f>A1451-47</f>
        <v>71291</v>
      </c>
      <c r="B1449" s="54">
        <f t="shared" si="139"/>
        <v>71291</v>
      </c>
      <c r="C1449" t="s">
        <v>111</v>
      </c>
      <c r="D1449">
        <f t="shared" si="138"/>
        <v>2095</v>
      </c>
      <c r="E1449" t="s">
        <v>110</v>
      </c>
      <c r="H1449" s="53">
        <f>DATE(K1449,5,1)</f>
        <v>72806</v>
      </c>
      <c r="I1449" s="54">
        <f t="shared" si="140"/>
        <v>72806</v>
      </c>
      <c r="J1449" t="s">
        <v>117</v>
      </c>
      <c r="K1449">
        <f t="shared" si="142"/>
        <v>2099</v>
      </c>
      <c r="L1449" t="s">
        <v>110</v>
      </c>
    </row>
    <row r="1450" spans="1:12" x14ac:dyDescent="0.3">
      <c r="A1450" s="53">
        <f>A1451-2</f>
        <v>71336</v>
      </c>
      <c r="B1450" s="54">
        <f t="shared" si="139"/>
        <v>71336</v>
      </c>
      <c r="C1450" t="s">
        <v>112</v>
      </c>
      <c r="D1450">
        <f t="shared" si="138"/>
        <v>2095</v>
      </c>
      <c r="E1450" t="s">
        <v>110</v>
      </c>
      <c r="H1450" s="53">
        <f>DATE(K1450,5,1)+(14-WEEKDAY(DATE(K1450,5,1),2))</f>
        <v>72815</v>
      </c>
      <c r="I1450" s="54">
        <f t="shared" si="140"/>
        <v>72815</v>
      </c>
      <c r="J1450" t="s">
        <v>118</v>
      </c>
      <c r="K1450">
        <f t="shared" si="142"/>
        <v>2099</v>
      </c>
      <c r="L1450" t="s">
        <v>110</v>
      </c>
    </row>
    <row r="1451" spans="1:12" x14ac:dyDescent="0.3">
      <c r="A1451" s="53">
        <f>FLOOR(DAY(MINUTE(D1451/38)/2+56)&amp;"/5"&amp;"/"&amp;D1451,7)-34</f>
        <v>71338</v>
      </c>
      <c r="B1451" s="54">
        <f t="shared" si="139"/>
        <v>71338</v>
      </c>
      <c r="C1451" t="s">
        <v>113</v>
      </c>
      <c r="D1451">
        <f t="shared" si="138"/>
        <v>2095</v>
      </c>
      <c r="E1451" t="s">
        <v>110</v>
      </c>
      <c r="H1451" s="53">
        <f>H1447+60</f>
        <v>72847</v>
      </c>
      <c r="I1451" s="54">
        <f t="shared" si="140"/>
        <v>72847</v>
      </c>
      <c r="J1451" t="s">
        <v>119</v>
      </c>
      <c r="K1451">
        <f t="shared" si="142"/>
        <v>2099</v>
      </c>
      <c r="L1451" t="s">
        <v>110</v>
      </c>
    </row>
    <row r="1452" spans="1:12" x14ac:dyDescent="0.3">
      <c r="A1452" s="53">
        <f>DATE(D1452,4,14)</f>
        <v>71328</v>
      </c>
      <c r="B1452" s="54">
        <f t="shared" si="139"/>
        <v>71328</v>
      </c>
      <c r="C1452" t="s">
        <v>114</v>
      </c>
      <c r="D1452">
        <f t="shared" si="138"/>
        <v>2095</v>
      </c>
      <c r="E1452" t="s">
        <v>115</v>
      </c>
      <c r="H1452" s="53">
        <f>DATE(K1452,6,19)</f>
        <v>72855</v>
      </c>
      <c r="I1452" s="54">
        <f t="shared" si="140"/>
        <v>72855</v>
      </c>
      <c r="J1452" t="s">
        <v>114</v>
      </c>
      <c r="K1452">
        <f t="shared" si="142"/>
        <v>2099</v>
      </c>
      <c r="L1452" t="s">
        <v>115</v>
      </c>
    </row>
    <row r="1453" spans="1:12" x14ac:dyDescent="0.3">
      <c r="A1453" s="53">
        <f>DATE(D1453,4,21)</f>
        <v>71335</v>
      </c>
      <c r="B1453" s="54">
        <f t="shared" si="139"/>
        <v>71335</v>
      </c>
      <c r="C1453" t="s">
        <v>116</v>
      </c>
      <c r="D1453">
        <f t="shared" si="138"/>
        <v>2095</v>
      </c>
      <c r="E1453" t="s">
        <v>110</v>
      </c>
      <c r="H1453" s="53">
        <f>DATE(K1453,7,9)</f>
        <v>72875</v>
      </c>
      <c r="I1453" s="54">
        <f t="shared" si="140"/>
        <v>72875</v>
      </c>
      <c r="J1453" t="s">
        <v>120</v>
      </c>
      <c r="K1453">
        <f t="shared" si="142"/>
        <v>2099</v>
      </c>
      <c r="L1453" t="s">
        <v>121</v>
      </c>
    </row>
    <row r="1454" spans="1:12" x14ac:dyDescent="0.3">
      <c r="A1454" s="53">
        <f>DATE(D1454,5,1)</f>
        <v>71345</v>
      </c>
      <c r="B1454" s="54">
        <f t="shared" si="139"/>
        <v>71345</v>
      </c>
      <c r="C1454" t="s">
        <v>117</v>
      </c>
      <c r="D1454">
        <f t="shared" si="138"/>
        <v>2095</v>
      </c>
      <c r="E1454" t="s">
        <v>110</v>
      </c>
      <c r="H1454" s="53">
        <f>DATE(K1454,8,1)+(14-WEEKDAY(DATE(K1454,8,1),2))</f>
        <v>72906</v>
      </c>
      <c r="I1454" s="54">
        <f t="shared" si="140"/>
        <v>72906</v>
      </c>
      <c r="J1454" t="s">
        <v>123</v>
      </c>
      <c r="K1454">
        <f t="shared" si="142"/>
        <v>2099</v>
      </c>
      <c r="L1454" t="s">
        <v>110</v>
      </c>
    </row>
    <row r="1455" spans="1:12" x14ac:dyDescent="0.3">
      <c r="A1455" s="53">
        <f>DATE(D1455,5,1)+(14-WEEKDAY(DATE(D1455,5,1),2))</f>
        <v>71352</v>
      </c>
      <c r="B1455" s="54">
        <f t="shared" si="139"/>
        <v>71352</v>
      </c>
      <c r="C1455" t="s">
        <v>118</v>
      </c>
      <c r="D1455">
        <f t="shared" ref="D1455:D1465" si="143">D1436+1</f>
        <v>2095</v>
      </c>
      <c r="E1455" t="s">
        <v>110</v>
      </c>
      <c r="H1455" s="53">
        <f>DATE(K1455,9,7)</f>
        <v>72935</v>
      </c>
      <c r="I1455" s="54">
        <f t="shared" si="140"/>
        <v>72935</v>
      </c>
      <c r="J1455" t="s">
        <v>124</v>
      </c>
      <c r="K1455">
        <f t="shared" si="142"/>
        <v>2099</v>
      </c>
      <c r="L1455" t="s">
        <v>110</v>
      </c>
    </row>
    <row r="1456" spans="1:12" x14ac:dyDescent="0.3">
      <c r="A1456" s="53">
        <f>A1451+60</f>
        <v>71398</v>
      </c>
      <c r="B1456" s="54">
        <f t="shared" si="139"/>
        <v>71398</v>
      </c>
      <c r="C1456" t="s">
        <v>119</v>
      </c>
      <c r="D1456">
        <f t="shared" si="143"/>
        <v>2095</v>
      </c>
      <c r="E1456" t="s">
        <v>110</v>
      </c>
      <c r="H1456" s="53">
        <f>DATE(K1456,10,12)</f>
        <v>72970</v>
      </c>
      <c r="I1456" s="54">
        <f t="shared" si="140"/>
        <v>72970</v>
      </c>
      <c r="J1456" t="s">
        <v>125</v>
      </c>
      <c r="K1456">
        <f t="shared" si="142"/>
        <v>2099</v>
      </c>
      <c r="L1456" t="s">
        <v>110</v>
      </c>
    </row>
    <row r="1457" spans="1:12" x14ac:dyDescent="0.3">
      <c r="A1457" s="53">
        <f>DATE(D1457,7,9)</f>
        <v>71414</v>
      </c>
      <c r="B1457" s="54">
        <f t="shared" si="139"/>
        <v>71414</v>
      </c>
      <c r="C1457" t="s">
        <v>120</v>
      </c>
      <c r="D1457">
        <f t="shared" si="143"/>
        <v>2095</v>
      </c>
      <c r="E1457" t="s">
        <v>121</v>
      </c>
      <c r="H1457" s="53">
        <f>DATE(K1457,11,2)</f>
        <v>72991</v>
      </c>
      <c r="I1457" s="54">
        <f t="shared" si="140"/>
        <v>72991</v>
      </c>
      <c r="J1457" t="s">
        <v>126</v>
      </c>
      <c r="K1457">
        <f t="shared" si="142"/>
        <v>2099</v>
      </c>
      <c r="L1457" t="s">
        <v>110</v>
      </c>
    </row>
    <row r="1458" spans="1:12" x14ac:dyDescent="0.3">
      <c r="A1458" s="53">
        <f>DATE(D1458,8,8)</f>
        <v>71444</v>
      </c>
      <c r="B1458" s="54">
        <f t="shared" si="139"/>
        <v>71444</v>
      </c>
      <c r="C1458" t="s">
        <v>122</v>
      </c>
      <c r="D1458">
        <f t="shared" si="143"/>
        <v>2095</v>
      </c>
      <c r="E1458" t="s">
        <v>115</v>
      </c>
      <c r="H1458" s="53">
        <f>DATE(K1458,11,15)</f>
        <v>73004</v>
      </c>
      <c r="I1458" s="54">
        <f t="shared" si="140"/>
        <v>73004</v>
      </c>
      <c r="J1458" t="s">
        <v>127</v>
      </c>
      <c r="K1458">
        <f t="shared" si="142"/>
        <v>2099</v>
      </c>
      <c r="L1458" t="s">
        <v>110</v>
      </c>
    </row>
    <row r="1459" spans="1:12" x14ac:dyDescent="0.3">
      <c r="A1459" s="53">
        <f>DATE(D1459,8,1)+(14-WEEKDAY(DATE(D1459,8,1),2))</f>
        <v>71450</v>
      </c>
      <c r="B1459" s="54">
        <f t="shared" si="139"/>
        <v>71450</v>
      </c>
      <c r="C1459" t="s">
        <v>123</v>
      </c>
      <c r="D1459">
        <f t="shared" si="143"/>
        <v>2095</v>
      </c>
      <c r="E1459" t="s">
        <v>110</v>
      </c>
      <c r="H1459" s="53">
        <f>DATE(K1459,11,20)</f>
        <v>73009</v>
      </c>
      <c r="I1459" s="54">
        <f t="shared" si="140"/>
        <v>73009</v>
      </c>
      <c r="J1459" t="s">
        <v>128</v>
      </c>
      <c r="K1459">
        <f t="shared" si="142"/>
        <v>2099</v>
      </c>
      <c r="L1459" t="s">
        <v>110</v>
      </c>
    </row>
    <row r="1460" spans="1:12" x14ac:dyDescent="0.3">
      <c r="A1460" s="53">
        <f>DATE(D1460,9,7)</f>
        <v>71474</v>
      </c>
      <c r="B1460" s="54">
        <f t="shared" si="139"/>
        <v>71474</v>
      </c>
      <c r="C1460" t="s">
        <v>124</v>
      </c>
      <c r="D1460">
        <f t="shared" si="143"/>
        <v>2095</v>
      </c>
      <c r="E1460" t="s">
        <v>110</v>
      </c>
      <c r="H1460" s="53">
        <f>DATE(K1460,12,25)</f>
        <v>73044</v>
      </c>
      <c r="I1460" s="54">
        <f t="shared" si="140"/>
        <v>73044</v>
      </c>
      <c r="J1460" t="s">
        <v>129</v>
      </c>
      <c r="K1460">
        <f t="shared" si="142"/>
        <v>2099</v>
      </c>
      <c r="L1460" t="s">
        <v>110</v>
      </c>
    </row>
    <row r="1461" spans="1:12" x14ac:dyDescent="0.3">
      <c r="A1461" s="53">
        <f>DATE(D1461,10,12)</f>
        <v>71509</v>
      </c>
      <c r="B1461" s="54">
        <f t="shared" si="139"/>
        <v>71509</v>
      </c>
      <c r="C1461" t="s">
        <v>125</v>
      </c>
      <c r="D1461">
        <f t="shared" si="143"/>
        <v>2095</v>
      </c>
      <c r="E1461" t="s">
        <v>110</v>
      </c>
      <c r="H1461" s="53">
        <f>DATE(K1461,1,1)</f>
        <v>73051</v>
      </c>
      <c r="I1461" s="54">
        <f t="shared" si="140"/>
        <v>73051</v>
      </c>
      <c r="J1461" t="s">
        <v>109</v>
      </c>
      <c r="K1461">
        <f>K1443+1</f>
        <v>2100</v>
      </c>
      <c r="L1461" t="s">
        <v>110</v>
      </c>
    </row>
    <row r="1462" spans="1:12" x14ac:dyDescent="0.3">
      <c r="A1462" s="53">
        <f>DATE(D1462,11,2)</f>
        <v>71530</v>
      </c>
      <c r="B1462" s="54">
        <f t="shared" si="139"/>
        <v>71530</v>
      </c>
      <c r="C1462" t="s">
        <v>126</v>
      </c>
      <c r="D1462">
        <f t="shared" si="143"/>
        <v>2095</v>
      </c>
      <c r="E1462" t="s">
        <v>110</v>
      </c>
      <c r="H1462" s="53">
        <f>H1465-48</f>
        <v>73089</v>
      </c>
      <c r="I1462" s="54">
        <f t="shared" si="140"/>
        <v>73089</v>
      </c>
      <c r="J1462" t="s">
        <v>111</v>
      </c>
      <c r="K1462">
        <f t="shared" ref="K1462:K1525" si="144">K1444+1</f>
        <v>2100</v>
      </c>
      <c r="L1462" t="s">
        <v>110</v>
      </c>
    </row>
    <row r="1463" spans="1:12" x14ac:dyDescent="0.3">
      <c r="A1463" s="53">
        <f>DATE(D1463,11,15)</f>
        <v>71543</v>
      </c>
      <c r="B1463" s="54">
        <f t="shared" si="139"/>
        <v>71543</v>
      </c>
      <c r="C1463" t="s">
        <v>127</v>
      </c>
      <c r="D1463">
        <f t="shared" si="143"/>
        <v>2095</v>
      </c>
      <c r="E1463" t="s">
        <v>110</v>
      </c>
      <c r="H1463" s="53">
        <f>H1465-47</f>
        <v>73090</v>
      </c>
      <c r="I1463" s="54">
        <f t="shared" si="140"/>
        <v>73090</v>
      </c>
      <c r="J1463" t="s">
        <v>111</v>
      </c>
      <c r="K1463">
        <f t="shared" si="144"/>
        <v>2100</v>
      </c>
      <c r="L1463" t="s">
        <v>110</v>
      </c>
    </row>
    <row r="1464" spans="1:12" x14ac:dyDescent="0.3">
      <c r="A1464" s="53">
        <f>DATE(D1464,11,20)</f>
        <v>71548</v>
      </c>
      <c r="B1464" s="54">
        <f t="shared" si="139"/>
        <v>71548</v>
      </c>
      <c r="C1464" t="s">
        <v>128</v>
      </c>
      <c r="D1464">
        <f t="shared" si="143"/>
        <v>2095</v>
      </c>
      <c r="E1464" t="s">
        <v>110</v>
      </c>
      <c r="H1464" s="53">
        <f>H1465-2</f>
        <v>73135</v>
      </c>
      <c r="I1464" s="54">
        <f t="shared" si="140"/>
        <v>73135</v>
      </c>
      <c r="J1464" t="s">
        <v>112</v>
      </c>
      <c r="K1464">
        <f t="shared" si="144"/>
        <v>2100</v>
      </c>
      <c r="L1464" t="s">
        <v>110</v>
      </c>
    </row>
    <row r="1465" spans="1:12" x14ac:dyDescent="0.3">
      <c r="A1465" s="53">
        <f>DATE(D1465,12,25)</f>
        <v>71583</v>
      </c>
      <c r="B1465" s="54">
        <f t="shared" si="139"/>
        <v>71583</v>
      </c>
      <c r="C1465" t="s">
        <v>129</v>
      </c>
      <c r="D1465">
        <f t="shared" si="143"/>
        <v>2095</v>
      </c>
      <c r="E1465" t="s">
        <v>110</v>
      </c>
      <c r="H1465" s="53">
        <f>FLOOR(DAY(MINUTE(K1465/38)/2+56)&amp;"/5"&amp;"/"&amp;K1465,7)-34</f>
        <v>73137</v>
      </c>
      <c r="I1465" s="54">
        <f t="shared" si="140"/>
        <v>73137</v>
      </c>
      <c r="J1465" t="s">
        <v>113</v>
      </c>
      <c r="K1465">
        <f t="shared" si="144"/>
        <v>2100</v>
      </c>
      <c r="L1465" t="s">
        <v>110</v>
      </c>
    </row>
    <row r="1466" spans="1:12" x14ac:dyDescent="0.3">
      <c r="A1466" s="53">
        <f>DATE(D1466,1,1)</f>
        <v>71590</v>
      </c>
      <c r="B1466" s="54">
        <f t="shared" si="139"/>
        <v>71590</v>
      </c>
      <c r="C1466" t="s">
        <v>109</v>
      </c>
      <c r="D1466">
        <f>D1447+1</f>
        <v>2096</v>
      </c>
      <c r="E1466" t="s">
        <v>110</v>
      </c>
      <c r="H1466" s="53">
        <f>DATE(K1466,4,21)</f>
        <v>73161</v>
      </c>
      <c r="I1466" s="54">
        <f t="shared" si="140"/>
        <v>73161</v>
      </c>
      <c r="J1466" t="s">
        <v>116</v>
      </c>
      <c r="K1466">
        <f t="shared" si="144"/>
        <v>2100</v>
      </c>
      <c r="L1466" t="s">
        <v>110</v>
      </c>
    </row>
    <row r="1467" spans="1:12" x14ac:dyDescent="0.3">
      <c r="A1467" s="53">
        <f>A1470-48</f>
        <v>71647</v>
      </c>
      <c r="B1467" s="54">
        <f t="shared" si="139"/>
        <v>71647</v>
      </c>
      <c r="C1467" t="s">
        <v>111</v>
      </c>
      <c r="D1467">
        <f t="shared" ref="D1467:D1484" si="145">D1448+1</f>
        <v>2096</v>
      </c>
      <c r="E1467" t="s">
        <v>110</v>
      </c>
      <c r="H1467" s="53">
        <f>DATE(K1467,5,1)</f>
        <v>73171</v>
      </c>
      <c r="I1467" s="54">
        <f t="shared" si="140"/>
        <v>73171</v>
      </c>
      <c r="J1467" t="s">
        <v>117</v>
      </c>
      <c r="K1467">
        <f t="shared" si="144"/>
        <v>2100</v>
      </c>
      <c r="L1467" t="s">
        <v>110</v>
      </c>
    </row>
    <row r="1468" spans="1:12" x14ac:dyDescent="0.3">
      <c r="A1468" s="53">
        <f>A1470-47</f>
        <v>71648</v>
      </c>
      <c r="B1468" s="54">
        <f t="shared" si="139"/>
        <v>71648</v>
      </c>
      <c r="C1468" t="s">
        <v>111</v>
      </c>
      <c r="D1468">
        <f t="shared" si="145"/>
        <v>2096</v>
      </c>
      <c r="E1468" t="s">
        <v>110</v>
      </c>
      <c r="H1468" s="53">
        <f>DATE(K1468,5,1)+(14-WEEKDAY(DATE(K1468,5,1),2))</f>
        <v>73179</v>
      </c>
      <c r="I1468" s="54">
        <f t="shared" si="140"/>
        <v>73179</v>
      </c>
      <c r="J1468" t="s">
        <v>118</v>
      </c>
      <c r="K1468">
        <f t="shared" si="144"/>
        <v>2100</v>
      </c>
      <c r="L1468" t="s">
        <v>110</v>
      </c>
    </row>
    <row r="1469" spans="1:12" x14ac:dyDescent="0.3">
      <c r="A1469" s="53">
        <f>A1470-2</f>
        <v>71693</v>
      </c>
      <c r="B1469" s="54">
        <f t="shared" si="139"/>
        <v>71693</v>
      </c>
      <c r="C1469" t="s">
        <v>112</v>
      </c>
      <c r="D1469">
        <f t="shared" si="145"/>
        <v>2096</v>
      </c>
      <c r="E1469" t="s">
        <v>110</v>
      </c>
      <c r="H1469" s="53">
        <f>H1465+60</f>
        <v>73197</v>
      </c>
      <c r="I1469" s="54">
        <f t="shared" si="140"/>
        <v>73197</v>
      </c>
      <c r="J1469" t="s">
        <v>119</v>
      </c>
      <c r="K1469">
        <f t="shared" si="144"/>
        <v>2100</v>
      </c>
      <c r="L1469" t="s">
        <v>110</v>
      </c>
    </row>
    <row r="1470" spans="1:12" x14ac:dyDescent="0.3">
      <c r="A1470" s="53">
        <f>FLOOR(DAY(MINUTE(D1470/38)/2+56)&amp;"/5"&amp;"/"&amp;D1470,7)-34</f>
        <v>71695</v>
      </c>
      <c r="B1470" s="54">
        <f t="shared" si="139"/>
        <v>71695</v>
      </c>
      <c r="C1470" t="s">
        <v>113</v>
      </c>
      <c r="D1470">
        <f t="shared" si="145"/>
        <v>2096</v>
      </c>
      <c r="E1470" t="s">
        <v>110</v>
      </c>
      <c r="H1470" s="53">
        <f>DATE(K1470,6,19)</f>
        <v>73220</v>
      </c>
      <c r="I1470" s="54">
        <f t="shared" si="140"/>
        <v>73220</v>
      </c>
      <c r="J1470" t="s">
        <v>114</v>
      </c>
      <c r="K1470">
        <f t="shared" si="144"/>
        <v>2100</v>
      </c>
      <c r="L1470" t="s">
        <v>115</v>
      </c>
    </row>
    <row r="1471" spans="1:12" x14ac:dyDescent="0.3">
      <c r="A1471" s="53">
        <f>DATE(D1471,4,14)</f>
        <v>71694</v>
      </c>
      <c r="B1471" s="54">
        <f t="shared" si="139"/>
        <v>71694</v>
      </c>
      <c r="C1471" t="s">
        <v>114</v>
      </c>
      <c r="D1471">
        <f t="shared" si="145"/>
        <v>2096</v>
      </c>
      <c r="E1471" t="s">
        <v>115</v>
      </c>
      <c r="H1471" s="53">
        <f>DATE(K1471,7,9)</f>
        <v>73240</v>
      </c>
      <c r="I1471" s="54">
        <f t="shared" si="140"/>
        <v>73240</v>
      </c>
      <c r="J1471" t="s">
        <v>120</v>
      </c>
      <c r="K1471">
        <f t="shared" si="144"/>
        <v>2100</v>
      </c>
      <c r="L1471" t="s">
        <v>121</v>
      </c>
    </row>
    <row r="1472" spans="1:12" x14ac:dyDescent="0.3">
      <c r="A1472" s="53">
        <f>DATE(D1472,4,21)</f>
        <v>71701</v>
      </c>
      <c r="B1472" s="54">
        <f t="shared" si="139"/>
        <v>71701</v>
      </c>
      <c r="C1472" t="s">
        <v>116</v>
      </c>
      <c r="D1472">
        <f t="shared" si="145"/>
        <v>2096</v>
      </c>
      <c r="E1472" t="s">
        <v>110</v>
      </c>
      <c r="H1472" s="53">
        <f>DATE(K1472,8,1)+(14-WEEKDAY(DATE(K1472,8,1),2))</f>
        <v>73270</v>
      </c>
      <c r="I1472" s="54">
        <f t="shared" si="140"/>
        <v>73270</v>
      </c>
      <c r="J1472" t="s">
        <v>123</v>
      </c>
      <c r="K1472">
        <f t="shared" si="144"/>
        <v>2100</v>
      </c>
      <c r="L1472" t="s">
        <v>110</v>
      </c>
    </row>
    <row r="1473" spans="1:12" x14ac:dyDescent="0.3">
      <c r="A1473" s="53">
        <f>DATE(D1473,5,1)</f>
        <v>71711</v>
      </c>
      <c r="B1473" s="54">
        <f t="shared" si="139"/>
        <v>71711</v>
      </c>
      <c r="C1473" t="s">
        <v>117</v>
      </c>
      <c r="D1473">
        <f t="shared" si="145"/>
        <v>2096</v>
      </c>
      <c r="E1473" t="s">
        <v>110</v>
      </c>
      <c r="H1473" s="53">
        <f>DATE(K1473,9,7)</f>
        <v>73300</v>
      </c>
      <c r="I1473" s="54">
        <f t="shared" si="140"/>
        <v>73300</v>
      </c>
      <c r="J1473" t="s">
        <v>124</v>
      </c>
      <c r="K1473">
        <f t="shared" si="144"/>
        <v>2100</v>
      </c>
      <c r="L1473" t="s">
        <v>110</v>
      </c>
    </row>
    <row r="1474" spans="1:12" x14ac:dyDescent="0.3">
      <c r="A1474" s="53">
        <f>DATE(D1474,5,1)+(14-WEEKDAY(DATE(D1474,5,1),2))</f>
        <v>71723</v>
      </c>
      <c r="B1474" s="54">
        <f t="shared" si="139"/>
        <v>71723</v>
      </c>
      <c r="C1474" t="s">
        <v>118</v>
      </c>
      <c r="D1474">
        <f t="shared" si="145"/>
        <v>2096</v>
      </c>
      <c r="E1474" t="s">
        <v>110</v>
      </c>
      <c r="H1474" s="53">
        <f>DATE(K1474,10,12)</f>
        <v>73335</v>
      </c>
      <c r="I1474" s="54">
        <f t="shared" si="140"/>
        <v>73335</v>
      </c>
      <c r="J1474" t="s">
        <v>125</v>
      </c>
      <c r="K1474">
        <f t="shared" si="144"/>
        <v>2100</v>
      </c>
      <c r="L1474" t="s">
        <v>110</v>
      </c>
    </row>
    <row r="1475" spans="1:12" x14ac:dyDescent="0.3">
      <c r="A1475" s="53">
        <f>A1470+60</f>
        <v>71755</v>
      </c>
      <c r="B1475" s="54">
        <f t="shared" ref="B1475:B1538" si="146">A1475</f>
        <v>71755</v>
      </c>
      <c r="C1475" t="s">
        <v>119</v>
      </c>
      <c r="D1475">
        <f t="shared" si="145"/>
        <v>2096</v>
      </c>
      <c r="E1475" t="s">
        <v>110</v>
      </c>
      <c r="H1475" s="53">
        <f>DATE(K1475,11,2)</f>
        <v>73356</v>
      </c>
      <c r="I1475" s="54">
        <f t="shared" si="140"/>
        <v>73356</v>
      </c>
      <c r="J1475" t="s">
        <v>126</v>
      </c>
      <c r="K1475">
        <f t="shared" si="144"/>
        <v>2100</v>
      </c>
      <c r="L1475" t="s">
        <v>110</v>
      </c>
    </row>
    <row r="1476" spans="1:12" x14ac:dyDescent="0.3">
      <c r="A1476" s="53">
        <f>DATE(D1476,7,9)</f>
        <v>71780</v>
      </c>
      <c r="B1476" s="54">
        <f t="shared" si="146"/>
        <v>71780</v>
      </c>
      <c r="C1476" t="s">
        <v>120</v>
      </c>
      <c r="D1476">
        <f t="shared" si="145"/>
        <v>2096</v>
      </c>
      <c r="E1476" t="s">
        <v>121</v>
      </c>
      <c r="H1476" s="53">
        <f>DATE(K1476,11,15)</f>
        <v>73369</v>
      </c>
      <c r="I1476" s="54">
        <f t="shared" si="140"/>
        <v>73369</v>
      </c>
      <c r="J1476" t="s">
        <v>127</v>
      </c>
      <c r="K1476">
        <f t="shared" si="144"/>
        <v>2100</v>
      </c>
      <c r="L1476" t="s">
        <v>110</v>
      </c>
    </row>
    <row r="1477" spans="1:12" x14ac:dyDescent="0.3">
      <c r="A1477" s="53">
        <f>DATE(D1477,8,8)</f>
        <v>71810</v>
      </c>
      <c r="B1477" s="54">
        <f t="shared" si="146"/>
        <v>71810</v>
      </c>
      <c r="C1477" t="s">
        <v>122</v>
      </c>
      <c r="D1477">
        <f t="shared" si="145"/>
        <v>2096</v>
      </c>
      <c r="E1477" t="s">
        <v>115</v>
      </c>
      <c r="H1477" s="53">
        <f>DATE(K1477,11,20)</f>
        <v>73374</v>
      </c>
      <c r="I1477" s="54">
        <f t="shared" si="140"/>
        <v>73374</v>
      </c>
      <c r="J1477" t="s">
        <v>128</v>
      </c>
      <c r="K1477">
        <f t="shared" si="144"/>
        <v>2100</v>
      </c>
      <c r="L1477" t="s">
        <v>110</v>
      </c>
    </row>
    <row r="1478" spans="1:12" x14ac:dyDescent="0.3">
      <c r="A1478" s="53">
        <f>DATE(D1478,8,1)+(14-WEEKDAY(DATE(D1478,8,1),2))</f>
        <v>71814</v>
      </c>
      <c r="B1478" s="54">
        <f t="shared" si="146"/>
        <v>71814</v>
      </c>
      <c r="C1478" t="s">
        <v>123</v>
      </c>
      <c r="D1478">
        <f t="shared" si="145"/>
        <v>2096</v>
      </c>
      <c r="E1478" t="s">
        <v>110</v>
      </c>
      <c r="H1478" s="53">
        <f>DATE(K1478,12,25)</f>
        <v>73409</v>
      </c>
      <c r="I1478" s="54">
        <f t="shared" si="140"/>
        <v>73409</v>
      </c>
      <c r="J1478" t="s">
        <v>129</v>
      </c>
      <c r="K1478">
        <f t="shared" si="144"/>
        <v>2100</v>
      </c>
      <c r="L1478" t="s">
        <v>110</v>
      </c>
    </row>
    <row r="1479" spans="1:12" x14ac:dyDescent="0.3">
      <c r="A1479" s="53">
        <f>DATE(D1479,9,7)</f>
        <v>71840</v>
      </c>
      <c r="B1479" s="54">
        <f t="shared" si="146"/>
        <v>71840</v>
      </c>
      <c r="C1479" t="s">
        <v>124</v>
      </c>
      <c r="D1479">
        <f t="shared" si="145"/>
        <v>2096</v>
      </c>
      <c r="E1479" t="s">
        <v>110</v>
      </c>
      <c r="H1479" s="53">
        <f>DATE(K1479,1,1)</f>
        <v>73416</v>
      </c>
      <c r="I1479" s="54">
        <f t="shared" si="140"/>
        <v>73416</v>
      </c>
      <c r="J1479" t="s">
        <v>109</v>
      </c>
      <c r="K1479">
        <f>K1461+1</f>
        <v>2101</v>
      </c>
      <c r="L1479" t="s">
        <v>110</v>
      </c>
    </row>
    <row r="1480" spans="1:12" x14ac:dyDescent="0.3">
      <c r="A1480" s="53">
        <f>DATE(D1480,10,12)</f>
        <v>71875</v>
      </c>
      <c r="B1480" s="54">
        <f t="shared" si="146"/>
        <v>71875</v>
      </c>
      <c r="C1480" t="s">
        <v>125</v>
      </c>
      <c r="D1480">
        <f t="shared" si="145"/>
        <v>2096</v>
      </c>
      <c r="E1480" t="s">
        <v>110</v>
      </c>
      <c r="H1480" s="53">
        <f>H1483-48</f>
        <v>73474</v>
      </c>
      <c r="I1480" s="54">
        <f t="shared" ref="I1480:I1543" si="147">H1480</f>
        <v>73474</v>
      </c>
      <c r="J1480" t="s">
        <v>111</v>
      </c>
      <c r="K1480">
        <f t="shared" si="144"/>
        <v>2101</v>
      </c>
      <c r="L1480" t="s">
        <v>110</v>
      </c>
    </row>
    <row r="1481" spans="1:12" x14ac:dyDescent="0.3">
      <c r="A1481" s="53">
        <f>DATE(D1481,11,2)</f>
        <v>71896</v>
      </c>
      <c r="B1481" s="54">
        <f t="shared" si="146"/>
        <v>71896</v>
      </c>
      <c r="C1481" t="s">
        <v>126</v>
      </c>
      <c r="D1481">
        <f t="shared" si="145"/>
        <v>2096</v>
      </c>
      <c r="E1481" t="s">
        <v>110</v>
      </c>
      <c r="H1481" s="53">
        <f>H1483-47</f>
        <v>73475</v>
      </c>
      <c r="I1481" s="54">
        <f t="shared" si="147"/>
        <v>73475</v>
      </c>
      <c r="J1481" t="s">
        <v>111</v>
      </c>
      <c r="K1481">
        <f t="shared" si="144"/>
        <v>2101</v>
      </c>
      <c r="L1481" t="s">
        <v>110</v>
      </c>
    </row>
    <row r="1482" spans="1:12" x14ac:dyDescent="0.3">
      <c r="A1482" s="53">
        <f>DATE(D1482,11,15)</f>
        <v>71909</v>
      </c>
      <c r="B1482" s="54">
        <f t="shared" si="146"/>
        <v>71909</v>
      </c>
      <c r="C1482" t="s">
        <v>127</v>
      </c>
      <c r="D1482">
        <f t="shared" si="145"/>
        <v>2096</v>
      </c>
      <c r="E1482" t="s">
        <v>110</v>
      </c>
      <c r="H1482" s="53">
        <f>H1483-2</f>
        <v>73520</v>
      </c>
      <c r="I1482" s="54">
        <f t="shared" si="147"/>
        <v>73520</v>
      </c>
      <c r="J1482" t="s">
        <v>112</v>
      </c>
      <c r="K1482">
        <f t="shared" si="144"/>
        <v>2101</v>
      </c>
      <c r="L1482" t="s">
        <v>110</v>
      </c>
    </row>
    <row r="1483" spans="1:12" x14ac:dyDescent="0.3">
      <c r="A1483" s="53">
        <f>DATE(D1483,11,20)</f>
        <v>71914</v>
      </c>
      <c r="B1483" s="54">
        <f t="shared" si="146"/>
        <v>71914</v>
      </c>
      <c r="C1483" t="s">
        <v>128</v>
      </c>
      <c r="D1483">
        <f t="shared" si="145"/>
        <v>2096</v>
      </c>
      <c r="E1483" t="s">
        <v>110</v>
      </c>
      <c r="H1483" s="53">
        <f>FLOOR(DAY(MINUTE(K1483/38)/2+56)&amp;"/5"&amp;"/"&amp;K1483,7)-34</f>
        <v>73522</v>
      </c>
      <c r="I1483" s="54">
        <f t="shared" si="147"/>
        <v>73522</v>
      </c>
      <c r="J1483" t="s">
        <v>113</v>
      </c>
      <c r="K1483">
        <f t="shared" si="144"/>
        <v>2101</v>
      </c>
      <c r="L1483" t="s">
        <v>110</v>
      </c>
    </row>
    <row r="1484" spans="1:12" x14ac:dyDescent="0.3">
      <c r="A1484" s="53">
        <f>DATE(D1484,12,25)</f>
        <v>71949</v>
      </c>
      <c r="B1484" s="54">
        <f t="shared" si="146"/>
        <v>71949</v>
      </c>
      <c r="C1484" t="s">
        <v>129</v>
      </c>
      <c r="D1484">
        <f t="shared" si="145"/>
        <v>2096</v>
      </c>
      <c r="E1484" t="s">
        <v>110</v>
      </c>
      <c r="H1484" s="53">
        <f>DATE(K1484,4,21)</f>
        <v>73526</v>
      </c>
      <c r="I1484" s="54">
        <f t="shared" si="147"/>
        <v>73526</v>
      </c>
      <c r="J1484" t="s">
        <v>116</v>
      </c>
      <c r="K1484">
        <f t="shared" si="144"/>
        <v>2101</v>
      </c>
      <c r="L1484" t="s">
        <v>110</v>
      </c>
    </row>
    <row r="1485" spans="1:12" x14ac:dyDescent="0.3">
      <c r="A1485" s="53">
        <f>DATE(D1485,1,1)</f>
        <v>71956</v>
      </c>
      <c r="B1485" s="54">
        <f t="shared" si="146"/>
        <v>71956</v>
      </c>
      <c r="C1485" t="s">
        <v>109</v>
      </c>
      <c r="D1485">
        <f>D1466+1</f>
        <v>2097</v>
      </c>
      <c r="E1485" t="s">
        <v>110</v>
      </c>
      <c r="H1485" s="53">
        <f>DATE(K1485,5,1)</f>
        <v>73536</v>
      </c>
      <c r="I1485" s="54">
        <f t="shared" si="147"/>
        <v>73536</v>
      </c>
      <c r="J1485" t="s">
        <v>117</v>
      </c>
      <c r="K1485">
        <f t="shared" si="144"/>
        <v>2101</v>
      </c>
      <c r="L1485" t="s">
        <v>110</v>
      </c>
    </row>
    <row r="1486" spans="1:12" x14ac:dyDescent="0.3">
      <c r="A1486" s="53">
        <f>A1489-48</f>
        <v>71997</v>
      </c>
      <c r="B1486" s="54">
        <f t="shared" si="146"/>
        <v>71997</v>
      </c>
      <c r="C1486" t="s">
        <v>111</v>
      </c>
      <c r="D1486">
        <f t="shared" ref="D1486:D1503" si="148">D1467+1</f>
        <v>2097</v>
      </c>
      <c r="E1486" t="s">
        <v>110</v>
      </c>
      <c r="H1486" s="53">
        <f>DATE(K1486,5,1)+(14-WEEKDAY(DATE(K1486,5,1),2))</f>
        <v>73543</v>
      </c>
      <c r="I1486" s="54">
        <f t="shared" si="147"/>
        <v>73543</v>
      </c>
      <c r="J1486" t="s">
        <v>118</v>
      </c>
      <c r="K1486">
        <f t="shared" si="144"/>
        <v>2101</v>
      </c>
      <c r="L1486" t="s">
        <v>110</v>
      </c>
    </row>
    <row r="1487" spans="1:12" x14ac:dyDescent="0.3">
      <c r="A1487" s="53">
        <f>A1489-47</f>
        <v>71998</v>
      </c>
      <c r="B1487" s="54">
        <f t="shared" si="146"/>
        <v>71998</v>
      </c>
      <c r="C1487" t="s">
        <v>111</v>
      </c>
      <c r="D1487">
        <f t="shared" si="148"/>
        <v>2097</v>
      </c>
      <c r="E1487" t="s">
        <v>110</v>
      </c>
      <c r="H1487" s="53">
        <f>H1483+60</f>
        <v>73582</v>
      </c>
      <c r="I1487" s="54">
        <f t="shared" si="147"/>
        <v>73582</v>
      </c>
      <c r="J1487" t="s">
        <v>119</v>
      </c>
      <c r="K1487">
        <f t="shared" si="144"/>
        <v>2101</v>
      </c>
      <c r="L1487" t="s">
        <v>110</v>
      </c>
    </row>
    <row r="1488" spans="1:12" x14ac:dyDescent="0.3">
      <c r="A1488" s="53">
        <f>A1489-2</f>
        <v>72043</v>
      </c>
      <c r="B1488" s="54">
        <f t="shared" si="146"/>
        <v>72043</v>
      </c>
      <c r="C1488" t="s">
        <v>112</v>
      </c>
      <c r="D1488">
        <f t="shared" si="148"/>
        <v>2097</v>
      </c>
      <c r="E1488" t="s">
        <v>110</v>
      </c>
      <c r="H1488" s="53">
        <f>DATE(K1488,6,19)</f>
        <v>73585</v>
      </c>
      <c r="I1488" s="54">
        <f t="shared" si="147"/>
        <v>73585</v>
      </c>
      <c r="J1488" t="s">
        <v>114</v>
      </c>
      <c r="K1488">
        <f t="shared" si="144"/>
        <v>2101</v>
      </c>
      <c r="L1488" t="s">
        <v>115</v>
      </c>
    </row>
    <row r="1489" spans="1:12" x14ac:dyDescent="0.3">
      <c r="A1489" s="53">
        <f>FLOOR(DAY(MINUTE(D1489/38)/2+56)&amp;"/5"&amp;"/"&amp;D1489,7)-34</f>
        <v>72045</v>
      </c>
      <c r="B1489" s="54">
        <f t="shared" si="146"/>
        <v>72045</v>
      </c>
      <c r="C1489" t="s">
        <v>113</v>
      </c>
      <c r="D1489">
        <f t="shared" si="148"/>
        <v>2097</v>
      </c>
      <c r="E1489" t="s">
        <v>110</v>
      </c>
      <c r="H1489" s="53">
        <f>DATE(K1489,7,9)</f>
        <v>73605</v>
      </c>
      <c r="I1489" s="54">
        <f t="shared" si="147"/>
        <v>73605</v>
      </c>
      <c r="J1489" t="s">
        <v>120</v>
      </c>
      <c r="K1489">
        <f t="shared" si="144"/>
        <v>2101</v>
      </c>
      <c r="L1489" t="s">
        <v>121</v>
      </c>
    </row>
    <row r="1490" spans="1:12" x14ac:dyDescent="0.3">
      <c r="A1490" s="53">
        <f>DATE(D1490,4,14)</f>
        <v>72059</v>
      </c>
      <c r="B1490" s="54">
        <f t="shared" si="146"/>
        <v>72059</v>
      </c>
      <c r="C1490" t="s">
        <v>114</v>
      </c>
      <c r="D1490">
        <f t="shared" si="148"/>
        <v>2097</v>
      </c>
      <c r="E1490" t="s">
        <v>115</v>
      </c>
      <c r="H1490" s="53">
        <f>DATE(K1490,8,1)+(14-WEEKDAY(DATE(K1490,8,1),2))</f>
        <v>73641</v>
      </c>
      <c r="I1490" s="54">
        <f t="shared" si="147"/>
        <v>73641</v>
      </c>
      <c r="J1490" t="s">
        <v>123</v>
      </c>
      <c r="K1490">
        <f t="shared" si="144"/>
        <v>2101</v>
      </c>
      <c r="L1490" t="s">
        <v>110</v>
      </c>
    </row>
    <row r="1491" spans="1:12" x14ac:dyDescent="0.3">
      <c r="A1491" s="53">
        <f>DATE(D1491,4,21)</f>
        <v>72066</v>
      </c>
      <c r="B1491" s="54">
        <f t="shared" si="146"/>
        <v>72066</v>
      </c>
      <c r="C1491" t="s">
        <v>116</v>
      </c>
      <c r="D1491">
        <f t="shared" si="148"/>
        <v>2097</v>
      </c>
      <c r="E1491" t="s">
        <v>110</v>
      </c>
      <c r="H1491" s="53">
        <f>DATE(K1491,9,7)</f>
        <v>73665</v>
      </c>
      <c r="I1491" s="54">
        <f t="shared" si="147"/>
        <v>73665</v>
      </c>
      <c r="J1491" t="s">
        <v>124</v>
      </c>
      <c r="K1491">
        <f t="shared" si="144"/>
        <v>2101</v>
      </c>
      <c r="L1491" t="s">
        <v>110</v>
      </c>
    </row>
    <row r="1492" spans="1:12" x14ac:dyDescent="0.3">
      <c r="A1492" s="53">
        <f>DATE(D1492,5,1)</f>
        <v>72076</v>
      </c>
      <c r="B1492" s="54">
        <f t="shared" si="146"/>
        <v>72076</v>
      </c>
      <c r="C1492" t="s">
        <v>117</v>
      </c>
      <c r="D1492">
        <f t="shared" si="148"/>
        <v>2097</v>
      </c>
      <c r="E1492" t="s">
        <v>110</v>
      </c>
      <c r="H1492" s="53">
        <f>DATE(K1492,10,12)</f>
        <v>73700</v>
      </c>
      <c r="I1492" s="54">
        <f t="shared" si="147"/>
        <v>73700</v>
      </c>
      <c r="J1492" t="s">
        <v>125</v>
      </c>
      <c r="K1492">
        <f t="shared" si="144"/>
        <v>2101</v>
      </c>
      <c r="L1492" t="s">
        <v>110</v>
      </c>
    </row>
    <row r="1493" spans="1:12" x14ac:dyDescent="0.3">
      <c r="A1493" s="53">
        <f>DATE(D1493,5,1)+(14-WEEKDAY(DATE(D1493,5,1),2))</f>
        <v>72087</v>
      </c>
      <c r="B1493" s="54">
        <f t="shared" si="146"/>
        <v>72087</v>
      </c>
      <c r="C1493" t="s">
        <v>118</v>
      </c>
      <c r="D1493">
        <f t="shared" si="148"/>
        <v>2097</v>
      </c>
      <c r="E1493" t="s">
        <v>110</v>
      </c>
      <c r="H1493" s="53">
        <f>DATE(K1493,11,2)</f>
        <v>73721</v>
      </c>
      <c r="I1493" s="54">
        <f t="shared" si="147"/>
        <v>73721</v>
      </c>
      <c r="J1493" t="s">
        <v>126</v>
      </c>
      <c r="K1493">
        <f t="shared" si="144"/>
        <v>2101</v>
      </c>
      <c r="L1493" t="s">
        <v>110</v>
      </c>
    </row>
    <row r="1494" spans="1:12" x14ac:dyDescent="0.3">
      <c r="A1494" s="53">
        <f>A1489+60</f>
        <v>72105</v>
      </c>
      <c r="B1494" s="54">
        <f t="shared" si="146"/>
        <v>72105</v>
      </c>
      <c r="C1494" t="s">
        <v>119</v>
      </c>
      <c r="D1494">
        <f t="shared" si="148"/>
        <v>2097</v>
      </c>
      <c r="E1494" t="s">
        <v>110</v>
      </c>
      <c r="H1494" s="53">
        <f>DATE(K1494,11,15)</f>
        <v>73734</v>
      </c>
      <c r="I1494" s="54">
        <f t="shared" si="147"/>
        <v>73734</v>
      </c>
      <c r="J1494" t="s">
        <v>127</v>
      </c>
      <c r="K1494">
        <f t="shared" si="144"/>
        <v>2101</v>
      </c>
      <c r="L1494" t="s">
        <v>110</v>
      </c>
    </row>
    <row r="1495" spans="1:12" x14ac:dyDescent="0.3">
      <c r="A1495" s="53">
        <f>DATE(D1495,7,9)</f>
        <v>72145</v>
      </c>
      <c r="B1495" s="54">
        <f t="shared" si="146"/>
        <v>72145</v>
      </c>
      <c r="C1495" t="s">
        <v>120</v>
      </c>
      <c r="D1495">
        <f t="shared" si="148"/>
        <v>2097</v>
      </c>
      <c r="E1495" t="s">
        <v>121</v>
      </c>
      <c r="H1495" s="53">
        <f>DATE(K1495,11,20)</f>
        <v>73739</v>
      </c>
      <c r="I1495" s="54">
        <f t="shared" si="147"/>
        <v>73739</v>
      </c>
      <c r="J1495" t="s">
        <v>128</v>
      </c>
      <c r="K1495">
        <f t="shared" si="144"/>
        <v>2101</v>
      </c>
      <c r="L1495" t="s">
        <v>110</v>
      </c>
    </row>
    <row r="1496" spans="1:12" x14ac:dyDescent="0.3">
      <c r="A1496" s="53">
        <f>DATE(D1496,8,8)</f>
        <v>72175</v>
      </c>
      <c r="B1496" s="54">
        <f t="shared" si="146"/>
        <v>72175</v>
      </c>
      <c r="C1496" t="s">
        <v>122</v>
      </c>
      <c r="D1496">
        <f t="shared" si="148"/>
        <v>2097</v>
      </c>
      <c r="E1496" t="s">
        <v>115</v>
      </c>
      <c r="H1496" s="53">
        <f>DATE(K1496,12,25)</f>
        <v>73774</v>
      </c>
      <c r="I1496" s="54">
        <f t="shared" si="147"/>
        <v>73774</v>
      </c>
      <c r="J1496" t="s">
        <v>129</v>
      </c>
      <c r="K1496">
        <f t="shared" si="144"/>
        <v>2101</v>
      </c>
      <c r="L1496" t="s">
        <v>110</v>
      </c>
    </row>
    <row r="1497" spans="1:12" x14ac:dyDescent="0.3">
      <c r="A1497" s="53">
        <f>DATE(D1497,8,1)+(14-WEEKDAY(DATE(D1497,8,1),2))</f>
        <v>72178</v>
      </c>
      <c r="B1497" s="54">
        <f t="shared" si="146"/>
        <v>72178</v>
      </c>
      <c r="C1497" t="s">
        <v>123</v>
      </c>
      <c r="D1497">
        <f t="shared" si="148"/>
        <v>2097</v>
      </c>
      <c r="E1497" t="s">
        <v>110</v>
      </c>
      <c r="H1497" s="53">
        <f>DATE(K1497,1,1)</f>
        <v>73781</v>
      </c>
      <c r="I1497" s="54">
        <f t="shared" si="147"/>
        <v>73781</v>
      </c>
      <c r="J1497" t="s">
        <v>109</v>
      </c>
      <c r="K1497">
        <f>K1479+1</f>
        <v>2102</v>
      </c>
      <c r="L1497" t="s">
        <v>110</v>
      </c>
    </row>
    <row r="1498" spans="1:12" x14ac:dyDescent="0.3">
      <c r="A1498" s="53">
        <f>DATE(D1498,9,7)</f>
        <v>72205</v>
      </c>
      <c r="B1498" s="54">
        <f t="shared" si="146"/>
        <v>72205</v>
      </c>
      <c r="C1498" t="s">
        <v>124</v>
      </c>
      <c r="D1498">
        <f t="shared" si="148"/>
        <v>2097</v>
      </c>
      <c r="E1498" t="s">
        <v>110</v>
      </c>
      <c r="H1498" s="53">
        <f>H1501-48</f>
        <v>73831</v>
      </c>
      <c r="I1498" s="54">
        <f t="shared" si="147"/>
        <v>73831</v>
      </c>
      <c r="J1498" t="s">
        <v>111</v>
      </c>
      <c r="K1498">
        <f t="shared" si="144"/>
        <v>2102</v>
      </c>
      <c r="L1498" t="s">
        <v>110</v>
      </c>
    </row>
    <row r="1499" spans="1:12" x14ac:dyDescent="0.3">
      <c r="A1499" s="53">
        <f>DATE(D1499,10,12)</f>
        <v>72240</v>
      </c>
      <c r="B1499" s="54">
        <f t="shared" si="146"/>
        <v>72240</v>
      </c>
      <c r="C1499" t="s">
        <v>125</v>
      </c>
      <c r="D1499">
        <f t="shared" si="148"/>
        <v>2097</v>
      </c>
      <c r="E1499" t="s">
        <v>110</v>
      </c>
      <c r="H1499" s="53">
        <f>H1501-47</f>
        <v>73832</v>
      </c>
      <c r="I1499" s="54">
        <f t="shared" si="147"/>
        <v>73832</v>
      </c>
      <c r="J1499" t="s">
        <v>111</v>
      </c>
      <c r="K1499">
        <f t="shared" si="144"/>
        <v>2102</v>
      </c>
      <c r="L1499" t="s">
        <v>110</v>
      </c>
    </row>
    <row r="1500" spans="1:12" x14ac:dyDescent="0.3">
      <c r="A1500" s="53">
        <f>DATE(D1500,11,2)</f>
        <v>72261</v>
      </c>
      <c r="B1500" s="54">
        <f t="shared" si="146"/>
        <v>72261</v>
      </c>
      <c r="C1500" t="s">
        <v>126</v>
      </c>
      <c r="D1500">
        <f t="shared" si="148"/>
        <v>2097</v>
      </c>
      <c r="E1500" t="s">
        <v>110</v>
      </c>
      <c r="H1500" s="53">
        <f>H1501-2</f>
        <v>73877</v>
      </c>
      <c r="I1500" s="54">
        <f t="shared" si="147"/>
        <v>73877</v>
      </c>
      <c r="J1500" t="s">
        <v>112</v>
      </c>
      <c r="K1500">
        <f t="shared" si="144"/>
        <v>2102</v>
      </c>
      <c r="L1500" t="s">
        <v>110</v>
      </c>
    </row>
    <row r="1501" spans="1:12" x14ac:dyDescent="0.3">
      <c r="A1501" s="53">
        <f>DATE(D1501,11,15)</f>
        <v>72274</v>
      </c>
      <c r="B1501" s="54">
        <f t="shared" si="146"/>
        <v>72274</v>
      </c>
      <c r="C1501" t="s">
        <v>127</v>
      </c>
      <c r="D1501">
        <f t="shared" si="148"/>
        <v>2097</v>
      </c>
      <c r="E1501" t="s">
        <v>110</v>
      </c>
      <c r="H1501" s="53">
        <f>FLOOR(DAY(MINUTE(K1501/38)/2+56)&amp;"/5"&amp;"/"&amp;K1501,7)-34</f>
        <v>73879</v>
      </c>
      <c r="I1501" s="54">
        <f t="shared" si="147"/>
        <v>73879</v>
      </c>
      <c r="J1501" t="s">
        <v>113</v>
      </c>
      <c r="K1501">
        <f t="shared" si="144"/>
        <v>2102</v>
      </c>
      <c r="L1501" t="s">
        <v>110</v>
      </c>
    </row>
    <row r="1502" spans="1:12" x14ac:dyDescent="0.3">
      <c r="A1502" s="53">
        <f>DATE(D1502,11,20)</f>
        <v>72279</v>
      </c>
      <c r="B1502" s="54">
        <f t="shared" si="146"/>
        <v>72279</v>
      </c>
      <c r="C1502" t="s">
        <v>128</v>
      </c>
      <c r="D1502">
        <f t="shared" si="148"/>
        <v>2097</v>
      </c>
      <c r="E1502" t="s">
        <v>110</v>
      </c>
      <c r="H1502" s="53">
        <f>DATE(K1502,4,21)</f>
        <v>73891</v>
      </c>
      <c r="I1502" s="54">
        <f t="shared" si="147"/>
        <v>73891</v>
      </c>
      <c r="J1502" t="s">
        <v>116</v>
      </c>
      <c r="K1502">
        <f t="shared" si="144"/>
        <v>2102</v>
      </c>
      <c r="L1502" t="s">
        <v>110</v>
      </c>
    </row>
    <row r="1503" spans="1:12" x14ac:dyDescent="0.3">
      <c r="A1503" s="53">
        <f>DATE(D1503,12,25)</f>
        <v>72314</v>
      </c>
      <c r="B1503" s="54">
        <f t="shared" si="146"/>
        <v>72314</v>
      </c>
      <c r="C1503" t="s">
        <v>129</v>
      </c>
      <c r="D1503">
        <f t="shared" si="148"/>
        <v>2097</v>
      </c>
      <c r="E1503" t="s">
        <v>110</v>
      </c>
      <c r="H1503" s="53">
        <f>DATE(K1503,5,1)</f>
        <v>73901</v>
      </c>
      <c r="I1503" s="54">
        <f t="shared" si="147"/>
        <v>73901</v>
      </c>
      <c r="J1503" t="s">
        <v>117</v>
      </c>
      <c r="K1503">
        <f t="shared" si="144"/>
        <v>2102</v>
      </c>
      <c r="L1503" t="s">
        <v>110</v>
      </c>
    </row>
    <row r="1504" spans="1:12" x14ac:dyDescent="0.3">
      <c r="A1504" s="53">
        <f>DATE(D1504,1,1)</f>
        <v>72321</v>
      </c>
      <c r="B1504" s="54">
        <f t="shared" si="146"/>
        <v>72321</v>
      </c>
      <c r="C1504" t="s">
        <v>109</v>
      </c>
      <c r="D1504">
        <f>D1485+1</f>
        <v>2098</v>
      </c>
      <c r="E1504" t="s">
        <v>110</v>
      </c>
      <c r="H1504" s="53">
        <f>DATE(K1504,5,1)+(14-WEEKDAY(DATE(K1504,5,1),2))</f>
        <v>73914</v>
      </c>
      <c r="I1504" s="54">
        <f t="shared" si="147"/>
        <v>73914</v>
      </c>
      <c r="J1504" t="s">
        <v>118</v>
      </c>
      <c r="K1504">
        <f t="shared" si="144"/>
        <v>2102</v>
      </c>
      <c r="L1504" t="s">
        <v>110</v>
      </c>
    </row>
    <row r="1505" spans="1:12" x14ac:dyDescent="0.3">
      <c r="A1505" s="53">
        <f>A1508-48</f>
        <v>72382</v>
      </c>
      <c r="B1505" s="54">
        <f t="shared" si="146"/>
        <v>72382</v>
      </c>
      <c r="C1505" t="s">
        <v>111</v>
      </c>
      <c r="D1505">
        <f t="shared" ref="D1505:D1568" si="149">D1486+1</f>
        <v>2098</v>
      </c>
      <c r="E1505" t="s">
        <v>110</v>
      </c>
      <c r="H1505" s="53">
        <f>H1501+60</f>
        <v>73939</v>
      </c>
      <c r="I1505" s="54">
        <f t="shared" si="147"/>
        <v>73939</v>
      </c>
      <c r="J1505" t="s">
        <v>119</v>
      </c>
      <c r="K1505">
        <f t="shared" si="144"/>
        <v>2102</v>
      </c>
      <c r="L1505" t="s">
        <v>110</v>
      </c>
    </row>
    <row r="1506" spans="1:12" x14ac:dyDescent="0.3">
      <c r="A1506" s="53">
        <f>A1508-47</f>
        <v>72383</v>
      </c>
      <c r="B1506" s="54">
        <f t="shared" si="146"/>
        <v>72383</v>
      </c>
      <c r="C1506" t="s">
        <v>111</v>
      </c>
      <c r="D1506">
        <f t="shared" si="149"/>
        <v>2098</v>
      </c>
      <c r="E1506" t="s">
        <v>110</v>
      </c>
      <c r="H1506" s="53">
        <f>DATE(K1506,6,19)</f>
        <v>73950</v>
      </c>
      <c r="I1506" s="54">
        <f t="shared" si="147"/>
        <v>73950</v>
      </c>
      <c r="J1506" t="s">
        <v>114</v>
      </c>
      <c r="K1506">
        <f t="shared" si="144"/>
        <v>2102</v>
      </c>
      <c r="L1506" t="s">
        <v>115</v>
      </c>
    </row>
    <row r="1507" spans="1:12" x14ac:dyDescent="0.3">
      <c r="A1507" s="53">
        <f>A1508-2</f>
        <v>72428</v>
      </c>
      <c r="B1507" s="54">
        <f t="shared" si="146"/>
        <v>72428</v>
      </c>
      <c r="C1507" t="s">
        <v>112</v>
      </c>
      <c r="D1507">
        <f t="shared" si="149"/>
        <v>2098</v>
      </c>
      <c r="E1507" t="s">
        <v>110</v>
      </c>
      <c r="H1507" s="53">
        <f>DATE(K1507,7,9)</f>
        <v>73970</v>
      </c>
      <c r="I1507" s="54">
        <f t="shared" si="147"/>
        <v>73970</v>
      </c>
      <c r="J1507" t="s">
        <v>120</v>
      </c>
      <c r="K1507">
        <f t="shared" si="144"/>
        <v>2102</v>
      </c>
      <c r="L1507" t="s">
        <v>121</v>
      </c>
    </row>
    <row r="1508" spans="1:12" x14ac:dyDescent="0.3">
      <c r="A1508" s="53">
        <f>FLOOR(DAY(MINUTE(D1508/38)/2+56)&amp;"/5"&amp;"/"&amp;D1508,7)-34</f>
        <v>72430</v>
      </c>
      <c r="B1508" s="54">
        <f t="shared" si="146"/>
        <v>72430</v>
      </c>
      <c r="C1508" t="s">
        <v>113</v>
      </c>
      <c r="D1508">
        <f t="shared" si="149"/>
        <v>2098</v>
      </c>
      <c r="E1508" t="s">
        <v>110</v>
      </c>
      <c r="H1508" s="53">
        <f>DATE(K1508,8,1)+(14-WEEKDAY(DATE(K1508,8,1),2))</f>
        <v>74005</v>
      </c>
      <c r="I1508" s="54">
        <f t="shared" si="147"/>
        <v>74005</v>
      </c>
      <c r="J1508" t="s">
        <v>123</v>
      </c>
      <c r="K1508">
        <f t="shared" si="144"/>
        <v>2102</v>
      </c>
      <c r="L1508" t="s">
        <v>110</v>
      </c>
    </row>
    <row r="1509" spans="1:12" x14ac:dyDescent="0.3">
      <c r="A1509" s="53">
        <f>DATE(D1509,4,14)</f>
        <v>72424</v>
      </c>
      <c r="B1509" s="54">
        <f t="shared" si="146"/>
        <v>72424</v>
      </c>
      <c r="C1509" t="s">
        <v>114</v>
      </c>
      <c r="D1509">
        <f t="shared" si="149"/>
        <v>2098</v>
      </c>
      <c r="E1509" t="s">
        <v>115</v>
      </c>
      <c r="H1509" s="53">
        <f>DATE(K1509,9,7)</f>
        <v>74030</v>
      </c>
      <c r="I1509" s="54">
        <f t="shared" si="147"/>
        <v>74030</v>
      </c>
      <c r="J1509" t="s">
        <v>124</v>
      </c>
      <c r="K1509">
        <f t="shared" si="144"/>
        <v>2102</v>
      </c>
      <c r="L1509" t="s">
        <v>110</v>
      </c>
    </row>
    <row r="1510" spans="1:12" x14ac:dyDescent="0.3">
      <c r="A1510" s="53">
        <f>DATE(D1510,4,21)</f>
        <v>72431</v>
      </c>
      <c r="B1510" s="54">
        <f t="shared" si="146"/>
        <v>72431</v>
      </c>
      <c r="C1510" t="s">
        <v>116</v>
      </c>
      <c r="D1510">
        <f t="shared" si="149"/>
        <v>2098</v>
      </c>
      <c r="E1510" t="s">
        <v>110</v>
      </c>
      <c r="H1510" s="53">
        <f>DATE(K1510,10,12)</f>
        <v>74065</v>
      </c>
      <c r="I1510" s="54">
        <f t="shared" si="147"/>
        <v>74065</v>
      </c>
      <c r="J1510" t="s">
        <v>125</v>
      </c>
      <c r="K1510">
        <f t="shared" si="144"/>
        <v>2102</v>
      </c>
      <c r="L1510" t="s">
        <v>110</v>
      </c>
    </row>
    <row r="1511" spans="1:12" x14ac:dyDescent="0.3">
      <c r="A1511" s="53">
        <f>DATE(D1511,5,1)</f>
        <v>72441</v>
      </c>
      <c r="B1511" s="54">
        <f t="shared" si="146"/>
        <v>72441</v>
      </c>
      <c r="C1511" t="s">
        <v>117</v>
      </c>
      <c r="D1511">
        <f t="shared" si="149"/>
        <v>2098</v>
      </c>
      <c r="E1511" t="s">
        <v>110</v>
      </c>
      <c r="H1511" s="53">
        <f>DATE(K1511,11,2)</f>
        <v>74086</v>
      </c>
      <c r="I1511" s="54">
        <f t="shared" si="147"/>
        <v>74086</v>
      </c>
      <c r="J1511" t="s">
        <v>126</v>
      </c>
      <c r="K1511">
        <f t="shared" si="144"/>
        <v>2102</v>
      </c>
      <c r="L1511" t="s">
        <v>110</v>
      </c>
    </row>
    <row r="1512" spans="1:12" x14ac:dyDescent="0.3">
      <c r="A1512" s="53">
        <f>DATE(D1512,5,1)+(14-WEEKDAY(DATE(D1512,5,1),2))</f>
        <v>72451</v>
      </c>
      <c r="B1512" s="54">
        <f t="shared" si="146"/>
        <v>72451</v>
      </c>
      <c r="C1512" t="s">
        <v>118</v>
      </c>
      <c r="D1512">
        <f t="shared" si="149"/>
        <v>2098</v>
      </c>
      <c r="E1512" t="s">
        <v>110</v>
      </c>
      <c r="H1512" s="53">
        <f>DATE(K1512,11,15)</f>
        <v>74099</v>
      </c>
      <c r="I1512" s="54">
        <f t="shared" si="147"/>
        <v>74099</v>
      </c>
      <c r="J1512" t="s">
        <v>127</v>
      </c>
      <c r="K1512">
        <f t="shared" si="144"/>
        <v>2102</v>
      </c>
      <c r="L1512" t="s">
        <v>110</v>
      </c>
    </row>
    <row r="1513" spans="1:12" x14ac:dyDescent="0.3">
      <c r="A1513" s="53">
        <f>A1508+60</f>
        <v>72490</v>
      </c>
      <c r="B1513" s="54">
        <f t="shared" si="146"/>
        <v>72490</v>
      </c>
      <c r="C1513" t="s">
        <v>119</v>
      </c>
      <c r="D1513">
        <f t="shared" si="149"/>
        <v>2098</v>
      </c>
      <c r="E1513" t="s">
        <v>110</v>
      </c>
      <c r="H1513" s="53">
        <f>DATE(K1513,11,20)</f>
        <v>74104</v>
      </c>
      <c r="I1513" s="54">
        <f t="shared" si="147"/>
        <v>74104</v>
      </c>
      <c r="J1513" t="s">
        <v>128</v>
      </c>
      <c r="K1513">
        <f t="shared" si="144"/>
        <v>2102</v>
      </c>
      <c r="L1513" t="s">
        <v>110</v>
      </c>
    </row>
    <row r="1514" spans="1:12" x14ac:dyDescent="0.3">
      <c r="A1514" s="53">
        <f>DATE(D1514,7,9)</f>
        <v>72510</v>
      </c>
      <c r="B1514" s="54">
        <f t="shared" si="146"/>
        <v>72510</v>
      </c>
      <c r="C1514" t="s">
        <v>120</v>
      </c>
      <c r="D1514">
        <f t="shared" si="149"/>
        <v>2098</v>
      </c>
      <c r="E1514" t="s">
        <v>121</v>
      </c>
      <c r="H1514" s="53">
        <f>DATE(K1514,12,25)</f>
        <v>74139</v>
      </c>
      <c r="I1514" s="54">
        <f t="shared" si="147"/>
        <v>74139</v>
      </c>
      <c r="J1514" t="s">
        <v>129</v>
      </c>
      <c r="K1514">
        <f t="shared" si="144"/>
        <v>2102</v>
      </c>
      <c r="L1514" t="s">
        <v>110</v>
      </c>
    </row>
    <row r="1515" spans="1:12" x14ac:dyDescent="0.3">
      <c r="A1515" s="53">
        <f>DATE(D1515,8,8)</f>
        <v>72540</v>
      </c>
      <c r="B1515" s="54">
        <f t="shared" si="146"/>
        <v>72540</v>
      </c>
      <c r="C1515" t="s">
        <v>122</v>
      </c>
      <c r="D1515">
        <f t="shared" si="149"/>
        <v>2098</v>
      </c>
      <c r="E1515" t="s">
        <v>115</v>
      </c>
      <c r="H1515" s="53">
        <f>DATE(K1515,1,1)</f>
        <v>74146</v>
      </c>
      <c r="I1515" s="54">
        <f t="shared" si="147"/>
        <v>74146</v>
      </c>
      <c r="J1515" t="s">
        <v>109</v>
      </c>
      <c r="K1515">
        <f>K1497+1</f>
        <v>2103</v>
      </c>
      <c r="L1515" t="s">
        <v>110</v>
      </c>
    </row>
    <row r="1516" spans="1:12" x14ac:dyDescent="0.3">
      <c r="A1516" s="53">
        <f>DATE(D1516,8,1)+(14-WEEKDAY(DATE(D1516,8,1),2))</f>
        <v>72542</v>
      </c>
      <c r="B1516" s="54">
        <f t="shared" si="146"/>
        <v>72542</v>
      </c>
      <c r="C1516" t="s">
        <v>123</v>
      </c>
      <c r="D1516">
        <f t="shared" si="149"/>
        <v>2098</v>
      </c>
      <c r="E1516" t="s">
        <v>110</v>
      </c>
      <c r="H1516" s="53">
        <f>H1519-48</f>
        <v>74181</v>
      </c>
      <c r="I1516" s="54">
        <f t="shared" si="147"/>
        <v>74181</v>
      </c>
      <c r="J1516" t="s">
        <v>111</v>
      </c>
      <c r="K1516">
        <f t="shared" si="144"/>
        <v>2103</v>
      </c>
      <c r="L1516" t="s">
        <v>110</v>
      </c>
    </row>
    <row r="1517" spans="1:12" x14ac:dyDescent="0.3">
      <c r="A1517" s="53">
        <f>DATE(D1517,9,7)</f>
        <v>72570</v>
      </c>
      <c r="B1517" s="54">
        <f t="shared" si="146"/>
        <v>72570</v>
      </c>
      <c r="C1517" t="s">
        <v>124</v>
      </c>
      <c r="D1517">
        <f t="shared" si="149"/>
        <v>2098</v>
      </c>
      <c r="E1517" t="s">
        <v>110</v>
      </c>
      <c r="H1517" s="53">
        <f>H1519-47</f>
        <v>74182</v>
      </c>
      <c r="I1517" s="54">
        <f t="shared" si="147"/>
        <v>74182</v>
      </c>
      <c r="J1517" t="s">
        <v>111</v>
      </c>
      <c r="K1517">
        <f t="shared" si="144"/>
        <v>2103</v>
      </c>
      <c r="L1517" t="s">
        <v>110</v>
      </c>
    </row>
    <row r="1518" spans="1:12" x14ac:dyDescent="0.3">
      <c r="A1518" s="53">
        <f>DATE(D1518,10,12)</f>
        <v>72605</v>
      </c>
      <c r="B1518" s="54">
        <f t="shared" si="146"/>
        <v>72605</v>
      </c>
      <c r="C1518" t="s">
        <v>125</v>
      </c>
      <c r="D1518">
        <f t="shared" si="149"/>
        <v>2098</v>
      </c>
      <c r="E1518" t="s">
        <v>110</v>
      </c>
      <c r="H1518" s="53">
        <f>H1519-2</f>
        <v>74227</v>
      </c>
      <c r="I1518" s="54">
        <f t="shared" si="147"/>
        <v>74227</v>
      </c>
      <c r="J1518" t="s">
        <v>112</v>
      </c>
      <c r="K1518">
        <f t="shared" si="144"/>
        <v>2103</v>
      </c>
      <c r="L1518" t="s">
        <v>110</v>
      </c>
    </row>
    <row r="1519" spans="1:12" x14ac:dyDescent="0.3">
      <c r="A1519" s="53">
        <f>DATE(D1519,11,2)</f>
        <v>72626</v>
      </c>
      <c r="B1519" s="54">
        <f t="shared" si="146"/>
        <v>72626</v>
      </c>
      <c r="C1519" t="s">
        <v>126</v>
      </c>
      <c r="D1519">
        <f t="shared" si="149"/>
        <v>2098</v>
      </c>
      <c r="E1519" t="s">
        <v>110</v>
      </c>
      <c r="H1519" s="53">
        <f>FLOOR(DAY(MINUTE(K1519/38)/2+56)&amp;"/5"&amp;"/"&amp;K1519,7)-34</f>
        <v>74229</v>
      </c>
      <c r="I1519" s="54">
        <f t="shared" si="147"/>
        <v>74229</v>
      </c>
      <c r="J1519" t="s">
        <v>113</v>
      </c>
      <c r="K1519">
        <f t="shared" si="144"/>
        <v>2103</v>
      </c>
      <c r="L1519" t="s">
        <v>110</v>
      </c>
    </row>
    <row r="1520" spans="1:12" x14ac:dyDescent="0.3">
      <c r="A1520" s="53">
        <f>DATE(D1520,11,15)</f>
        <v>72639</v>
      </c>
      <c r="B1520" s="54">
        <f t="shared" si="146"/>
        <v>72639</v>
      </c>
      <c r="C1520" t="s">
        <v>127</v>
      </c>
      <c r="D1520">
        <f t="shared" si="149"/>
        <v>2098</v>
      </c>
      <c r="E1520" t="s">
        <v>110</v>
      </c>
      <c r="H1520" s="53">
        <f>DATE(K1520,4,21)</f>
        <v>74256</v>
      </c>
      <c r="I1520" s="54">
        <f t="shared" si="147"/>
        <v>74256</v>
      </c>
      <c r="J1520" t="s">
        <v>116</v>
      </c>
      <c r="K1520">
        <f t="shared" si="144"/>
        <v>2103</v>
      </c>
      <c r="L1520" t="s">
        <v>110</v>
      </c>
    </row>
    <row r="1521" spans="1:12" x14ac:dyDescent="0.3">
      <c r="A1521" s="53">
        <f>DATE(D1521,11,20)</f>
        <v>72644</v>
      </c>
      <c r="B1521" s="54">
        <f t="shared" si="146"/>
        <v>72644</v>
      </c>
      <c r="C1521" t="s">
        <v>128</v>
      </c>
      <c r="D1521">
        <f t="shared" si="149"/>
        <v>2098</v>
      </c>
      <c r="E1521" t="s">
        <v>110</v>
      </c>
      <c r="H1521" s="53">
        <f>DATE(K1521,5,1)</f>
        <v>74266</v>
      </c>
      <c r="I1521" s="54">
        <f t="shared" si="147"/>
        <v>74266</v>
      </c>
      <c r="J1521" t="s">
        <v>117</v>
      </c>
      <c r="K1521">
        <f t="shared" si="144"/>
        <v>2103</v>
      </c>
      <c r="L1521" t="s">
        <v>110</v>
      </c>
    </row>
    <row r="1522" spans="1:12" x14ac:dyDescent="0.3">
      <c r="A1522" s="53">
        <f>DATE(D1522,12,25)</f>
        <v>72679</v>
      </c>
      <c r="B1522" s="54">
        <f t="shared" si="146"/>
        <v>72679</v>
      </c>
      <c r="C1522" t="s">
        <v>129</v>
      </c>
      <c r="D1522">
        <f t="shared" si="149"/>
        <v>2098</v>
      </c>
      <c r="E1522" t="s">
        <v>110</v>
      </c>
      <c r="H1522" s="53">
        <f>DATE(K1522,5,1)+(14-WEEKDAY(DATE(K1522,5,1),2))</f>
        <v>74278</v>
      </c>
      <c r="I1522" s="54">
        <f t="shared" si="147"/>
        <v>74278</v>
      </c>
      <c r="J1522" t="s">
        <v>118</v>
      </c>
      <c r="K1522">
        <f t="shared" si="144"/>
        <v>2103</v>
      </c>
      <c r="L1522" t="s">
        <v>110</v>
      </c>
    </row>
    <row r="1523" spans="1:12" x14ac:dyDescent="0.3">
      <c r="A1523" s="53">
        <f>DATE(D1523,1,1)</f>
        <v>72686</v>
      </c>
      <c r="B1523" s="54">
        <f t="shared" si="146"/>
        <v>72686</v>
      </c>
      <c r="C1523" t="s">
        <v>109</v>
      </c>
      <c r="D1523">
        <f>D1504+1</f>
        <v>2099</v>
      </c>
      <c r="E1523" t="s">
        <v>110</v>
      </c>
      <c r="H1523" s="53">
        <f>H1519+60</f>
        <v>74289</v>
      </c>
      <c r="I1523" s="54">
        <f t="shared" si="147"/>
        <v>74289</v>
      </c>
      <c r="J1523" t="s">
        <v>119</v>
      </c>
      <c r="K1523">
        <f t="shared" si="144"/>
        <v>2103</v>
      </c>
      <c r="L1523" t="s">
        <v>110</v>
      </c>
    </row>
    <row r="1524" spans="1:12" x14ac:dyDescent="0.3">
      <c r="A1524" s="53">
        <f>A1527-48</f>
        <v>72739</v>
      </c>
      <c r="B1524" s="54">
        <f t="shared" si="146"/>
        <v>72739</v>
      </c>
      <c r="C1524" t="s">
        <v>111</v>
      </c>
      <c r="D1524">
        <f t="shared" si="149"/>
        <v>2099</v>
      </c>
      <c r="E1524" t="s">
        <v>110</v>
      </c>
      <c r="H1524" s="53">
        <f>DATE(K1524,6,19)</f>
        <v>74315</v>
      </c>
      <c r="I1524" s="54">
        <f t="shared" si="147"/>
        <v>74315</v>
      </c>
      <c r="J1524" t="s">
        <v>114</v>
      </c>
      <c r="K1524">
        <f t="shared" si="144"/>
        <v>2103</v>
      </c>
      <c r="L1524" t="s">
        <v>115</v>
      </c>
    </row>
    <row r="1525" spans="1:12" x14ac:dyDescent="0.3">
      <c r="A1525" s="53">
        <f>A1527-47</f>
        <v>72740</v>
      </c>
      <c r="B1525" s="54">
        <f t="shared" si="146"/>
        <v>72740</v>
      </c>
      <c r="C1525" t="s">
        <v>111</v>
      </c>
      <c r="D1525">
        <f t="shared" si="149"/>
        <v>2099</v>
      </c>
      <c r="E1525" t="s">
        <v>110</v>
      </c>
      <c r="H1525" s="53">
        <f>DATE(K1525,7,9)</f>
        <v>74335</v>
      </c>
      <c r="I1525" s="54">
        <f t="shared" si="147"/>
        <v>74335</v>
      </c>
      <c r="J1525" t="s">
        <v>120</v>
      </c>
      <c r="K1525">
        <f t="shared" si="144"/>
        <v>2103</v>
      </c>
      <c r="L1525" t="s">
        <v>121</v>
      </c>
    </row>
    <row r="1526" spans="1:12" x14ac:dyDescent="0.3">
      <c r="A1526" s="53">
        <f>A1527-2</f>
        <v>72785</v>
      </c>
      <c r="B1526" s="54">
        <f t="shared" si="146"/>
        <v>72785</v>
      </c>
      <c r="C1526" t="s">
        <v>112</v>
      </c>
      <c r="D1526">
        <f t="shared" si="149"/>
        <v>2099</v>
      </c>
      <c r="E1526" t="s">
        <v>110</v>
      </c>
      <c r="H1526" s="53">
        <f>DATE(K1526,8,1)+(14-WEEKDAY(DATE(K1526,8,1),2))</f>
        <v>74369</v>
      </c>
      <c r="I1526" s="54">
        <f t="shared" si="147"/>
        <v>74369</v>
      </c>
      <c r="J1526" t="s">
        <v>123</v>
      </c>
      <c r="K1526">
        <f t="shared" ref="K1526:K1532" si="150">K1508+1</f>
        <v>2103</v>
      </c>
      <c r="L1526" t="s">
        <v>110</v>
      </c>
    </row>
    <row r="1527" spans="1:12" x14ac:dyDescent="0.3">
      <c r="A1527" s="53">
        <f>FLOOR(DAY(MINUTE(D1527/38)/2+56)&amp;"/5"&amp;"/"&amp;D1527,7)-34</f>
        <v>72787</v>
      </c>
      <c r="B1527" s="54">
        <f t="shared" si="146"/>
        <v>72787</v>
      </c>
      <c r="C1527" t="s">
        <v>113</v>
      </c>
      <c r="D1527">
        <f t="shared" si="149"/>
        <v>2099</v>
      </c>
      <c r="E1527" t="s">
        <v>110</v>
      </c>
      <c r="H1527" s="53">
        <f>DATE(K1527,9,7)</f>
        <v>74395</v>
      </c>
      <c r="I1527" s="54">
        <f t="shared" si="147"/>
        <v>74395</v>
      </c>
      <c r="J1527" t="s">
        <v>124</v>
      </c>
      <c r="K1527">
        <f t="shared" si="150"/>
        <v>2103</v>
      </c>
      <c r="L1527" t="s">
        <v>110</v>
      </c>
    </row>
    <row r="1528" spans="1:12" x14ac:dyDescent="0.3">
      <c r="A1528" s="53">
        <f>DATE(D1528,4,14)</f>
        <v>72789</v>
      </c>
      <c r="B1528" s="54">
        <f t="shared" si="146"/>
        <v>72789</v>
      </c>
      <c r="C1528" t="s">
        <v>114</v>
      </c>
      <c r="D1528">
        <f t="shared" si="149"/>
        <v>2099</v>
      </c>
      <c r="E1528" t="s">
        <v>115</v>
      </c>
      <c r="H1528" s="53">
        <f>DATE(K1528,10,12)</f>
        <v>74430</v>
      </c>
      <c r="I1528" s="54">
        <f t="shared" si="147"/>
        <v>74430</v>
      </c>
      <c r="J1528" t="s">
        <v>125</v>
      </c>
      <c r="K1528">
        <f t="shared" si="150"/>
        <v>2103</v>
      </c>
      <c r="L1528" t="s">
        <v>110</v>
      </c>
    </row>
    <row r="1529" spans="1:12" x14ac:dyDescent="0.3">
      <c r="A1529" s="53">
        <f>DATE(D1529,4,21)</f>
        <v>72796</v>
      </c>
      <c r="B1529" s="54">
        <f t="shared" si="146"/>
        <v>72796</v>
      </c>
      <c r="C1529" t="s">
        <v>116</v>
      </c>
      <c r="D1529">
        <f t="shared" si="149"/>
        <v>2099</v>
      </c>
      <c r="E1529" t="s">
        <v>110</v>
      </c>
      <c r="H1529" s="53">
        <f>DATE(K1529,11,2)</f>
        <v>74451</v>
      </c>
      <c r="I1529" s="54">
        <f t="shared" si="147"/>
        <v>74451</v>
      </c>
      <c r="J1529" t="s">
        <v>126</v>
      </c>
      <c r="K1529">
        <f t="shared" si="150"/>
        <v>2103</v>
      </c>
      <c r="L1529" t="s">
        <v>110</v>
      </c>
    </row>
    <row r="1530" spans="1:12" x14ac:dyDescent="0.3">
      <c r="A1530" s="53">
        <f>DATE(D1530,5,1)</f>
        <v>72806</v>
      </c>
      <c r="B1530" s="54">
        <f t="shared" si="146"/>
        <v>72806</v>
      </c>
      <c r="C1530" t="s">
        <v>117</v>
      </c>
      <c r="D1530">
        <f t="shared" si="149"/>
        <v>2099</v>
      </c>
      <c r="E1530" t="s">
        <v>110</v>
      </c>
      <c r="H1530" s="53">
        <f>DATE(K1530,11,15)</f>
        <v>74464</v>
      </c>
      <c r="I1530" s="54">
        <f t="shared" si="147"/>
        <v>74464</v>
      </c>
      <c r="J1530" t="s">
        <v>127</v>
      </c>
      <c r="K1530">
        <f t="shared" si="150"/>
        <v>2103</v>
      </c>
      <c r="L1530" t="s">
        <v>110</v>
      </c>
    </row>
    <row r="1531" spans="1:12" x14ac:dyDescent="0.3">
      <c r="A1531" s="53">
        <f>DATE(D1531,5,1)+(14-WEEKDAY(DATE(D1531,5,1),2))</f>
        <v>72815</v>
      </c>
      <c r="B1531" s="54">
        <f t="shared" si="146"/>
        <v>72815</v>
      </c>
      <c r="C1531" t="s">
        <v>118</v>
      </c>
      <c r="D1531">
        <f t="shared" si="149"/>
        <v>2099</v>
      </c>
      <c r="E1531" t="s">
        <v>110</v>
      </c>
      <c r="H1531" s="53">
        <f>DATE(K1531,11,20)</f>
        <v>74469</v>
      </c>
      <c r="I1531" s="54">
        <f t="shared" si="147"/>
        <v>74469</v>
      </c>
      <c r="J1531" t="s">
        <v>128</v>
      </c>
      <c r="K1531">
        <f t="shared" si="150"/>
        <v>2103</v>
      </c>
      <c r="L1531" t="s">
        <v>110</v>
      </c>
    </row>
    <row r="1532" spans="1:12" x14ac:dyDescent="0.3">
      <c r="A1532" s="53">
        <f>A1527+60</f>
        <v>72847</v>
      </c>
      <c r="B1532" s="54">
        <f t="shared" si="146"/>
        <v>72847</v>
      </c>
      <c r="C1532" t="s">
        <v>119</v>
      </c>
      <c r="D1532">
        <f t="shared" si="149"/>
        <v>2099</v>
      </c>
      <c r="E1532" t="s">
        <v>110</v>
      </c>
      <c r="H1532" s="53">
        <f>DATE(K1532,12,25)</f>
        <v>74504</v>
      </c>
      <c r="I1532" s="54">
        <f t="shared" si="147"/>
        <v>74504</v>
      </c>
      <c r="J1532" t="s">
        <v>129</v>
      </c>
      <c r="K1532">
        <f t="shared" si="150"/>
        <v>2103</v>
      </c>
      <c r="L1532" t="s">
        <v>110</v>
      </c>
    </row>
    <row r="1533" spans="1:12" x14ac:dyDescent="0.3">
      <c r="A1533" s="53">
        <f>DATE(D1533,7,9)</f>
        <v>72875</v>
      </c>
      <c r="B1533" s="54">
        <f t="shared" si="146"/>
        <v>72875</v>
      </c>
      <c r="C1533" t="s">
        <v>120</v>
      </c>
      <c r="D1533">
        <f t="shared" si="149"/>
        <v>2099</v>
      </c>
      <c r="E1533" t="s">
        <v>121</v>
      </c>
      <c r="H1533" s="53">
        <f>DATE(K1533,1,1)</f>
        <v>74511</v>
      </c>
      <c r="I1533" s="54">
        <f t="shared" si="147"/>
        <v>74511</v>
      </c>
      <c r="J1533" t="s">
        <v>109</v>
      </c>
      <c r="K1533">
        <f>K1515+1</f>
        <v>2104</v>
      </c>
      <c r="L1533" t="s">
        <v>110</v>
      </c>
    </row>
    <row r="1534" spans="1:12" x14ac:dyDescent="0.3">
      <c r="A1534" s="53">
        <f>DATE(D1534,8,8)</f>
        <v>72905</v>
      </c>
      <c r="B1534" s="54">
        <f t="shared" si="146"/>
        <v>72905</v>
      </c>
      <c r="C1534" t="s">
        <v>122</v>
      </c>
      <c r="D1534">
        <f t="shared" si="149"/>
        <v>2099</v>
      </c>
      <c r="E1534" t="s">
        <v>115</v>
      </c>
      <c r="H1534" s="53">
        <f>H1537-48</f>
        <v>74566</v>
      </c>
      <c r="I1534" s="54">
        <f t="shared" si="147"/>
        <v>74566</v>
      </c>
      <c r="J1534" t="s">
        <v>111</v>
      </c>
      <c r="K1534">
        <f t="shared" ref="K1534:K1550" si="151">K1516+1</f>
        <v>2104</v>
      </c>
      <c r="L1534" t="s">
        <v>110</v>
      </c>
    </row>
    <row r="1535" spans="1:12" x14ac:dyDescent="0.3">
      <c r="A1535" s="53">
        <f>DATE(D1535,8,1)+(14-WEEKDAY(DATE(D1535,8,1),2))</f>
        <v>72906</v>
      </c>
      <c r="B1535" s="54">
        <f t="shared" si="146"/>
        <v>72906</v>
      </c>
      <c r="C1535" t="s">
        <v>123</v>
      </c>
      <c r="D1535">
        <f t="shared" si="149"/>
        <v>2099</v>
      </c>
      <c r="E1535" t="s">
        <v>110</v>
      </c>
      <c r="H1535" s="53">
        <f>H1537-47</f>
        <v>74567</v>
      </c>
      <c r="I1535" s="54">
        <f t="shared" si="147"/>
        <v>74567</v>
      </c>
      <c r="J1535" t="s">
        <v>111</v>
      </c>
      <c r="K1535">
        <f t="shared" si="151"/>
        <v>2104</v>
      </c>
      <c r="L1535" t="s">
        <v>110</v>
      </c>
    </row>
    <row r="1536" spans="1:12" x14ac:dyDescent="0.3">
      <c r="A1536" s="53">
        <f>DATE(D1536,9,7)</f>
        <v>72935</v>
      </c>
      <c r="B1536" s="54">
        <f t="shared" si="146"/>
        <v>72935</v>
      </c>
      <c r="C1536" t="s">
        <v>124</v>
      </c>
      <c r="D1536">
        <f t="shared" si="149"/>
        <v>2099</v>
      </c>
      <c r="E1536" t="s">
        <v>110</v>
      </c>
      <c r="H1536" s="53">
        <f>H1537-2</f>
        <v>74612</v>
      </c>
      <c r="I1536" s="54">
        <f t="shared" si="147"/>
        <v>74612</v>
      </c>
      <c r="J1536" t="s">
        <v>112</v>
      </c>
      <c r="K1536">
        <f t="shared" si="151"/>
        <v>2104</v>
      </c>
      <c r="L1536" t="s">
        <v>110</v>
      </c>
    </row>
    <row r="1537" spans="1:12" x14ac:dyDescent="0.3">
      <c r="A1537" s="53">
        <f>DATE(D1537,10,12)</f>
        <v>72970</v>
      </c>
      <c r="B1537" s="54">
        <f t="shared" si="146"/>
        <v>72970</v>
      </c>
      <c r="C1537" t="s">
        <v>125</v>
      </c>
      <c r="D1537">
        <f t="shared" si="149"/>
        <v>2099</v>
      </c>
      <c r="E1537" t="s">
        <v>110</v>
      </c>
      <c r="H1537" s="53">
        <f>FLOOR(DAY(MINUTE(K1537/38)/2+56)&amp;"/5"&amp;"/"&amp;K1537,7)-34</f>
        <v>74614</v>
      </c>
      <c r="I1537" s="54">
        <f t="shared" si="147"/>
        <v>74614</v>
      </c>
      <c r="J1537" t="s">
        <v>113</v>
      </c>
      <c r="K1537">
        <f t="shared" si="151"/>
        <v>2104</v>
      </c>
      <c r="L1537" t="s">
        <v>110</v>
      </c>
    </row>
    <row r="1538" spans="1:12" x14ac:dyDescent="0.3">
      <c r="A1538" s="53">
        <f>DATE(D1538,11,2)</f>
        <v>72991</v>
      </c>
      <c r="B1538" s="54">
        <f t="shared" si="146"/>
        <v>72991</v>
      </c>
      <c r="C1538" t="s">
        <v>126</v>
      </c>
      <c r="D1538">
        <f t="shared" si="149"/>
        <v>2099</v>
      </c>
      <c r="E1538" t="s">
        <v>110</v>
      </c>
      <c r="H1538" s="53">
        <f>DATE(K1538,4,21)</f>
        <v>74622</v>
      </c>
      <c r="I1538" s="54">
        <f t="shared" si="147"/>
        <v>74622</v>
      </c>
      <c r="J1538" t="s">
        <v>116</v>
      </c>
      <c r="K1538">
        <f t="shared" si="151"/>
        <v>2104</v>
      </c>
      <c r="L1538" t="s">
        <v>110</v>
      </c>
    </row>
    <row r="1539" spans="1:12" x14ac:dyDescent="0.3">
      <c r="A1539" s="53">
        <f>DATE(D1539,11,15)</f>
        <v>73004</v>
      </c>
      <c r="B1539" s="54">
        <f t="shared" ref="B1539:B1602" si="152">A1539</f>
        <v>73004</v>
      </c>
      <c r="C1539" t="s">
        <v>127</v>
      </c>
      <c r="D1539">
        <f t="shared" si="149"/>
        <v>2099</v>
      </c>
      <c r="E1539" t="s">
        <v>110</v>
      </c>
      <c r="H1539" s="53">
        <f>DATE(K1539,5,1)</f>
        <v>74632</v>
      </c>
      <c r="I1539" s="54">
        <f t="shared" si="147"/>
        <v>74632</v>
      </c>
      <c r="J1539" t="s">
        <v>117</v>
      </c>
      <c r="K1539">
        <f t="shared" si="151"/>
        <v>2104</v>
      </c>
      <c r="L1539" t="s">
        <v>110</v>
      </c>
    </row>
    <row r="1540" spans="1:12" x14ac:dyDescent="0.3">
      <c r="A1540" s="53">
        <f>DATE(D1540,11,20)</f>
        <v>73009</v>
      </c>
      <c r="B1540" s="54">
        <f t="shared" si="152"/>
        <v>73009</v>
      </c>
      <c r="C1540" t="s">
        <v>128</v>
      </c>
      <c r="D1540">
        <f t="shared" si="149"/>
        <v>2099</v>
      </c>
      <c r="E1540" t="s">
        <v>110</v>
      </c>
      <c r="H1540" s="53">
        <f>DATE(K1540,5,1)+(14-WEEKDAY(DATE(K1540,5,1),2))</f>
        <v>74642</v>
      </c>
      <c r="I1540" s="54">
        <f t="shared" si="147"/>
        <v>74642</v>
      </c>
      <c r="J1540" t="s">
        <v>118</v>
      </c>
      <c r="K1540">
        <f t="shared" si="151"/>
        <v>2104</v>
      </c>
      <c r="L1540" t="s">
        <v>110</v>
      </c>
    </row>
    <row r="1541" spans="1:12" x14ac:dyDescent="0.3">
      <c r="A1541" s="53">
        <f>DATE(D1541,12,25)</f>
        <v>73044</v>
      </c>
      <c r="B1541" s="54">
        <f t="shared" si="152"/>
        <v>73044</v>
      </c>
      <c r="C1541" t="s">
        <v>129</v>
      </c>
      <c r="D1541">
        <f t="shared" si="149"/>
        <v>2099</v>
      </c>
      <c r="E1541" t="s">
        <v>110</v>
      </c>
      <c r="H1541" s="53">
        <f>H1537+60</f>
        <v>74674</v>
      </c>
      <c r="I1541" s="54">
        <f t="shared" si="147"/>
        <v>74674</v>
      </c>
      <c r="J1541" t="s">
        <v>119</v>
      </c>
      <c r="K1541">
        <f t="shared" si="151"/>
        <v>2104</v>
      </c>
      <c r="L1541" t="s">
        <v>110</v>
      </c>
    </row>
    <row r="1542" spans="1:12" x14ac:dyDescent="0.3">
      <c r="A1542" s="53">
        <f>DATE(D1542,1,1)</f>
        <v>73051</v>
      </c>
      <c r="B1542" s="54">
        <f t="shared" si="152"/>
        <v>73051</v>
      </c>
      <c r="C1542" t="s">
        <v>109</v>
      </c>
      <c r="D1542">
        <f>D1523+1</f>
        <v>2100</v>
      </c>
      <c r="E1542" t="s">
        <v>110</v>
      </c>
      <c r="H1542" s="53">
        <f>DATE(K1542,6,19)</f>
        <v>74681</v>
      </c>
      <c r="I1542" s="54">
        <f t="shared" si="147"/>
        <v>74681</v>
      </c>
      <c r="J1542" t="s">
        <v>114</v>
      </c>
      <c r="K1542">
        <f t="shared" si="151"/>
        <v>2104</v>
      </c>
      <c r="L1542" t="s">
        <v>115</v>
      </c>
    </row>
    <row r="1543" spans="1:12" x14ac:dyDescent="0.3">
      <c r="A1543" s="53">
        <f>A1546-48</f>
        <v>73089</v>
      </c>
      <c r="B1543" s="54">
        <f t="shared" si="152"/>
        <v>73089</v>
      </c>
      <c r="C1543" t="s">
        <v>111</v>
      </c>
      <c r="D1543">
        <f t="shared" si="149"/>
        <v>2100</v>
      </c>
      <c r="E1543" t="s">
        <v>110</v>
      </c>
      <c r="H1543" s="53">
        <f>DATE(K1543,7,9)</f>
        <v>74701</v>
      </c>
      <c r="I1543" s="54">
        <f t="shared" si="147"/>
        <v>74701</v>
      </c>
      <c r="J1543" t="s">
        <v>120</v>
      </c>
      <c r="K1543">
        <f t="shared" si="151"/>
        <v>2104</v>
      </c>
      <c r="L1543" t="s">
        <v>121</v>
      </c>
    </row>
    <row r="1544" spans="1:12" x14ac:dyDescent="0.3">
      <c r="A1544" s="53">
        <f>A1546-47</f>
        <v>73090</v>
      </c>
      <c r="B1544" s="54">
        <f t="shared" si="152"/>
        <v>73090</v>
      </c>
      <c r="C1544" t="s">
        <v>111</v>
      </c>
      <c r="D1544">
        <f t="shared" si="149"/>
        <v>2100</v>
      </c>
      <c r="E1544" t="s">
        <v>110</v>
      </c>
      <c r="H1544" s="53">
        <f>DATE(K1544,8,1)+(14-WEEKDAY(DATE(K1544,8,1),2))</f>
        <v>74733</v>
      </c>
      <c r="I1544" s="54">
        <f t="shared" ref="I1544:I1607" si="153">H1544</f>
        <v>74733</v>
      </c>
      <c r="J1544" t="s">
        <v>123</v>
      </c>
      <c r="K1544">
        <f t="shared" si="151"/>
        <v>2104</v>
      </c>
      <c r="L1544" t="s">
        <v>110</v>
      </c>
    </row>
    <row r="1545" spans="1:12" x14ac:dyDescent="0.3">
      <c r="A1545" s="53">
        <f>A1546-2</f>
        <v>73135</v>
      </c>
      <c r="B1545" s="54">
        <f t="shared" si="152"/>
        <v>73135</v>
      </c>
      <c r="C1545" t="s">
        <v>112</v>
      </c>
      <c r="D1545">
        <f t="shared" si="149"/>
        <v>2100</v>
      </c>
      <c r="E1545" t="s">
        <v>110</v>
      </c>
      <c r="H1545" s="53">
        <f>DATE(K1545,9,7)</f>
        <v>74761</v>
      </c>
      <c r="I1545" s="54">
        <f t="shared" si="153"/>
        <v>74761</v>
      </c>
      <c r="J1545" t="s">
        <v>124</v>
      </c>
      <c r="K1545">
        <f t="shared" si="151"/>
        <v>2104</v>
      </c>
      <c r="L1545" t="s">
        <v>110</v>
      </c>
    </row>
    <row r="1546" spans="1:12" x14ac:dyDescent="0.3">
      <c r="A1546" s="53">
        <f>FLOOR(DAY(MINUTE(D1546/38)/2+56)&amp;"/5"&amp;"/"&amp;D1546,7)-34</f>
        <v>73137</v>
      </c>
      <c r="B1546" s="54">
        <f t="shared" si="152"/>
        <v>73137</v>
      </c>
      <c r="C1546" t="s">
        <v>113</v>
      </c>
      <c r="D1546">
        <f t="shared" si="149"/>
        <v>2100</v>
      </c>
      <c r="E1546" t="s">
        <v>110</v>
      </c>
      <c r="H1546" s="53">
        <f>DATE(K1546,10,12)</f>
        <v>74796</v>
      </c>
      <c r="I1546" s="54">
        <f t="shared" si="153"/>
        <v>74796</v>
      </c>
      <c r="J1546" t="s">
        <v>125</v>
      </c>
      <c r="K1546">
        <f t="shared" si="151"/>
        <v>2104</v>
      </c>
      <c r="L1546" t="s">
        <v>110</v>
      </c>
    </row>
    <row r="1547" spans="1:12" x14ac:dyDescent="0.3">
      <c r="A1547" s="53">
        <f>DATE(D1547,4,14)</f>
        <v>73154</v>
      </c>
      <c r="B1547" s="54">
        <f t="shared" si="152"/>
        <v>73154</v>
      </c>
      <c r="C1547" t="s">
        <v>114</v>
      </c>
      <c r="D1547">
        <f t="shared" si="149"/>
        <v>2100</v>
      </c>
      <c r="E1547" t="s">
        <v>115</v>
      </c>
      <c r="H1547" s="53">
        <f>DATE(K1547,11,2)</f>
        <v>74817</v>
      </c>
      <c r="I1547" s="54">
        <f t="shared" si="153"/>
        <v>74817</v>
      </c>
      <c r="J1547" t="s">
        <v>126</v>
      </c>
      <c r="K1547">
        <f t="shared" si="151"/>
        <v>2104</v>
      </c>
      <c r="L1547" t="s">
        <v>110</v>
      </c>
    </row>
    <row r="1548" spans="1:12" x14ac:dyDescent="0.3">
      <c r="A1548" s="53">
        <f>DATE(D1548,4,21)</f>
        <v>73161</v>
      </c>
      <c r="B1548" s="54">
        <f t="shared" si="152"/>
        <v>73161</v>
      </c>
      <c r="C1548" t="s">
        <v>116</v>
      </c>
      <c r="D1548">
        <f t="shared" si="149"/>
        <v>2100</v>
      </c>
      <c r="E1548" t="s">
        <v>110</v>
      </c>
      <c r="H1548" s="53">
        <f>DATE(K1548,11,15)</f>
        <v>74830</v>
      </c>
      <c r="I1548" s="54">
        <f t="shared" si="153"/>
        <v>74830</v>
      </c>
      <c r="J1548" t="s">
        <v>127</v>
      </c>
      <c r="K1548">
        <f t="shared" si="151"/>
        <v>2104</v>
      </c>
      <c r="L1548" t="s">
        <v>110</v>
      </c>
    </row>
    <row r="1549" spans="1:12" x14ac:dyDescent="0.3">
      <c r="A1549" s="53">
        <f>DATE(D1549,5,1)</f>
        <v>73171</v>
      </c>
      <c r="B1549" s="54">
        <f t="shared" si="152"/>
        <v>73171</v>
      </c>
      <c r="C1549" t="s">
        <v>117</v>
      </c>
      <c r="D1549">
        <f t="shared" si="149"/>
        <v>2100</v>
      </c>
      <c r="E1549" t="s">
        <v>110</v>
      </c>
      <c r="H1549" s="53">
        <f>DATE(K1549,11,20)</f>
        <v>74835</v>
      </c>
      <c r="I1549" s="54">
        <f t="shared" si="153"/>
        <v>74835</v>
      </c>
      <c r="J1549" t="s">
        <v>128</v>
      </c>
      <c r="K1549">
        <f t="shared" si="151"/>
        <v>2104</v>
      </c>
      <c r="L1549" t="s">
        <v>110</v>
      </c>
    </row>
    <row r="1550" spans="1:12" x14ac:dyDescent="0.3">
      <c r="A1550" s="53">
        <f>DATE(D1550,5,1)+(14-WEEKDAY(DATE(D1550,5,1),2))</f>
        <v>73179</v>
      </c>
      <c r="B1550" s="54">
        <f t="shared" si="152"/>
        <v>73179</v>
      </c>
      <c r="C1550" t="s">
        <v>118</v>
      </c>
      <c r="D1550">
        <f t="shared" si="149"/>
        <v>2100</v>
      </c>
      <c r="E1550" t="s">
        <v>110</v>
      </c>
      <c r="H1550" s="53">
        <f>DATE(K1550,12,25)</f>
        <v>74870</v>
      </c>
      <c r="I1550" s="54">
        <f t="shared" si="153"/>
        <v>74870</v>
      </c>
      <c r="J1550" t="s">
        <v>129</v>
      </c>
      <c r="K1550">
        <f t="shared" si="151"/>
        <v>2104</v>
      </c>
      <c r="L1550" t="s">
        <v>110</v>
      </c>
    </row>
    <row r="1551" spans="1:12" x14ac:dyDescent="0.3">
      <c r="A1551" s="53">
        <f>A1546+60</f>
        <v>73197</v>
      </c>
      <c r="B1551" s="54">
        <f t="shared" si="152"/>
        <v>73197</v>
      </c>
      <c r="C1551" t="s">
        <v>119</v>
      </c>
      <c r="D1551">
        <f t="shared" si="149"/>
        <v>2100</v>
      </c>
      <c r="E1551" t="s">
        <v>110</v>
      </c>
      <c r="H1551" s="53">
        <f>DATE(K1551,1,1)</f>
        <v>74877</v>
      </c>
      <c r="I1551" s="54">
        <f t="shared" si="153"/>
        <v>74877</v>
      </c>
      <c r="J1551" t="s">
        <v>109</v>
      </c>
      <c r="K1551">
        <f>K1533+1</f>
        <v>2105</v>
      </c>
      <c r="L1551" t="s">
        <v>110</v>
      </c>
    </row>
    <row r="1552" spans="1:12" x14ac:dyDescent="0.3">
      <c r="A1552" s="53">
        <f>DATE(D1552,7,9)</f>
        <v>73240</v>
      </c>
      <c r="B1552" s="54">
        <f t="shared" si="152"/>
        <v>73240</v>
      </c>
      <c r="C1552" t="s">
        <v>120</v>
      </c>
      <c r="D1552">
        <f t="shared" si="149"/>
        <v>2100</v>
      </c>
      <c r="E1552" t="s">
        <v>121</v>
      </c>
      <c r="H1552" s="53">
        <f>H1555-48</f>
        <v>74923</v>
      </c>
      <c r="I1552" s="54">
        <f t="shared" si="153"/>
        <v>74923</v>
      </c>
      <c r="J1552" t="s">
        <v>111</v>
      </c>
      <c r="K1552">
        <f t="shared" ref="K1552:K1615" si="154">K1534+1</f>
        <v>2105</v>
      </c>
      <c r="L1552" t="s">
        <v>110</v>
      </c>
    </row>
    <row r="1553" spans="1:12" x14ac:dyDescent="0.3">
      <c r="A1553" s="53">
        <f>DATE(D1553,8,8)</f>
        <v>73270</v>
      </c>
      <c r="B1553" s="54">
        <f t="shared" si="152"/>
        <v>73270</v>
      </c>
      <c r="C1553" t="s">
        <v>122</v>
      </c>
      <c r="D1553">
        <f t="shared" si="149"/>
        <v>2100</v>
      </c>
      <c r="E1553" t="s">
        <v>115</v>
      </c>
      <c r="H1553" s="53">
        <f>H1555-47</f>
        <v>74924</v>
      </c>
      <c r="I1553" s="54">
        <f t="shared" si="153"/>
        <v>74924</v>
      </c>
      <c r="J1553" t="s">
        <v>111</v>
      </c>
      <c r="K1553">
        <f t="shared" si="154"/>
        <v>2105</v>
      </c>
      <c r="L1553" t="s">
        <v>110</v>
      </c>
    </row>
    <row r="1554" spans="1:12" x14ac:dyDescent="0.3">
      <c r="A1554" s="53">
        <f>DATE(D1554,8,1)+(14-WEEKDAY(DATE(D1554,8,1),2))</f>
        <v>73270</v>
      </c>
      <c r="B1554" s="54">
        <f t="shared" si="152"/>
        <v>73270</v>
      </c>
      <c r="C1554" t="s">
        <v>123</v>
      </c>
      <c r="D1554">
        <f t="shared" si="149"/>
        <v>2100</v>
      </c>
      <c r="E1554" t="s">
        <v>110</v>
      </c>
      <c r="H1554" s="53">
        <f>H1555-2</f>
        <v>74969</v>
      </c>
      <c r="I1554" s="54">
        <f t="shared" si="153"/>
        <v>74969</v>
      </c>
      <c r="J1554" t="s">
        <v>112</v>
      </c>
      <c r="K1554">
        <f t="shared" si="154"/>
        <v>2105</v>
      </c>
      <c r="L1554" t="s">
        <v>110</v>
      </c>
    </row>
    <row r="1555" spans="1:12" x14ac:dyDescent="0.3">
      <c r="A1555" s="53">
        <f>DATE(D1555,9,7)</f>
        <v>73300</v>
      </c>
      <c r="B1555" s="54">
        <f t="shared" si="152"/>
        <v>73300</v>
      </c>
      <c r="C1555" t="s">
        <v>124</v>
      </c>
      <c r="D1555">
        <f t="shared" si="149"/>
        <v>2100</v>
      </c>
      <c r="E1555" t="s">
        <v>110</v>
      </c>
      <c r="H1555" s="53">
        <f>FLOOR(DAY(MINUTE(K1555/38)/2+56)&amp;"/5"&amp;"/"&amp;K1555,7)-34</f>
        <v>74971</v>
      </c>
      <c r="I1555" s="54">
        <f t="shared" si="153"/>
        <v>74971</v>
      </c>
      <c r="J1555" t="s">
        <v>113</v>
      </c>
      <c r="K1555">
        <f t="shared" si="154"/>
        <v>2105</v>
      </c>
      <c r="L1555" t="s">
        <v>110</v>
      </c>
    </row>
    <row r="1556" spans="1:12" x14ac:dyDescent="0.3">
      <c r="A1556" s="53">
        <f>DATE(D1556,10,12)</f>
        <v>73335</v>
      </c>
      <c r="B1556" s="54">
        <f t="shared" si="152"/>
        <v>73335</v>
      </c>
      <c r="C1556" t="s">
        <v>125</v>
      </c>
      <c r="D1556">
        <f t="shared" si="149"/>
        <v>2100</v>
      </c>
      <c r="E1556" t="s">
        <v>110</v>
      </c>
      <c r="H1556" s="53">
        <f>DATE(K1556,4,21)</f>
        <v>74987</v>
      </c>
      <c r="I1556" s="54">
        <f t="shared" si="153"/>
        <v>74987</v>
      </c>
      <c r="J1556" t="s">
        <v>116</v>
      </c>
      <c r="K1556">
        <f t="shared" si="154"/>
        <v>2105</v>
      </c>
      <c r="L1556" t="s">
        <v>110</v>
      </c>
    </row>
    <row r="1557" spans="1:12" x14ac:dyDescent="0.3">
      <c r="A1557" s="53">
        <f>DATE(D1557,11,2)</f>
        <v>73356</v>
      </c>
      <c r="B1557" s="54">
        <f t="shared" si="152"/>
        <v>73356</v>
      </c>
      <c r="C1557" t="s">
        <v>126</v>
      </c>
      <c r="D1557">
        <f t="shared" si="149"/>
        <v>2100</v>
      </c>
      <c r="E1557" t="s">
        <v>110</v>
      </c>
      <c r="H1557" s="53">
        <f>DATE(K1557,5,1)</f>
        <v>74997</v>
      </c>
      <c r="I1557" s="54">
        <f t="shared" si="153"/>
        <v>74997</v>
      </c>
      <c r="J1557" t="s">
        <v>117</v>
      </c>
      <c r="K1557">
        <f t="shared" si="154"/>
        <v>2105</v>
      </c>
      <c r="L1557" t="s">
        <v>110</v>
      </c>
    </row>
    <row r="1558" spans="1:12" x14ac:dyDescent="0.3">
      <c r="A1558" s="53">
        <f>DATE(D1558,11,15)</f>
        <v>73369</v>
      </c>
      <c r="B1558" s="54">
        <f t="shared" si="152"/>
        <v>73369</v>
      </c>
      <c r="C1558" t="s">
        <v>127</v>
      </c>
      <c r="D1558">
        <f t="shared" si="149"/>
        <v>2100</v>
      </c>
      <c r="E1558" t="s">
        <v>110</v>
      </c>
      <c r="H1558" s="53">
        <f>DATE(K1558,5,1)+(14-WEEKDAY(DATE(K1558,5,1),2))</f>
        <v>75006</v>
      </c>
      <c r="I1558" s="54">
        <f t="shared" si="153"/>
        <v>75006</v>
      </c>
      <c r="J1558" t="s">
        <v>118</v>
      </c>
      <c r="K1558">
        <f t="shared" si="154"/>
        <v>2105</v>
      </c>
      <c r="L1558" t="s">
        <v>110</v>
      </c>
    </row>
    <row r="1559" spans="1:12" x14ac:dyDescent="0.3">
      <c r="A1559" s="53">
        <f>DATE(D1559,11,20)</f>
        <v>73374</v>
      </c>
      <c r="B1559" s="54">
        <f t="shared" si="152"/>
        <v>73374</v>
      </c>
      <c r="C1559" t="s">
        <v>128</v>
      </c>
      <c r="D1559">
        <f t="shared" si="149"/>
        <v>2100</v>
      </c>
      <c r="E1559" t="s">
        <v>110</v>
      </c>
      <c r="H1559" s="53">
        <f>H1555+60</f>
        <v>75031</v>
      </c>
      <c r="I1559" s="54">
        <f t="shared" si="153"/>
        <v>75031</v>
      </c>
      <c r="J1559" t="s">
        <v>119</v>
      </c>
      <c r="K1559">
        <f t="shared" si="154"/>
        <v>2105</v>
      </c>
      <c r="L1559" t="s">
        <v>110</v>
      </c>
    </row>
    <row r="1560" spans="1:12" x14ac:dyDescent="0.3">
      <c r="A1560" s="53">
        <f>DATE(D1560,12,25)</f>
        <v>73409</v>
      </c>
      <c r="B1560" s="54">
        <f t="shared" si="152"/>
        <v>73409</v>
      </c>
      <c r="C1560" t="s">
        <v>129</v>
      </c>
      <c r="D1560">
        <f t="shared" si="149"/>
        <v>2100</v>
      </c>
      <c r="E1560" t="s">
        <v>110</v>
      </c>
      <c r="H1560" s="53">
        <f>DATE(K1560,6,19)</f>
        <v>75046</v>
      </c>
      <c r="I1560" s="54">
        <f t="shared" si="153"/>
        <v>75046</v>
      </c>
      <c r="J1560" t="s">
        <v>114</v>
      </c>
      <c r="K1560">
        <f t="shared" si="154"/>
        <v>2105</v>
      </c>
      <c r="L1560" t="s">
        <v>115</v>
      </c>
    </row>
    <row r="1561" spans="1:12" x14ac:dyDescent="0.3">
      <c r="A1561" s="53">
        <f>DATE(D1561,1,1)</f>
        <v>73416</v>
      </c>
      <c r="B1561" s="54">
        <f t="shared" si="152"/>
        <v>73416</v>
      </c>
      <c r="C1561" t="s">
        <v>109</v>
      </c>
      <c r="D1561">
        <f>D1542+1</f>
        <v>2101</v>
      </c>
      <c r="E1561" t="s">
        <v>110</v>
      </c>
      <c r="H1561" s="53">
        <f>DATE(K1561,7,9)</f>
        <v>75066</v>
      </c>
      <c r="I1561" s="54">
        <f t="shared" si="153"/>
        <v>75066</v>
      </c>
      <c r="J1561" t="s">
        <v>120</v>
      </c>
      <c r="K1561">
        <f t="shared" si="154"/>
        <v>2105</v>
      </c>
      <c r="L1561" t="s">
        <v>121</v>
      </c>
    </row>
    <row r="1562" spans="1:12" x14ac:dyDescent="0.3">
      <c r="A1562" s="53">
        <f>A1565-48</f>
        <v>73474</v>
      </c>
      <c r="B1562" s="54">
        <f t="shared" si="152"/>
        <v>73474</v>
      </c>
      <c r="C1562" t="s">
        <v>111</v>
      </c>
      <c r="D1562">
        <f t="shared" si="149"/>
        <v>2101</v>
      </c>
      <c r="E1562" t="s">
        <v>110</v>
      </c>
      <c r="H1562" s="53">
        <f>DATE(K1562,8,1)+(14-WEEKDAY(DATE(K1562,8,1),2))</f>
        <v>75097</v>
      </c>
      <c r="I1562" s="54">
        <f t="shared" si="153"/>
        <v>75097</v>
      </c>
      <c r="J1562" t="s">
        <v>123</v>
      </c>
      <c r="K1562">
        <f t="shared" si="154"/>
        <v>2105</v>
      </c>
      <c r="L1562" t="s">
        <v>110</v>
      </c>
    </row>
    <row r="1563" spans="1:12" x14ac:dyDescent="0.3">
      <c r="A1563" s="53">
        <f>A1565-47</f>
        <v>73475</v>
      </c>
      <c r="B1563" s="54">
        <f t="shared" si="152"/>
        <v>73475</v>
      </c>
      <c r="C1563" t="s">
        <v>111</v>
      </c>
      <c r="D1563">
        <f t="shared" si="149"/>
        <v>2101</v>
      </c>
      <c r="E1563" t="s">
        <v>110</v>
      </c>
      <c r="H1563" s="53">
        <f>DATE(K1563,9,7)</f>
        <v>75126</v>
      </c>
      <c r="I1563" s="54">
        <f t="shared" si="153"/>
        <v>75126</v>
      </c>
      <c r="J1563" t="s">
        <v>124</v>
      </c>
      <c r="K1563">
        <f t="shared" si="154"/>
        <v>2105</v>
      </c>
      <c r="L1563" t="s">
        <v>110</v>
      </c>
    </row>
    <row r="1564" spans="1:12" x14ac:dyDescent="0.3">
      <c r="A1564" s="53">
        <f>A1565-2</f>
        <v>73520</v>
      </c>
      <c r="B1564" s="54">
        <f t="shared" si="152"/>
        <v>73520</v>
      </c>
      <c r="C1564" t="s">
        <v>112</v>
      </c>
      <c r="D1564">
        <f t="shared" si="149"/>
        <v>2101</v>
      </c>
      <c r="E1564" t="s">
        <v>110</v>
      </c>
      <c r="H1564" s="53">
        <f>DATE(K1564,10,12)</f>
        <v>75161</v>
      </c>
      <c r="I1564" s="54">
        <f t="shared" si="153"/>
        <v>75161</v>
      </c>
      <c r="J1564" t="s">
        <v>125</v>
      </c>
      <c r="K1564">
        <f t="shared" si="154"/>
        <v>2105</v>
      </c>
      <c r="L1564" t="s">
        <v>110</v>
      </c>
    </row>
    <row r="1565" spans="1:12" x14ac:dyDescent="0.3">
      <c r="A1565" s="53">
        <f>FLOOR(DAY(MINUTE(D1565/38)/2+56)&amp;"/5"&amp;"/"&amp;D1565,7)-34</f>
        <v>73522</v>
      </c>
      <c r="B1565" s="54">
        <f t="shared" si="152"/>
        <v>73522</v>
      </c>
      <c r="C1565" t="s">
        <v>113</v>
      </c>
      <c r="D1565">
        <f t="shared" si="149"/>
        <v>2101</v>
      </c>
      <c r="E1565" t="s">
        <v>110</v>
      </c>
      <c r="H1565" s="53">
        <f>DATE(K1565,11,2)</f>
        <v>75182</v>
      </c>
      <c r="I1565" s="54">
        <f t="shared" si="153"/>
        <v>75182</v>
      </c>
      <c r="J1565" t="s">
        <v>126</v>
      </c>
      <c r="K1565">
        <f t="shared" si="154"/>
        <v>2105</v>
      </c>
      <c r="L1565" t="s">
        <v>110</v>
      </c>
    </row>
    <row r="1566" spans="1:12" x14ac:dyDescent="0.3">
      <c r="A1566" s="53">
        <f>DATE(D1566,4,14)</f>
        <v>73519</v>
      </c>
      <c r="B1566" s="54">
        <f t="shared" si="152"/>
        <v>73519</v>
      </c>
      <c r="C1566" t="s">
        <v>114</v>
      </c>
      <c r="D1566">
        <f t="shared" si="149"/>
        <v>2101</v>
      </c>
      <c r="E1566" t="s">
        <v>115</v>
      </c>
      <c r="H1566" s="53">
        <f>DATE(K1566,11,15)</f>
        <v>75195</v>
      </c>
      <c r="I1566" s="54">
        <f t="shared" si="153"/>
        <v>75195</v>
      </c>
      <c r="J1566" t="s">
        <v>127</v>
      </c>
      <c r="K1566">
        <f t="shared" si="154"/>
        <v>2105</v>
      </c>
      <c r="L1566" t="s">
        <v>110</v>
      </c>
    </row>
    <row r="1567" spans="1:12" x14ac:dyDescent="0.3">
      <c r="A1567" s="53">
        <f>DATE(D1567,4,21)</f>
        <v>73526</v>
      </c>
      <c r="B1567" s="54">
        <f t="shared" si="152"/>
        <v>73526</v>
      </c>
      <c r="C1567" t="s">
        <v>116</v>
      </c>
      <c r="D1567">
        <f t="shared" si="149"/>
        <v>2101</v>
      </c>
      <c r="E1567" t="s">
        <v>110</v>
      </c>
      <c r="H1567" s="53">
        <f>DATE(K1567,11,20)</f>
        <v>75200</v>
      </c>
      <c r="I1567" s="54">
        <f t="shared" si="153"/>
        <v>75200</v>
      </c>
      <c r="J1567" t="s">
        <v>128</v>
      </c>
      <c r="K1567">
        <f t="shared" si="154"/>
        <v>2105</v>
      </c>
      <c r="L1567" t="s">
        <v>110</v>
      </c>
    </row>
    <row r="1568" spans="1:12" x14ac:dyDescent="0.3">
      <c r="A1568" s="53">
        <f>DATE(D1568,5,1)</f>
        <v>73536</v>
      </c>
      <c r="B1568" s="54">
        <f t="shared" si="152"/>
        <v>73536</v>
      </c>
      <c r="C1568" t="s">
        <v>117</v>
      </c>
      <c r="D1568">
        <f t="shared" si="149"/>
        <v>2101</v>
      </c>
      <c r="E1568" t="s">
        <v>110</v>
      </c>
      <c r="H1568" s="53">
        <f>DATE(K1568,12,25)</f>
        <v>75235</v>
      </c>
      <c r="I1568" s="54">
        <f t="shared" si="153"/>
        <v>75235</v>
      </c>
      <c r="J1568" t="s">
        <v>129</v>
      </c>
      <c r="K1568">
        <f t="shared" si="154"/>
        <v>2105</v>
      </c>
      <c r="L1568" t="s">
        <v>110</v>
      </c>
    </row>
    <row r="1569" spans="1:12" x14ac:dyDescent="0.3">
      <c r="A1569" s="53">
        <f>DATE(D1569,5,1)+(14-WEEKDAY(DATE(D1569,5,1),2))</f>
        <v>73543</v>
      </c>
      <c r="B1569" s="54">
        <f t="shared" si="152"/>
        <v>73543</v>
      </c>
      <c r="C1569" t="s">
        <v>118</v>
      </c>
      <c r="D1569">
        <f t="shared" ref="D1569:D1579" si="155">D1550+1</f>
        <v>2101</v>
      </c>
      <c r="E1569" t="s">
        <v>110</v>
      </c>
      <c r="H1569" s="53">
        <f>DATE(K1569,1,1)</f>
        <v>75242</v>
      </c>
      <c r="I1569" s="54">
        <f t="shared" si="153"/>
        <v>75242</v>
      </c>
      <c r="J1569" t="s">
        <v>109</v>
      </c>
      <c r="K1569">
        <f>K1551+1</f>
        <v>2106</v>
      </c>
      <c r="L1569" t="s">
        <v>110</v>
      </c>
    </row>
    <row r="1570" spans="1:12" x14ac:dyDescent="0.3">
      <c r="A1570" s="53">
        <f>A1565+60</f>
        <v>73582</v>
      </c>
      <c r="B1570" s="54">
        <f t="shared" si="152"/>
        <v>73582</v>
      </c>
      <c r="C1570" t="s">
        <v>119</v>
      </c>
      <c r="D1570">
        <f t="shared" si="155"/>
        <v>2101</v>
      </c>
      <c r="E1570" t="s">
        <v>110</v>
      </c>
      <c r="H1570" s="53">
        <f>H1573-48</f>
        <v>75301</v>
      </c>
      <c r="I1570" s="54">
        <f t="shared" si="153"/>
        <v>75301</v>
      </c>
      <c r="J1570" t="s">
        <v>111</v>
      </c>
      <c r="K1570">
        <f t="shared" si="154"/>
        <v>2106</v>
      </c>
      <c r="L1570" t="s">
        <v>110</v>
      </c>
    </row>
    <row r="1571" spans="1:12" x14ac:dyDescent="0.3">
      <c r="A1571" s="53">
        <f>DATE(D1571,7,9)</f>
        <v>73605</v>
      </c>
      <c r="B1571" s="54">
        <f t="shared" si="152"/>
        <v>73605</v>
      </c>
      <c r="C1571" t="s">
        <v>120</v>
      </c>
      <c r="D1571">
        <f t="shared" si="155"/>
        <v>2101</v>
      </c>
      <c r="E1571" t="s">
        <v>121</v>
      </c>
      <c r="H1571" s="53">
        <f>H1573-47</f>
        <v>75302</v>
      </c>
      <c r="I1571" s="54">
        <f t="shared" si="153"/>
        <v>75302</v>
      </c>
      <c r="J1571" t="s">
        <v>111</v>
      </c>
      <c r="K1571">
        <f t="shared" si="154"/>
        <v>2106</v>
      </c>
      <c r="L1571" t="s">
        <v>110</v>
      </c>
    </row>
    <row r="1572" spans="1:12" x14ac:dyDescent="0.3">
      <c r="A1572" s="53">
        <f>DATE(D1572,8,8)</f>
        <v>73635</v>
      </c>
      <c r="B1572" s="54">
        <f t="shared" si="152"/>
        <v>73635</v>
      </c>
      <c r="C1572" t="s">
        <v>122</v>
      </c>
      <c r="D1572">
        <f t="shared" si="155"/>
        <v>2101</v>
      </c>
      <c r="E1572" t="s">
        <v>115</v>
      </c>
      <c r="H1572" s="53">
        <f>H1573-2</f>
        <v>75347</v>
      </c>
      <c r="I1572" s="54">
        <f t="shared" si="153"/>
        <v>75347</v>
      </c>
      <c r="J1572" t="s">
        <v>112</v>
      </c>
      <c r="K1572">
        <f t="shared" si="154"/>
        <v>2106</v>
      </c>
      <c r="L1572" t="s">
        <v>110</v>
      </c>
    </row>
    <row r="1573" spans="1:12" x14ac:dyDescent="0.3">
      <c r="A1573" s="53">
        <f>DATE(D1573,8,1)+(14-WEEKDAY(DATE(D1573,8,1),2))</f>
        <v>73641</v>
      </c>
      <c r="B1573" s="54">
        <f t="shared" si="152"/>
        <v>73641</v>
      </c>
      <c r="C1573" t="s">
        <v>123</v>
      </c>
      <c r="D1573">
        <f t="shared" si="155"/>
        <v>2101</v>
      </c>
      <c r="E1573" t="s">
        <v>110</v>
      </c>
      <c r="H1573" s="53">
        <f>FLOOR(DAY(MINUTE(K1573/38)/2+56)&amp;"/5"&amp;"/"&amp;K1573,7)-34</f>
        <v>75349</v>
      </c>
      <c r="I1573" s="54">
        <f t="shared" si="153"/>
        <v>75349</v>
      </c>
      <c r="J1573" t="s">
        <v>113</v>
      </c>
      <c r="K1573">
        <f t="shared" si="154"/>
        <v>2106</v>
      </c>
      <c r="L1573" t="s">
        <v>110</v>
      </c>
    </row>
    <row r="1574" spans="1:12" x14ac:dyDescent="0.3">
      <c r="A1574" s="53">
        <f>DATE(D1574,9,7)</f>
        <v>73665</v>
      </c>
      <c r="B1574" s="54">
        <f t="shared" si="152"/>
        <v>73665</v>
      </c>
      <c r="C1574" t="s">
        <v>124</v>
      </c>
      <c r="D1574">
        <f t="shared" si="155"/>
        <v>2101</v>
      </c>
      <c r="E1574" t="s">
        <v>110</v>
      </c>
      <c r="H1574" s="53">
        <f>DATE(K1574,4,21)</f>
        <v>75352</v>
      </c>
      <c r="I1574" s="54">
        <f t="shared" si="153"/>
        <v>75352</v>
      </c>
      <c r="J1574" t="s">
        <v>116</v>
      </c>
      <c r="K1574">
        <f t="shared" si="154"/>
        <v>2106</v>
      </c>
      <c r="L1574" t="s">
        <v>110</v>
      </c>
    </row>
    <row r="1575" spans="1:12" x14ac:dyDescent="0.3">
      <c r="A1575" s="53">
        <f>DATE(D1575,10,12)</f>
        <v>73700</v>
      </c>
      <c r="B1575" s="54">
        <f t="shared" si="152"/>
        <v>73700</v>
      </c>
      <c r="C1575" t="s">
        <v>125</v>
      </c>
      <c r="D1575">
        <f t="shared" si="155"/>
        <v>2101</v>
      </c>
      <c r="E1575" t="s">
        <v>110</v>
      </c>
      <c r="H1575" s="53">
        <f>DATE(K1575,5,1)</f>
        <v>75362</v>
      </c>
      <c r="I1575" s="54">
        <f t="shared" si="153"/>
        <v>75362</v>
      </c>
      <c r="J1575" t="s">
        <v>117</v>
      </c>
      <c r="K1575">
        <f t="shared" si="154"/>
        <v>2106</v>
      </c>
      <c r="L1575" t="s">
        <v>110</v>
      </c>
    </row>
    <row r="1576" spans="1:12" x14ac:dyDescent="0.3">
      <c r="A1576" s="53">
        <f>DATE(D1576,11,2)</f>
        <v>73721</v>
      </c>
      <c r="B1576" s="54">
        <f t="shared" si="152"/>
        <v>73721</v>
      </c>
      <c r="C1576" t="s">
        <v>126</v>
      </c>
      <c r="D1576">
        <f t="shared" si="155"/>
        <v>2101</v>
      </c>
      <c r="E1576" t="s">
        <v>110</v>
      </c>
      <c r="H1576" s="53">
        <f>DATE(K1576,5,1)+(14-WEEKDAY(DATE(K1576,5,1),2))</f>
        <v>75370</v>
      </c>
      <c r="I1576" s="54">
        <f t="shared" si="153"/>
        <v>75370</v>
      </c>
      <c r="J1576" t="s">
        <v>118</v>
      </c>
      <c r="K1576">
        <f t="shared" si="154"/>
        <v>2106</v>
      </c>
      <c r="L1576" t="s">
        <v>110</v>
      </c>
    </row>
    <row r="1577" spans="1:12" x14ac:dyDescent="0.3">
      <c r="A1577" s="53">
        <f>DATE(D1577,11,15)</f>
        <v>73734</v>
      </c>
      <c r="B1577" s="54">
        <f t="shared" si="152"/>
        <v>73734</v>
      </c>
      <c r="C1577" t="s">
        <v>127</v>
      </c>
      <c r="D1577">
        <f t="shared" si="155"/>
        <v>2101</v>
      </c>
      <c r="E1577" t="s">
        <v>110</v>
      </c>
      <c r="H1577" s="53">
        <f>H1573+60</f>
        <v>75409</v>
      </c>
      <c r="I1577" s="54">
        <f t="shared" si="153"/>
        <v>75409</v>
      </c>
      <c r="J1577" t="s">
        <v>119</v>
      </c>
      <c r="K1577">
        <f t="shared" si="154"/>
        <v>2106</v>
      </c>
      <c r="L1577" t="s">
        <v>110</v>
      </c>
    </row>
    <row r="1578" spans="1:12" x14ac:dyDescent="0.3">
      <c r="A1578" s="53">
        <f>DATE(D1578,11,20)</f>
        <v>73739</v>
      </c>
      <c r="B1578" s="54">
        <f t="shared" si="152"/>
        <v>73739</v>
      </c>
      <c r="C1578" t="s">
        <v>128</v>
      </c>
      <c r="D1578">
        <f t="shared" si="155"/>
        <v>2101</v>
      </c>
      <c r="E1578" t="s">
        <v>110</v>
      </c>
      <c r="H1578" s="53">
        <f>DATE(K1578,6,19)</f>
        <v>75411</v>
      </c>
      <c r="I1578" s="54">
        <f t="shared" si="153"/>
        <v>75411</v>
      </c>
      <c r="J1578" t="s">
        <v>114</v>
      </c>
      <c r="K1578">
        <f t="shared" si="154"/>
        <v>2106</v>
      </c>
      <c r="L1578" t="s">
        <v>115</v>
      </c>
    </row>
    <row r="1579" spans="1:12" x14ac:dyDescent="0.3">
      <c r="A1579" s="53">
        <f>DATE(D1579,12,25)</f>
        <v>73774</v>
      </c>
      <c r="B1579" s="54">
        <f t="shared" si="152"/>
        <v>73774</v>
      </c>
      <c r="C1579" t="s">
        <v>129</v>
      </c>
      <c r="D1579">
        <f t="shared" si="155"/>
        <v>2101</v>
      </c>
      <c r="E1579" t="s">
        <v>110</v>
      </c>
      <c r="H1579" s="53">
        <f>DATE(K1579,7,9)</f>
        <v>75431</v>
      </c>
      <c r="I1579" s="54">
        <f t="shared" si="153"/>
        <v>75431</v>
      </c>
      <c r="J1579" t="s">
        <v>120</v>
      </c>
      <c r="K1579">
        <f t="shared" si="154"/>
        <v>2106</v>
      </c>
      <c r="L1579" t="s">
        <v>121</v>
      </c>
    </row>
    <row r="1580" spans="1:12" x14ac:dyDescent="0.3">
      <c r="A1580" s="53">
        <f>DATE(D1580,1,1)</f>
        <v>73781</v>
      </c>
      <c r="B1580" s="54">
        <f t="shared" si="152"/>
        <v>73781</v>
      </c>
      <c r="C1580" t="s">
        <v>109</v>
      </c>
      <c r="D1580">
        <f>D1561+1</f>
        <v>2102</v>
      </c>
      <c r="E1580" t="s">
        <v>110</v>
      </c>
      <c r="H1580" s="53">
        <f>DATE(K1580,8,1)+(14-WEEKDAY(DATE(K1580,8,1),2))</f>
        <v>75461</v>
      </c>
      <c r="I1580" s="54">
        <f t="shared" si="153"/>
        <v>75461</v>
      </c>
      <c r="J1580" t="s">
        <v>123</v>
      </c>
      <c r="K1580">
        <f t="shared" si="154"/>
        <v>2106</v>
      </c>
      <c r="L1580" t="s">
        <v>110</v>
      </c>
    </row>
    <row r="1581" spans="1:12" x14ac:dyDescent="0.3">
      <c r="A1581" s="53">
        <f>A1584-48</f>
        <v>73831</v>
      </c>
      <c r="B1581" s="54">
        <f t="shared" si="152"/>
        <v>73831</v>
      </c>
      <c r="C1581" t="s">
        <v>111</v>
      </c>
      <c r="D1581">
        <f t="shared" ref="D1581:D1598" si="156">D1562+1</f>
        <v>2102</v>
      </c>
      <c r="E1581" t="s">
        <v>110</v>
      </c>
      <c r="H1581" s="53">
        <f>DATE(K1581,9,7)</f>
        <v>75491</v>
      </c>
      <c r="I1581" s="54">
        <f t="shared" si="153"/>
        <v>75491</v>
      </c>
      <c r="J1581" t="s">
        <v>124</v>
      </c>
      <c r="K1581">
        <f t="shared" si="154"/>
        <v>2106</v>
      </c>
      <c r="L1581" t="s">
        <v>110</v>
      </c>
    </row>
    <row r="1582" spans="1:12" x14ac:dyDescent="0.3">
      <c r="A1582" s="53">
        <f>A1584-47</f>
        <v>73832</v>
      </c>
      <c r="B1582" s="54">
        <f t="shared" si="152"/>
        <v>73832</v>
      </c>
      <c r="C1582" t="s">
        <v>111</v>
      </c>
      <c r="D1582">
        <f t="shared" si="156"/>
        <v>2102</v>
      </c>
      <c r="E1582" t="s">
        <v>110</v>
      </c>
      <c r="H1582" s="53">
        <f>DATE(K1582,10,12)</f>
        <v>75526</v>
      </c>
      <c r="I1582" s="54">
        <f t="shared" si="153"/>
        <v>75526</v>
      </c>
      <c r="J1582" t="s">
        <v>125</v>
      </c>
      <c r="K1582">
        <f t="shared" si="154"/>
        <v>2106</v>
      </c>
      <c r="L1582" t="s">
        <v>110</v>
      </c>
    </row>
    <row r="1583" spans="1:12" x14ac:dyDescent="0.3">
      <c r="A1583" s="53">
        <f>A1584-2</f>
        <v>73877</v>
      </c>
      <c r="B1583" s="54">
        <f t="shared" si="152"/>
        <v>73877</v>
      </c>
      <c r="C1583" t="s">
        <v>112</v>
      </c>
      <c r="D1583">
        <f t="shared" si="156"/>
        <v>2102</v>
      </c>
      <c r="E1583" t="s">
        <v>110</v>
      </c>
      <c r="H1583" s="53">
        <f>DATE(K1583,11,2)</f>
        <v>75547</v>
      </c>
      <c r="I1583" s="54">
        <f t="shared" si="153"/>
        <v>75547</v>
      </c>
      <c r="J1583" t="s">
        <v>126</v>
      </c>
      <c r="K1583">
        <f t="shared" si="154"/>
        <v>2106</v>
      </c>
      <c r="L1583" t="s">
        <v>110</v>
      </c>
    </row>
    <row r="1584" spans="1:12" x14ac:dyDescent="0.3">
      <c r="A1584" s="53">
        <f>FLOOR(DAY(MINUTE(D1584/38)/2+56)&amp;"/5"&amp;"/"&amp;D1584,7)-34</f>
        <v>73879</v>
      </c>
      <c r="B1584" s="54">
        <f t="shared" si="152"/>
        <v>73879</v>
      </c>
      <c r="C1584" t="s">
        <v>113</v>
      </c>
      <c r="D1584">
        <f t="shared" si="156"/>
        <v>2102</v>
      </c>
      <c r="E1584" t="s">
        <v>110</v>
      </c>
      <c r="H1584" s="53">
        <f>DATE(K1584,11,15)</f>
        <v>75560</v>
      </c>
      <c r="I1584" s="54">
        <f t="shared" si="153"/>
        <v>75560</v>
      </c>
      <c r="J1584" t="s">
        <v>127</v>
      </c>
      <c r="K1584">
        <f t="shared" si="154"/>
        <v>2106</v>
      </c>
      <c r="L1584" t="s">
        <v>110</v>
      </c>
    </row>
    <row r="1585" spans="1:12" x14ac:dyDescent="0.3">
      <c r="A1585" s="53">
        <f>DATE(D1585,4,14)</f>
        <v>73884</v>
      </c>
      <c r="B1585" s="54">
        <f t="shared" si="152"/>
        <v>73884</v>
      </c>
      <c r="C1585" t="s">
        <v>114</v>
      </c>
      <c r="D1585">
        <f t="shared" si="156"/>
        <v>2102</v>
      </c>
      <c r="E1585" t="s">
        <v>115</v>
      </c>
      <c r="H1585" s="53">
        <f>DATE(K1585,11,20)</f>
        <v>75565</v>
      </c>
      <c r="I1585" s="54">
        <f t="shared" si="153"/>
        <v>75565</v>
      </c>
      <c r="J1585" t="s">
        <v>128</v>
      </c>
      <c r="K1585">
        <f t="shared" si="154"/>
        <v>2106</v>
      </c>
      <c r="L1585" t="s">
        <v>110</v>
      </c>
    </row>
    <row r="1586" spans="1:12" x14ac:dyDescent="0.3">
      <c r="A1586" s="53">
        <f>DATE(D1586,4,21)</f>
        <v>73891</v>
      </c>
      <c r="B1586" s="54">
        <f t="shared" si="152"/>
        <v>73891</v>
      </c>
      <c r="C1586" t="s">
        <v>116</v>
      </c>
      <c r="D1586">
        <f t="shared" si="156"/>
        <v>2102</v>
      </c>
      <c r="E1586" t="s">
        <v>110</v>
      </c>
      <c r="H1586" s="53">
        <f>DATE(K1586,12,25)</f>
        <v>75600</v>
      </c>
      <c r="I1586" s="54">
        <f t="shared" si="153"/>
        <v>75600</v>
      </c>
      <c r="J1586" t="s">
        <v>129</v>
      </c>
      <c r="K1586">
        <f t="shared" si="154"/>
        <v>2106</v>
      </c>
      <c r="L1586" t="s">
        <v>110</v>
      </c>
    </row>
    <row r="1587" spans="1:12" x14ac:dyDescent="0.3">
      <c r="A1587" s="53">
        <f>DATE(D1587,5,1)</f>
        <v>73901</v>
      </c>
      <c r="B1587" s="54">
        <f t="shared" si="152"/>
        <v>73901</v>
      </c>
      <c r="C1587" t="s">
        <v>117</v>
      </c>
      <c r="D1587">
        <f t="shared" si="156"/>
        <v>2102</v>
      </c>
      <c r="E1587" t="s">
        <v>110</v>
      </c>
      <c r="H1587" s="53">
        <f>DATE(K1587,1,1)</f>
        <v>75607</v>
      </c>
      <c r="I1587" s="54">
        <f t="shared" si="153"/>
        <v>75607</v>
      </c>
      <c r="J1587" t="s">
        <v>109</v>
      </c>
      <c r="K1587">
        <f>K1569+1</f>
        <v>2107</v>
      </c>
      <c r="L1587" t="s">
        <v>110</v>
      </c>
    </row>
    <row r="1588" spans="1:12" x14ac:dyDescent="0.3">
      <c r="A1588" s="53">
        <f>DATE(D1588,5,1)+(14-WEEKDAY(DATE(D1588,5,1),2))</f>
        <v>73914</v>
      </c>
      <c r="B1588" s="54">
        <f t="shared" si="152"/>
        <v>73914</v>
      </c>
      <c r="C1588" t="s">
        <v>118</v>
      </c>
      <c r="D1588">
        <f t="shared" si="156"/>
        <v>2102</v>
      </c>
      <c r="E1588" t="s">
        <v>110</v>
      </c>
      <c r="H1588" s="53">
        <f>H1591-48</f>
        <v>75658</v>
      </c>
      <c r="I1588" s="54">
        <f t="shared" si="153"/>
        <v>75658</v>
      </c>
      <c r="J1588" t="s">
        <v>111</v>
      </c>
      <c r="K1588">
        <f t="shared" si="154"/>
        <v>2107</v>
      </c>
      <c r="L1588" t="s">
        <v>110</v>
      </c>
    </row>
    <row r="1589" spans="1:12" x14ac:dyDescent="0.3">
      <c r="A1589" s="53">
        <f>A1584+60</f>
        <v>73939</v>
      </c>
      <c r="B1589" s="54">
        <f t="shared" si="152"/>
        <v>73939</v>
      </c>
      <c r="C1589" t="s">
        <v>119</v>
      </c>
      <c r="D1589">
        <f t="shared" si="156"/>
        <v>2102</v>
      </c>
      <c r="E1589" t="s">
        <v>110</v>
      </c>
      <c r="H1589" s="53">
        <f>H1591-47</f>
        <v>75659</v>
      </c>
      <c r="I1589" s="54">
        <f t="shared" si="153"/>
        <v>75659</v>
      </c>
      <c r="J1589" t="s">
        <v>111</v>
      </c>
      <c r="K1589">
        <f t="shared" si="154"/>
        <v>2107</v>
      </c>
      <c r="L1589" t="s">
        <v>110</v>
      </c>
    </row>
    <row r="1590" spans="1:12" x14ac:dyDescent="0.3">
      <c r="A1590" s="53">
        <f>DATE(D1590,7,9)</f>
        <v>73970</v>
      </c>
      <c r="B1590" s="54">
        <f t="shared" si="152"/>
        <v>73970</v>
      </c>
      <c r="C1590" t="s">
        <v>120</v>
      </c>
      <c r="D1590">
        <f t="shared" si="156"/>
        <v>2102</v>
      </c>
      <c r="E1590" t="s">
        <v>121</v>
      </c>
      <c r="H1590" s="53">
        <f>H1591-2</f>
        <v>75704</v>
      </c>
      <c r="I1590" s="54">
        <f t="shared" si="153"/>
        <v>75704</v>
      </c>
      <c r="J1590" t="s">
        <v>112</v>
      </c>
      <c r="K1590">
        <f t="shared" si="154"/>
        <v>2107</v>
      </c>
      <c r="L1590" t="s">
        <v>110</v>
      </c>
    </row>
    <row r="1591" spans="1:12" x14ac:dyDescent="0.3">
      <c r="A1591" s="53">
        <f>DATE(D1591,8,8)</f>
        <v>74000</v>
      </c>
      <c r="B1591" s="54">
        <f t="shared" si="152"/>
        <v>74000</v>
      </c>
      <c r="C1591" t="s">
        <v>122</v>
      </c>
      <c r="D1591">
        <f t="shared" si="156"/>
        <v>2102</v>
      </c>
      <c r="E1591" t="s">
        <v>115</v>
      </c>
      <c r="H1591" s="53">
        <f>FLOOR(DAY(MINUTE(K1591/38)/2+56)&amp;"/5"&amp;"/"&amp;K1591,7)-34</f>
        <v>75706</v>
      </c>
      <c r="I1591" s="54">
        <f t="shared" si="153"/>
        <v>75706</v>
      </c>
      <c r="J1591" t="s">
        <v>113</v>
      </c>
      <c r="K1591">
        <f t="shared" si="154"/>
        <v>2107</v>
      </c>
      <c r="L1591" t="s">
        <v>110</v>
      </c>
    </row>
    <row r="1592" spans="1:12" x14ac:dyDescent="0.3">
      <c r="A1592" s="53">
        <f>DATE(D1592,8,1)+(14-WEEKDAY(DATE(D1592,8,1),2))</f>
        <v>74005</v>
      </c>
      <c r="B1592" s="54">
        <f t="shared" si="152"/>
        <v>74005</v>
      </c>
      <c r="C1592" t="s">
        <v>123</v>
      </c>
      <c r="D1592">
        <f t="shared" si="156"/>
        <v>2102</v>
      </c>
      <c r="E1592" t="s">
        <v>110</v>
      </c>
      <c r="H1592" s="53">
        <f>DATE(K1592,4,21)</f>
        <v>75717</v>
      </c>
      <c r="I1592" s="54">
        <f t="shared" si="153"/>
        <v>75717</v>
      </c>
      <c r="J1592" t="s">
        <v>116</v>
      </c>
      <c r="K1592">
        <f t="shared" si="154"/>
        <v>2107</v>
      </c>
      <c r="L1592" t="s">
        <v>110</v>
      </c>
    </row>
    <row r="1593" spans="1:12" x14ac:dyDescent="0.3">
      <c r="A1593" s="53">
        <f>DATE(D1593,9,7)</f>
        <v>74030</v>
      </c>
      <c r="B1593" s="54">
        <f t="shared" si="152"/>
        <v>74030</v>
      </c>
      <c r="C1593" t="s">
        <v>124</v>
      </c>
      <c r="D1593">
        <f t="shared" si="156"/>
        <v>2102</v>
      </c>
      <c r="E1593" t="s">
        <v>110</v>
      </c>
      <c r="H1593" s="53">
        <f>DATE(K1593,5,1)</f>
        <v>75727</v>
      </c>
      <c r="I1593" s="54">
        <f t="shared" si="153"/>
        <v>75727</v>
      </c>
      <c r="J1593" t="s">
        <v>117</v>
      </c>
      <c r="K1593">
        <f t="shared" si="154"/>
        <v>2107</v>
      </c>
      <c r="L1593" t="s">
        <v>110</v>
      </c>
    </row>
    <row r="1594" spans="1:12" x14ac:dyDescent="0.3">
      <c r="A1594" s="53">
        <f>DATE(D1594,10,12)</f>
        <v>74065</v>
      </c>
      <c r="B1594" s="54">
        <f t="shared" si="152"/>
        <v>74065</v>
      </c>
      <c r="C1594" t="s">
        <v>125</v>
      </c>
      <c r="D1594">
        <f t="shared" si="156"/>
        <v>2102</v>
      </c>
      <c r="E1594" t="s">
        <v>110</v>
      </c>
      <c r="H1594" s="53">
        <f>DATE(K1594,5,1)+(14-WEEKDAY(DATE(K1594,5,1),2))</f>
        <v>75734</v>
      </c>
      <c r="I1594" s="54">
        <f t="shared" si="153"/>
        <v>75734</v>
      </c>
      <c r="J1594" t="s">
        <v>118</v>
      </c>
      <c r="K1594">
        <f t="shared" si="154"/>
        <v>2107</v>
      </c>
      <c r="L1594" t="s">
        <v>110</v>
      </c>
    </row>
    <row r="1595" spans="1:12" x14ac:dyDescent="0.3">
      <c r="A1595" s="53">
        <f>DATE(D1595,11,2)</f>
        <v>74086</v>
      </c>
      <c r="B1595" s="54">
        <f t="shared" si="152"/>
        <v>74086</v>
      </c>
      <c r="C1595" t="s">
        <v>126</v>
      </c>
      <c r="D1595">
        <f t="shared" si="156"/>
        <v>2102</v>
      </c>
      <c r="E1595" t="s">
        <v>110</v>
      </c>
      <c r="H1595" s="53">
        <f>H1591+60</f>
        <v>75766</v>
      </c>
      <c r="I1595" s="54">
        <f t="shared" si="153"/>
        <v>75766</v>
      </c>
      <c r="J1595" t="s">
        <v>119</v>
      </c>
      <c r="K1595">
        <f t="shared" si="154"/>
        <v>2107</v>
      </c>
      <c r="L1595" t="s">
        <v>110</v>
      </c>
    </row>
    <row r="1596" spans="1:12" x14ac:dyDescent="0.3">
      <c r="A1596" s="53">
        <f>DATE(D1596,11,15)</f>
        <v>74099</v>
      </c>
      <c r="B1596" s="54">
        <f t="shared" si="152"/>
        <v>74099</v>
      </c>
      <c r="C1596" t="s">
        <v>127</v>
      </c>
      <c r="D1596">
        <f t="shared" si="156"/>
        <v>2102</v>
      </c>
      <c r="E1596" t="s">
        <v>110</v>
      </c>
      <c r="H1596" s="53">
        <f>DATE(K1596,6,19)</f>
        <v>75776</v>
      </c>
      <c r="I1596" s="54">
        <f t="shared" si="153"/>
        <v>75776</v>
      </c>
      <c r="J1596" t="s">
        <v>114</v>
      </c>
      <c r="K1596">
        <f t="shared" si="154"/>
        <v>2107</v>
      </c>
      <c r="L1596" t="s">
        <v>115</v>
      </c>
    </row>
    <row r="1597" spans="1:12" x14ac:dyDescent="0.3">
      <c r="A1597" s="53">
        <f>DATE(D1597,11,20)</f>
        <v>74104</v>
      </c>
      <c r="B1597" s="54">
        <f t="shared" si="152"/>
        <v>74104</v>
      </c>
      <c r="C1597" t="s">
        <v>128</v>
      </c>
      <c r="D1597">
        <f t="shared" si="156"/>
        <v>2102</v>
      </c>
      <c r="E1597" t="s">
        <v>110</v>
      </c>
      <c r="H1597" s="53">
        <f>DATE(K1597,7,9)</f>
        <v>75796</v>
      </c>
      <c r="I1597" s="54">
        <f t="shared" si="153"/>
        <v>75796</v>
      </c>
      <c r="J1597" t="s">
        <v>120</v>
      </c>
      <c r="K1597">
        <f t="shared" si="154"/>
        <v>2107</v>
      </c>
      <c r="L1597" t="s">
        <v>121</v>
      </c>
    </row>
    <row r="1598" spans="1:12" x14ac:dyDescent="0.3">
      <c r="A1598" s="53">
        <f>DATE(D1598,12,25)</f>
        <v>74139</v>
      </c>
      <c r="B1598" s="54">
        <f t="shared" si="152"/>
        <v>74139</v>
      </c>
      <c r="C1598" t="s">
        <v>129</v>
      </c>
      <c r="D1598">
        <f t="shared" si="156"/>
        <v>2102</v>
      </c>
      <c r="E1598" t="s">
        <v>110</v>
      </c>
      <c r="H1598" s="53">
        <f>DATE(K1598,8,1)+(14-WEEKDAY(DATE(K1598,8,1),2))</f>
        <v>75832</v>
      </c>
      <c r="I1598" s="54">
        <f t="shared" si="153"/>
        <v>75832</v>
      </c>
      <c r="J1598" t="s">
        <v>123</v>
      </c>
      <c r="K1598">
        <f t="shared" si="154"/>
        <v>2107</v>
      </c>
      <c r="L1598" t="s">
        <v>110</v>
      </c>
    </row>
    <row r="1599" spans="1:12" x14ac:dyDescent="0.3">
      <c r="A1599" s="53">
        <f>DATE(D1599,1,1)</f>
        <v>74146</v>
      </c>
      <c r="B1599" s="54">
        <f t="shared" si="152"/>
        <v>74146</v>
      </c>
      <c r="C1599" t="s">
        <v>109</v>
      </c>
      <c r="D1599">
        <f>D1580+1</f>
        <v>2103</v>
      </c>
      <c r="E1599" t="s">
        <v>110</v>
      </c>
      <c r="H1599" s="53">
        <f>DATE(K1599,9,7)</f>
        <v>75856</v>
      </c>
      <c r="I1599" s="54">
        <f t="shared" si="153"/>
        <v>75856</v>
      </c>
      <c r="J1599" t="s">
        <v>124</v>
      </c>
      <c r="K1599">
        <f t="shared" si="154"/>
        <v>2107</v>
      </c>
      <c r="L1599" t="s">
        <v>110</v>
      </c>
    </row>
    <row r="1600" spans="1:12" x14ac:dyDescent="0.3">
      <c r="A1600" s="53">
        <f>A1603-48</f>
        <v>74181</v>
      </c>
      <c r="B1600" s="54">
        <f t="shared" si="152"/>
        <v>74181</v>
      </c>
      <c r="C1600" t="s">
        <v>111</v>
      </c>
      <c r="D1600">
        <f t="shared" ref="D1600:D1617" si="157">D1581+1</f>
        <v>2103</v>
      </c>
      <c r="E1600" t="s">
        <v>110</v>
      </c>
      <c r="H1600" s="53">
        <f>DATE(K1600,10,12)</f>
        <v>75891</v>
      </c>
      <c r="I1600" s="54">
        <f t="shared" si="153"/>
        <v>75891</v>
      </c>
      <c r="J1600" t="s">
        <v>125</v>
      </c>
      <c r="K1600">
        <f t="shared" si="154"/>
        <v>2107</v>
      </c>
      <c r="L1600" t="s">
        <v>110</v>
      </c>
    </row>
    <row r="1601" spans="1:12" x14ac:dyDescent="0.3">
      <c r="A1601" s="53">
        <f>A1603-47</f>
        <v>74182</v>
      </c>
      <c r="B1601" s="54">
        <f t="shared" si="152"/>
        <v>74182</v>
      </c>
      <c r="C1601" t="s">
        <v>111</v>
      </c>
      <c r="D1601">
        <f t="shared" si="157"/>
        <v>2103</v>
      </c>
      <c r="E1601" t="s">
        <v>110</v>
      </c>
      <c r="H1601" s="53">
        <f>DATE(K1601,11,2)</f>
        <v>75912</v>
      </c>
      <c r="I1601" s="54">
        <f t="shared" si="153"/>
        <v>75912</v>
      </c>
      <c r="J1601" t="s">
        <v>126</v>
      </c>
      <c r="K1601">
        <f t="shared" si="154"/>
        <v>2107</v>
      </c>
      <c r="L1601" t="s">
        <v>110</v>
      </c>
    </row>
    <row r="1602" spans="1:12" x14ac:dyDescent="0.3">
      <c r="A1602" s="53">
        <f>A1603-2</f>
        <v>74227</v>
      </c>
      <c r="B1602" s="54">
        <f t="shared" si="152"/>
        <v>74227</v>
      </c>
      <c r="C1602" t="s">
        <v>112</v>
      </c>
      <c r="D1602">
        <f t="shared" si="157"/>
        <v>2103</v>
      </c>
      <c r="E1602" t="s">
        <v>110</v>
      </c>
      <c r="H1602" s="53">
        <f>DATE(K1602,11,15)</f>
        <v>75925</v>
      </c>
      <c r="I1602" s="54">
        <f t="shared" si="153"/>
        <v>75925</v>
      </c>
      <c r="J1602" t="s">
        <v>127</v>
      </c>
      <c r="K1602">
        <f t="shared" si="154"/>
        <v>2107</v>
      </c>
      <c r="L1602" t="s">
        <v>110</v>
      </c>
    </row>
    <row r="1603" spans="1:12" x14ac:dyDescent="0.3">
      <c r="A1603" s="53">
        <f>FLOOR(DAY(MINUTE(D1603/38)/2+56)&amp;"/5"&amp;"/"&amp;D1603,7)-34</f>
        <v>74229</v>
      </c>
      <c r="B1603" s="54">
        <f t="shared" ref="B1603:B1666" si="158">A1603</f>
        <v>74229</v>
      </c>
      <c r="C1603" t="s">
        <v>113</v>
      </c>
      <c r="D1603">
        <f t="shared" si="157"/>
        <v>2103</v>
      </c>
      <c r="E1603" t="s">
        <v>110</v>
      </c>
      <c r="H1603" s="53">
        <f>DATE(K1603,11,20)</f>
        <v>75930</v>
      </c>
      <c r="I1603" s="54">
        <f t="shared" si="153"/>
        <v>75930</v>
      </c>
      <c r="J1603" t="s">
        <v>128</v>
      </c>
      <c r="K1603">
        <f t="shared" si="154"/>
        <v>2107</v>
      </c>
      <c r="L1603" t="s">
        <v>110</v>
      </c>
    </row>
    <row r="1604" spans="1:12" x14ac:dyDescent="0.3">
      <c r="A1604" s="53">
        <f>DATE(D1604,4,14)</f>
        <v>74249</v>
      </c>
      <c r="B1604" s="54">
        <f t="shared" si="158"/>
        <v>74249</v>
      </c>
      <c r="C1604" t="s">
        <v>114</v>
      </c>
      <c r="D1604">
        <f t="shared" si="157"/>
        <v>2103</v>
      </c>
      <c r="E1604" t="s">
        <v>115</v>
      </c>
      <c r="H1604" s="53">
        <f>DATE(K1604,12,25)</f>
        <v>75965</v>
      </c>
      <c r="I1604" s="54">
        <f t="shared" si="153"/>
        <v>75965</v>
      </c>
      <c r="J1604" t="s">
        <v>129</v>
      </c>
      <c r="K1604">
        <f t="shared" si="154"/>
        <v>2107</v>
      </c>
      <c r="L1604" t="s">
        <v>110</v>
      </c>
    </row>
    <row r="1605" spans="1:12" x14ac:dyDescent="0.3">
      <c r="A1605" s="53">
        <f>DATE(D1605,4,21)</f>
        <v>74256</v>
      </c>
      <c r="B1605" s="54">
        <f t="shared" si="158"/>
        <v>74256</v>
      </c>
      <c r="C1605" t="s">
        <v>116</v>
      </c>
      <c r="D1605">
        <f t="shared" si="157"/>
        <v>2103</v>
      </c>
      <c r="E1605" t="s">
        <v>110</v>
      </c>
      <c r="H1605" s="53">
        <f>DATE(K1605,1,1)</f>
        <v>75972</v>
      </c>
      <c r="I1605" s="54">
        <f t="shared" si="153"/>
        <v>75972</v>
      </c>
      <c r="J1605" t="s">
        <v>109</v>
      </c>
      <c r="K1605">
        <f>K1587+1</f>
        <v>2108</v>
      </c>
      <c r="L1605" t="s">
        <v>110</v>
      </c>
    </row>
    <row r="1606" spans="1:12" x14ac:dyDescent="0.3">
      <c r="A1606" s="53">
        <f>DATE(D1606,5,1)</f>
        <v>74266</v>
      </c>
      <c r="B1606" s="54">
        <f t="shared" si="158"/>
        <v>74266</v>
      </c>
      <c r="C1606" t="s">
        <v>117</v>
      </c>
      <c r="D1606">
        <f t="shared" si="157"/>
        <v>2103</v>
      </c>
      <c r="E1606" t="s">
        <v>110</v>
      </c>
      <c r="H1606" s="53">
        <f>H1609-48</f>
        <v>76015</v>
      </c>
      <c r="I1606" s="54">
        <f t="shared" si="153"/>
        <v>76015</v>
      </c>
      <c r="J1606" t="s">
        <v>111</v>
      </c>
      <c r="K1606">
        <f t="shared" si="154"/>
        <v>2108</v>
      </c>
      <c r="L1606" t="s">
        <v>110</v>
      </c>
    </row>
    <row r="1607" spans="1:12" x14ac:dyDescent="0.3">
      <c r="A1607" s="53">
        <f>DATE(D1607,5,1)+(14-WEEKDAY(DATE(D1607,5,1),2))</f>
        <v>74278</v>
      </c>
      <c r="B1607" s="54">
        <f t="shared" si="158"/>
        <v>74278</v>
      </c>
      <c r="C1607" t="s">
        <v>118</v>
      </c>
      <c r="D1607">
        <f t="shared" si="157"/>
        <v>2103</v>
      </c>
      <c r="E1607" t="s">
        <v>110</v>
      </c>
      <c r="H1607" s="53">
        <f>H1609-47</f>
        <v>76016</v>
      </c>
      <c r="I1607" s="54">
        <f t="shared" si="153"/>
        <v>76016</v>
      </c>
      <c r="J1607" t="s">
        <v>111</v>
      </c>
      <c r="K1607">
        <f t="shared" si="154"/>
        <v>2108</v>
      </c>
      <c r="L1607" t="s">
        <v>110</v>
      </c>
    </row>
    <row r="1608" spans="1:12" x14ac:dyDescent="0.3">
      <c r="A1608" s="53">
        <f>A1603+60</f>
        <v>74289</v>
      </c>
      <c r="B1608" s="54">
        <f t="shared" si="158"/>
        <v>74289</v>
      </c>
      <c r="C1608" t="s">
        <v>119</v>
      </c>
      <c r="D1608">
        <f t="shared" si="157"/>
        <v>2103</v>
      </c>
      <c r="E1608" t="s">
        <v>110</v>
      </c>
      <c r="H1608" s="53">
        <f>H1609-2</f>
        <v>76061</v>
      </c>
      <c r="I1608" s="54">
        <f t="shared" ref="I1608:I1671" si="159">H1608</f>
        <v>76061</v>
      </c>
      <c r="J1608" t="s">
        <v>112</v>
      </c>
      <c r="K1608">
        <f t="shared" si="154"/>
        <v>2108</v>
      </c>
      <c r="L1608" t="s">
        <v>110</v>
      </c>
    </row>
    <row r="1609" spans="1:12" x14ac:dyDescent="0.3">
      <c r="A1609" s="53">
        <f>DATE(D1609,7,9)</f>
        <v>74335</v>
      </c>
      <c r="B1609" s="54">
        <f t="shared" si="158"/>
        <v>74335</v>
      </c>
      <c r="C1609" t="s">
        <v>120</v>
      </c>
      <c r="D1609">
        <f t="shared" si="157"/>
        <v>2103</v>
      </c>
      <c r="E1609" t="s">
        <v>121</v>
      </c>
      <c r="H1609" s="53">
        <f>FLOOR(DAY(MINUTE(K1609/38)/2+56)&amp;"/5"&amp;"/"&amp;K1609,7)-34</f>
        <v>76063</v>
      </c>
      <c r="I1609" s="54">
        <f t="shared" si="159"/>
        <v>76063</v>
      </c>
      <c r="J1609" t="s">
        <v>113</v>
      </c>
      <c r="K1609">
        <f t="shared" si="154"/>
        <v>2108</v>
      </c>
      <c r="L1609" t="s">
        <v>110</v>
      </c>
    </row>
    <row r="1610" spans="1:12" x14ac:dyDescent="0.3">
      <c r="A1610" s="53">
        <f>DATE(D1610,8,8)</f>
        <v>74365</v>
      </c>
      <c r="B1610" s="54">
        <f t="shared" si="158"/>
        <v>74365</v>
      </c>
      <c r="C1610" t="s">
        <v>122</v>
      </c>
      <c r="D1610">
        <f t="shared" si="157"/>
        <v>2103</v>
      </c>
      <c r="E1610" t="s">
        <v>115</v>
      </c>
      <c r="H1610" s="53">
        <f>DATE(K1610,4,21)</f>
        <v>76083</v>
      </c>
      <c r="I1610" s="54">
        <f t="shared" si="159"/>
        <v>76083</v>
      </c>
      <c r="J1610" t="s">
        <v>116</v>
      </c>
      <c r="K1610">
        <f t="shared" si="154"/>
        <v>2108</v>
      </c>
      <c r="L1610" t="s">
        <v>110</v>
      </c>
    </row>
    <row r="1611" spans="1:12" x14ac:dyDescent="0.3">
      <c r="A1611" s="53">
        <f>DATE(D1611,8,1)+(14-WEEKDAY(DATE(D1611,8,1),2))</f>
        <v>74369</v>
      </c>
      <c r="B1611" s="54">
        <f t="shared" si="158"/>
        <v>74369</v>
      </c>
      <c r="C1611" t="s">
        <v>123</v>
      </c>
      <c r="D1611">
        <f t="shared" si="157"/>
        <v>2103</v>
      </c>
      <c r="E1611" t="s">
        <v>110</v>
      </c>
      <c r="H1611" s="53">
        <f>DATE(K1611,5,1)</f>
        <v>76093</v>
      </c>
      <c r="I1611" s="54">
        <f t="shared" si="159"/>
        <v>76093</v>
      </c>
      <c r="J1611" t="s">
        <v>117</v>
      </c>
      <c r="K1611">
        <f t="shared" si="154"/>
        <v>2108</v>
      </c>
      <c r="L1611" t="s">
        <v>110</v>
      </c>
    </row>
    <row r="1612" spans="1:12" x14ac:dyDescent="0.3">
      <c r="A1612" s="53">
        <f>DATE(D1612,9,7)</f>
        <v>74395</v>
      </c>
      <c r="B1612" s="54">
        <f t="shared" si="158"/>
        <v>74395</v>
      </c>
      <c r="C1612" t="s">
        <v>124</v>
      </c>
      <c r="D1612">
        <f t="shared" si="157"/>
        <v>2103</v>
      </c>
      <c r="E1612" t="s">
        <v>110</v>
      </c>
      <c r="H1612" s="53">
        <f>DATE(K1612,5,1)+(14-WEEKDAY(DATE(K1612,5,1),2))</f>
        <v>76105</v>
      </c>
      <c r="I1612" s="54">
        <f t="shared" si="159"/>
        <v>76105</v>
      </c>
      <c r="J1612" t="s">
        <v>118</v>
      </c>
      <c r="K1612">
        <f t="shared" si="154"/>
        <v>2108</v>
      </c>
      <c r="L1612" t="s">
        <v>110</v>
      </c>
    </row>
    <row r="1613" spans="1:12" x14ac:dyDescent="0.3">
      <c r="A1613" s="53">
        <f>DATE(D1613,10,12)</f>
        <v>74430</v>
      </c>
      <c r="B1613" s="54">
        <f t="shared" si="158"/>
        <v>74430</v>
      </c>
      <c r="C1613" t="s">
        <v>125</v>
      </c>
      <c r="D1613">
        <f t="shared" si="157"/>
        <v>2103</v>
      </c>
      <c r="E1613" t="s">
        <v>110</v>
      </c>
      <c r="H1613" s="53">
        <f>H1609+60</f>
        <v>76123</v>
      </c>
      <c r="I1613" s="54">
        <f t="shared" si="159"/>
        <v>76123</v>
      </c>
      <c r="J1613" t="s">
        <v>119</v>
      </c>
      <c r="K1613">
        <f t="shared" si="154"/>
        <v>2108</v>
      </c>
      <c r="L1613" t="s">
        <v>110</v>
      </c>
    </row>
    <row r="1614" spans="1:12" x14ac:dyDescent="0.3">
      <c r="A1614" s="53">
        <f>DATE(D1614,11,2)</f>
        <v>74451</v>
      </c>
      <c r="B1614" s="54">
        <f t="shared" si="158"/>
        <v>74451</v>
      </c>
      <c r="C1614" t="s">
        <v>126</v>
      </c>
      <c r="D1614">
        <f t="shared" si="157"/>
        <v>2103</v>
      </c>
      <c r="E1614" t="s">
        <v>110</v>
      </c>
      <c r="H1614" s="53">
        <f>DATE(K1614,6,19)</f>
        <v>76142</v>
      </c>
      <c r="I1614" s="54">
        <f t="shared" si="159"/>
        <v>76142</v>
      </c>
      <c r="J1614" t="s">
        <v>114</v>
      </c>
      <c r="K1614">
        <f t="shared" si="154"/>
        <v>2108</v>
      </c>
      <c r="L1614" t="s">
        <v>115</v>
      </c>
    </row>
    <row r="1615" spans="1:12" x14ac:dyDescent="0.3">
      <c r="A1615" s="53">
        <f>DATE(D1615,11,15)</f>
        <v>74464</v>
      </c>
      <c r="B1615" s="54">
        <f t="shared" si="158"/>
        <v>74464</v>
      </c>
      <c r="C1615" t="s">
        <v>127</v>
      </c>
      <c r="D1615">
        <f t="shared" si="157"/>
        <v>2103</v>
      </c>
      <c r="E1615" t="s">
        <v>110</v>
      </c>
      <c r="H1615" s="53">
        <f>DATE(K1615,7,9)</f>
        <v>76162</v>
      </c>
      <c r="I1615" s="54">
        <f t="shared" si="159"/>
        <v>76162</v>
      </c>
      <c r="J1615" t="s">
        <v>120</v>
      </c>
      <c r="K1615">
        <f t="shared" si="154"/>
        <v>2108</v>
      </c>
      <c r="L1615" t="s">
        <v>121</v>
      </c>
    </row>
    <row r="1616" spans="1:12" x14ac:dyDescent="0.3">
      <c r="A1616" s="53">
        <f>DATE(D1616,11,20)</f>
        <v>74469</v>
      </c>
      <c r="B1616" s="54">
        <f t="shared" si="158"/>
        <v>74469</v>
      </c>
      <c r="C1616" t="s">
        <v>128</v>
      </c>
      <c r="D1616">
        <f t="shared" si="157"/>
        <v>2103</v>
      </c>
      <c r="E1616" t="s">
        <v>110</v>
      </c>
      <c r="H1616" s="53">
        <f>DATE(K1616,8,1)+(14-WEEKDAY(DATE(K1616,8,1),2))</f>
        <v>76196</v>
      </c>
      <c r="I1616" s="54">
        <f t="shared" si="159"/>
        <v>76196</v>
      </c>
      <c r="J1616" t="s">
        <v>123</v>
      </c>
      <c r="K1616">
        <f t="shared" ref="K1616:K1622" si="160">K1598+1</f>
        <v>2108</v>
      </c>
      <c r="L1616" t="s">
        <v>110</v>
      </c>
    </row>
    <row r="1617" spans="1:12" x14ac:dyDescent="0.3">
      <c r="A1617" s="53">
        <f>DATE(D1617,12,25)</f>
        <v>74504</v>
      </c>
      <c r="B1617" s="54">
        <f t="shared" si="158"/>
        <v>74504</v>
      </c>
      <c r="C1617" t="s">
        <v>129</v>
      </c>
      <c r="D1617">
        <f t="shared" si="157"/>
        <v>2103</v>
      </c>
      <c r="E1617" t="s">
        <v>110</v>
      </c>
      <c r="H1617" s="53">
        <f>DATE(K1617,9,7)</f>
        <v>76222</v>
      </c>
      <c r="I1617" s="54">
        <f t="shared" si="159"/>
        <v>76222</v>
      </c>
      <c r="J1617" t="s">
        <v>124</v>
      </c>
      <c r="K1617">
        <f t="shared" si="160"/>
        <v>2108</v>
      </c>
      <c r="L1617" t="s">
        <v>110</v>
      </c>
    </row>
    <row r="1618" spans="1:12" x14ac:dyDescent="0.3">
      <c r="A1618" s="53">
        <f>DATE(D1618,1,1)</f>
        <v>74511</v>
      </c>
      <c r="B1618" s="54">
        <f t="shared" si="158"/>
        <v>74511</v>
      </c>
      <c r="C1618" t="s">
        <v>109</v>
      </c>
      <c r="D1618">
        <f>D1599+1</f>
        <v>2104</v>
      </c>
      <c r="E1618" t="s">
        <v>110</v>
      </c>
      <c r="H1618" s="53">
        <f>DATE(K1618,10,12)</f>
        <v>76257</v>
      </c>
      <c r="I1618" s="54">
        <f t="shared" si="159"/>
        <v>76257</v>
      </c>
      <c r="J1618" t="s">
        <v>125</v>
      </c>
      <c r="K1618">
        <f t="shared" si="160"/>
        <v>2108</v>
      </c>
      <c r="L1618" t="s">
        <v>110</v>
      </c>
    </row>
    <row r="1619" spans="1:12" x14ac:dyDescent="0.3">
      <c r="A1619" s="53">
        <f>A1622-48</f>
        <v>74566</v>
      </c>
      <c r="B1619" s="54">
        <f t="shared" si="158"/>
        <v>74566</v>
      </c>
      <c r="C1619" t="s">
        <v>111</v>
      </c>
      <c r="D1619">
        <f t="shared" ref="D1619:D1682" si="161">D1600+1</f>
        <v>2104</v>
      </c>
      <c r="E1619" t="s">
        <v>110</v>
      </c>
      <c r="H1619" s="53">
        <f>DATE(K1619,11,2)</f>
        <v>76278</v>
      </c>
      <c r="I1619" s="54">
        <f t="shared" si="159"/>
        <v>76278</v>
      </c>
      <c r="J1619" t="s">
        <v>126</v>
      </c>
      <c r="K1619">
        <f t="shared" si="160"/>
        <v>2108</v>
      </c>
      <c r="L1619" t="s">
        <v>110</v>
      </c>
    </row>
    <row r="1620" spans="1:12" x14ac:dyDescent="0.3">
      <c r="A1620" s="53">
        <f>A1622-47</f>
        <v>74567</v>
      </c>
      <c r="B1620" s="54">
        <f t="shared" si="158"/>
        <v>74567</v>
      </c>
      <c r="C1620" t="s">
        <v>111</v>
      </c>
      <c r="D1620">
        <f t="shared" si="161"/>
        <v>2104</v>
      </c>
      <c r="E1620" t="s">
        <v>110</v>
      </c>
      <c r="H1620" s="53">
        <f>DATE(K1620,11,15)</f>
        <v>76291</v>
      </c>
      <c r="I1620" s="54">
        <f t="shared" si="159"/>
        <v>76291</v>
      </c>
      <c r="J1620" t="s">
        <v>127</v>
      </c>
      <c r="K1620">
        <f t="shared" si="160"/>
        <v>2108</v>
      </c>
      <c r="L1620" t="s">
        <v>110</v>
      </c>
    </row>
    <row r="1621" spans="1:12" x14ac:dyDescent="0.3">
      <c r="A1621" s="53">
        <f>A1622-2</f>
        <v>74612</v>
      </c>
      <c r="B1621" s="54">
        <f t="shared" si="158"/>
        <v>74612</v>
      </c>
      <c r="C1621" t="s">
        <v>112</v>
      </c>
      <c r="D1621">
        <f t="shared" si="161"/>
        <v>2104</v>
      </c>
      <c r="E1621" t="s">
        <v>110</v>
      </c>
      <c r="H1621" s="53">
        <f>DATE(K1621,11,20)</f>
        <v>76296</v>
      </c>
      <c r="I1621" s="54">
        <f t="shared" si="159"/>
        <v>76296</v>
      </c>
      <c r="J1621" t="s">
        <v>128</v>
      </c>
      <c r="K1621">
        <f t="shared" si="160"/>
        <v>2108</v>
      </c>
      <c r="L1621" t="s">
        <v>110</v>
      </c>
    </row>
    <row r="1622" spans="1:12" x14ac:dyDescent="0.3">
      <c r="A1622" s="53">
        <f>FLOOR(DAY(MINUTE(D1622/38)/2+56)&amp;"/5"&amp;"/"&amp;D1622,7)-34</f>
        <v>74614</v>
      </c>
      <c r="B1622" s="54">
        <f t="shared" si="158"/>
        <v>74614</v>
      </c>
      <c r="C1622" t="s">
        <v>113</v>
      </c>
      <c r="D1622">
        <f t="shared" si="161"/>
        <v>2104</v>
      </c>
      <c r="E1622" t="s">
        <v>110</v>
      </c>
      <c r="H1622" s="53">
        <f>DATE(K1622,12,25)</f>
        <v>76331</v>
      </c>
      <c r="I1622" s="54">
        <f t="shared" si="159"/>
        <v>76331</v>
      </c>
      <c r="J1622" t="s">
        <v>129</v>
      </c>
      <c r="K1622">
        <f t="shared" si="160"/>
        <v>2108</v>
      </c>
      <c r="L1622" t="s">
        <v>110</v>
      </c>
    </row>
    <row r="1623" spans="1:12" x14ac:dyDescent="0.3">
      <c r="A1623" s="53">
        <f>DATE(D1623,4,14)</f>
        <v>74615</v>
      </c>
      <c r="B1623" s="54">
        <f t="shared" si="158"/>
        <v>74615</v>
      </c>
      <c r="C1623" t="s">
        <v>114</v>
      </c>
      <c r="D1623">
        <f t="shared" si="161"/>
        <v>2104</v>
      </c>
      <c r="E1623" t="s">
        <v>115</v>
      </c>
      <c r="H1623" s="53">
        <f>DATE(K1623,1,1)</f>
        <v>76338</v>
      </c>
      <c r="I1623" s="54">
        <f t="shared" si="159"/>
        <v>76338</v>
      </c>
      <c r="J1623" t="s">
        <v>109</v>
      </c>
      <c r="K1623">
        <f>K1605+1</f>
        <v>2109</v>
      </c>
      <c r="L1623" t="s">
        <v>110</v>
      </c>
    </row>
    <row r="1624" spans="1:12" x14ac:dyDescent="0.3">
      <c r="A1624" s="53">
        <f>DATE(D1624,4,21)</f>
        <v>74622</v>
      </c>
      <c r="B1624" s="54">
        <f t="shared" si="158"/>
        <v>74622</v>
      </c>
      <c r="C1624" t="s">
        <v>116</v>
      </c>
      <c r="D1624">
        <f t="shared" si="161"/>
        <v>2104</v>
      </c>
      <c r="E1624" t="s">
        <v>110</v>
      </c>
      <c r="H1624" s="53">
        <f>H1627-48</f>
        <v>76400</v>
      </c>
      <c r="I1624" s="54">
        <f t="shared" si="159"/>
        <v>76400</v>
      </c>
      <c r="J1624" t="s">
        <v>111</v>
      </c>
      <c r="K1624">
        <f t="shared" ref="K1624:K1640" si="162">K1606+1</f>
        <v>2109</v>
      </c>
      <c r="L1624" t="s">
        <v>110</v>
      </c>
    </row>
    <row r="1625" spans="1:12" x14ac:dyDescent="0.3">
      <c r="A1625" s="53">
        <f>DATE(D1625,5,1)</f>
        <v>74632</v>
      </c>
      <c r="B1625" s="54">
        <f t="shared" si="158"/>
        <v>74632</v>
      </c>
      <c r="C1625" t="s">
        <v>117</v>
      </c>
      <c r="D1625">
        <f t="shared" si="161"/>
        <v>2104</v>
      </c>
      <c r="E1625" t="s">
        <v>110</v>
      </c>
      <c r="H1625" s="53">
        <f>H1627-47</f>
        <v>76401</v>
      </c>
      <c r="I1625" s="54">
        <f t="shared" si="159"/>
        <v>76401</v>
      </c>
      <c r="J1625" t="s">
        <v>111</v>
      </c>
      <c r="K1625">
        <f t="shared" si="162"/>
        <v>2109</v>
      </c>
      <c r="L1625" t="s">
        <v>110</v>
      </c>
    </row>
    <row r="1626" spans="1:12" x14ac:dyDescent="0.3">
      <c r="A1626" s="53">
        <f>DATE(D1626,5,1)+(14-WEEKDAY(DATE(D1626,5,1),2))</f>
        <v>74642</v>
      </c>
      <c r="B1626" s="54">
        <f t="shared" si="158"/>
        <v>74642</v>
      </c>
      <c r="C1626" t="s">
        <v>118</v>
      </c>
      <c r="D1626">
        <f t="shared" si="161"/>
        <v>2104</v>
      </c>
      <c r="E1626" t="s">
        <v>110</v>
      </c>
      <c r="H1626" s="53">
        <f>H1627-2</f>
        <v>76446</v>
      </c>
      <c r="I1626" s="54">
        <f t="shared" si="159"/>
        <v>76446</v>
      </c>
      <c r="J1626" t="s">
        <v>112</v>
      </c>
      <c r="K1626">
        <f t="shared" si="162"/>
        <v>2109</v>
      </c>
      <c r="L1626" t="s">
        <v>110</v>
      </c>
    </row>
    <row r="1627" spans="1:12" x14ac:dyDescent="0.3">
      <c r="A1627" s="53">
        <f>A1622+60</f>
        <v>74674</v>
      </c>
      <c r="B1627" s="54">
        <f t="shared" si="158"/>
        <v>74674</v>
      </c>
      <c r="C1627" t="s">
        <v>119</v>
      </c>
      <c r="D1627">
        <f t="shared" si="161"/>
        <v>2104</v>
      </c>
      <c r="E1627" t="s">
        <v>110</v>
      </c>
      <c r="H1627" s="53">
        <f>FLOOR(DAY(MINUTE(K1627/38)/2+56)&amp;"/5"&amp;"/"&amp;K1627,7)-34</f>
        <v>76448</v>
      </c>
      <c r="I1627" s="54">
        <f t="shared" si="159"/>
        <v>76448</v>
      </c>
      <c r="J1627" t="s">
        <v>113</v>
      </c>
      <c r="K1627">
        <f t="shared" si="162"/>
        <v>2109</v>
      </c>
      <c r="L1627" t="s">
        <v>110</v>
      </c>
    </row>
    <row r="1628" spans="1:12" x14ac:dyDescent="0.3">
      <c r="A1628" s="53">
        <f>DATE(D1628,7,9)</f>
        <v>74701</v>
      </c>
      <c r="B1628" s="54">
        <f t="shared" si="158"/>
        <v>74701</v>
      </c>
      <c r="C1628" t="s">
        <v>120</v>
      </c>
      <c r="D1628">
        <f t="shared" si="161"/>
        <v>2104</v>
      </c>
      <c r="E1628" t="s">
        <v>121</v>
      </c>
      <c r="H1628" s="53">
        <f>DATE(K1628,4,21)</f>
        <v>76448</v>
      </c>
      <c r="I1628" s="54">
        <f t="shared" si="159"/>
        <v>76448</v>
      </c>
      <c r="J1628" t="s">
        <v>116</v>
      </c>
      <c r="K1628">
        <f t="shared" si="162"/>
        <v>2109</v>
      </c>
      <c r="L1628" t="s">
        <v>110</v>
      </c>
    </row>
    <row r="1629" spans="1:12" x14ac:dyDescent="0.3">
      <c r="A1629" s="53">
        <f>DATE(D1629,8,8)</f>
        <v>74731</v>
      </c>
      <c r="B1629" s="54">
        <f t="shared" si="158"/>
        <v>74731</v>
      </c>
      <c r="C1629" t="s">
        <v>122</v>
      </c>
      <c r="D1629">
        <f t="shared" si="161"/>
        <v>2104</v>
      </c>
      <c r="E1629" t="s">
        <v>115</v>
      </c>
      <c r="H1629" s="53">
        <f>DATE(K1629,5,1)</f>
        <v>76458</v>
      </c>
      <c r="I1629" s="54">
        <f t="shared" si="159"/>
        <v>76458</v>
      </c>
      <c r="J1629" t="s">
        <v>117</v>
      </c>
      <c r="K1629">
        <f t="shared" si="162"/>
        <v>2109</v>
      </c>
      <c r="L1629" t="s">
        <v>110</v>
      </c>
    </row>
    <row r="1630" spans="1:12" x14ac:dyDescent="0.3">
      <c r="A1630" s="53">
        <f>DATE(D1630,8,1)+(14-WEEKDAY(DATE(D1630,8,1),2))</f>
        <v>74733</v>
      </c>
      <c r="B1630" s="54">
        <f t="shared" si="158"/>
        <v>74733</v>
      </c>
      <c r="C1630" t="s">
        <v>123</v>
      </c>
      <c r="D1630">
        <f t="shared" si="161"/>
        <v>2104</v>
      </c>
      <c r="E1630" t="s">
        <v>110</v>
      </c>
      <c r="H1630" s="53">
        <f>DATE(K1630,5,1)+(14-WEEKDAY(DATE(K1630,5,1),2))</f>
        <v>76469</v>
      </c>
      <c r="I1630" s="54">
        <f t="shared" si="159"/>
        <v>76469</v>
      </c>
      <c r="J1630" t="s">
        <v>118</v>
      </c>
      <c r="K1630">
        <f t="shared" si="162"/>
        <v>2109</v>
      </c>
      <c r="L1630" t="s">
        <v>110</v>
      </c>
    </row>
    <row r="1631" spans="1:12" x14ac:dyDescent="0.3">
      <c r="A1631" s="53">
        <f>DATE(D1631,9,7)</f>
        <v>74761</v>
      </c>
      <c r="B1631" s="54">
        <f t="shared" si="158"/>
        <v>74761</v>
      </c>
      <c r="C1631" t="s">
        <v>124</v>
      </c>
      <c r="D1631">
        <f t="shared" si="161"/>
        <v>2104</v>
      </c>
      <c r="E1631" t="s">
        <v>110</v>
      </c>
      <c r="H1631" s="53">
        <f>H1627+60</f>
        <v>76508</v>
      </c>
      <c r="I1631" s="54">
        <f t="shared" si="159"/>
        <v>76508</v>
      </c>
      <c r="J1631" t="s">
        <v>119</v>
      </c>
      <c r="K1631">
        <f t="shared" si="162"/>
        <v>2109</v>
      </c>
      <c r="L1631" t="s">
        <v>110</v>
      </c>
    </row>
    <row r="1632" spans="1:12" x14ac:dyDescent="0.3">
      <c r="A1632" s="53">
        <f>DATE(D1632,10,12)</f>
        <v>74796</v>
      </c>
      <c r="B1632" s="54">
        <f t="shared" si="158"/>
        <v>74796</v>
      </c>
      <c r="C1632" t="s">
        <v>125</v>
      </c>
      <c r="D1632">
        <f t="shared" si="161"/>
        <v>2104</v>
      </c>
      <c r="E1632" t="s">
        <v>110</v>
      </c>
      <c r="H1632" s="53">
        <f>DATE(K1632,6,19)</f>
        <v>76507</v>
      </c>
      <c r="I1632" s="54">
        <f t="shared" si="159"/>
        <v>76507</v>
      </c>
      <c r="J1632" t="s">
        <v>114</v>
      </c>
      <c r="K1632">
        <f t="shared" si="162"/>
        <v>2109</v>
      </c>
      <c r="L1632" t="s">
        <v>115</v>
      </c>
    </row>
    <row r="1633" spans="1:12" x14ac:dyDescent="0.3">
      <c r="A1633" s="53">
        <f>DATE(D1633,11,2)</f>
        <v>74817</v>
      </c>
      <c r="B1633" s="54">
        <f t="shared" si="158"/>
        <v>74817</v>
      </c>
      <c r="C1633" t="s">
        <v>126</v>
      </c>
      <c r="D1633">
        <f t="shared" si="161"/>
        <v>2104</v>
      </c>
      <c r="E1633" t="s">
        <v>110</v>
      </c>
      <c r="H1633" s="53">
        <f>DATE(K1633,7,9)</f>
        <v>76527</v>
      </c>
      <c r="I1633" s="54">
        <f t="shared" si="159"/>
        <v>76527</v>
      </c>
      <c r="J1633" t="s">
        <v>120</v>
      </c>
      <c r="K1633">
        <f t="shared" si="162"/>
        <v>2109</v>
      </c>
      <c r="L1633" t="s">
        <v>121</v>
      </c>
    </row>
    <row r="1634" spans="1:12" x14ac:dyDescent="0.3">
      <c r="A1634" s="53">
        <f>DATE(D1634,11,15)</f>
        <v>74830</v>
      </c>
      <c r="B1634" s="54">
        <f t="shared" si="158"/>
        <v>74830</v>
      </c>
      <c r="C1634" t="s">
        <v>127</v>
      </c>
      <c r="D1634">
        <f t="shared" si="161"/>
        <v>2104</v>
      </c>
      <c r="E1634" t="s">
        <v>110</v>
      </c>
      <c r="H1634" s="53">
        <f>DATE(K1634,8,1)+(14-WEEKDAY(DATE(K1634,8,1),2))</f>
        <v>76560</v>
      </c>
      <c r="I1634" s="54">
        <f t="shared" si="159"/>
        <v>76560</v>
      </c>
      <c r="J1634" t="s">
        <v>123</v>
      </c>
      <c r="K1634">
        <f t="shared" si="162"/>
        <v>2109</v>
      </c>
      <c r="L1634" t="s">
        <v>110</v>
      </c>
    </row>
    <row r="1635" spans="1:12" x14ac:dyDescent="0.3">
      <c r="A1635" s="53">
        <f>DATE(D1635,11,20)</f>
        <v>74835</v>
      </c>
      <c r="B1635" s="54">
        <f t="shared" si="158"/>
        <v>74835</v>
      </c>
      <c r="C1635" t="s">
        <v>128</v>
      </c>
      <c r="D1635">
        <f t="shared" si="161"/>
        <v>2104</v>
      </c>
      <c r="E1635" t="s">
        <v>110</v>
      </c>
      <c r="H1635" s="53">
        <f>DATE(K1635,9,7)</f>
        <v>76587</v>
      </c>
      <c r="I1635" s="54">
        <f t="shared" si="159"/>
        <v>76587</v>
      </c>
      <c r="J1635" t="s">
        <v>124</v>
      </c>
      <c r="K1635">
        <f t="shared" si="162"/>
        <v>2109</v>
      </c>
      <c r="L1635" t="s">
        <v>110</v>
      </c>
    </row>
    <row r="1636" spans="1:12" x14ac:dyDescent="0.3">
      <c r="A1636" s="53">
        <f>DATE(D1636,12,25)</f>
        <v>74870</v>
      </c>
      <c r="B1636" s="54">
        <f t="shared" si="158"/>
        <v>74870</v>
      </c>
      <c r="C1636" t="s">
        <v>129</v>
      </c>
      <c r="D1636">
        <f t="shared" si="161"/>
        <v>2104</v>
      </c>
      <c r="E1636" t="s">
        <v>110</v>
      </c>
      <c r="H1636" s="53">
        <f>DATE(K1636,10,12)</f>
        <v>76622</v>
      </c>
      <c r="I1636" s="54">
        <f t="shared" si="159"/>
        <v>76622</v>
      </c>
      <c r="J1636" t="s">
        <v>125</v>
      </c>
      <c r="K1636">
        <f t="shared" si="162"/>
        <v>2109</v>
      </c>
      <c r="L1636" t="s">
        <v>110</v>
      </c>
    </row>
    <row r="1637" spans="1:12" x14ac:dyDescent="0.3">
      <c r="A1637" s="53">
        <f>DATE(D1637,1,1)</f>
        <v>74877</v>
      </c>
      <c r="B1637" s="54">
        <f t="shared" si="158"/>
        <v>74877</v>
      </c>
      <c r="C1637" t="s">
        <v>109</v>
      </c>
      <c r="D1637">
        <f>D1618+1</f>
        <v>2105</v>
      </c>
      <c r="E1637" t="s">
        <v>110</v>
      </c>
      <c r="H1637" s="53">
        <f>DATE(K1637,11,2)</f>
        <v>76643</v>
      </c>
      <c r="I1637" s="54">
        <f t="shared" si="159"/>
        <v>76643</v>
      </c>
      <c r="J1637" t="s">
        <v>126</v>
      </c>
      <c r="K1637">
        <f t="shared" si="162"/>
        <v>2109</v>
      </c>
      <c r="L1637" t="s">
        <v>110</v>
      </c>
    </row>
    <row r="1638" spans="1:12" x14ac:dyDescent="0.3">
      <c r="A1638" s="53">
        <f>A1641-48</f>
        <v>74923</v>
      </c>
      <c r="B1638" s="54">
        <f t="shared" si="158"/>
        <v>74923</v>
      </c>
      <c r="C1638" t="s">
        <v>111</v>
      </c>
      <c r="D1638">
        <f t="shared" si="161"/>
        <v>2105</v>
      </c>
      <c r="E1638" t="s">
        <v>110</v>
      </c>
      <c r="H1638" s="53">
        <f>DATE(K1638,11,15)</f>
        <v>76656</v>
      </c>
      <c r="I1638" s="54">
        <f t="shared" si="159"/>
        <v>76656</v>
      </c>
      <c r="J1638" t="s">
        <v>127</v>
      </c>
      <c r="K1638">
        <f t="shared" si="162"/>
        <v>2109</v>
      </c>
      <c r="L1638" t="s">
        <v>110</v>
      </c>
    </row>
    <row r="1639" spans="1:12" x14ac:dyDescent="0.3">
      <c r="A1639" s="53">
        <f>A1641-47</f>
        <v>74924</v>
      </c>
      <c r="B1639" s="54">
        <f t="shared" si="158"/>
        <v>74924</v>
      </c>
      <c r="C1639" t="s">
        <v>111</v>
      </c>
      <c r="D1639">
        <f t="shared" si="161"/>
        <v>2105</v>
      </c>
      <c r="E1639" t="s">
        <v>110</v>
      </c>
      <c r="H1639" s="53">
        <f>DATE(K1639,11,20)</f>
        <v>76661</v>
      </c>
      <c r="I1639" s="54">
        <f t="shared" si="159"/>
        <v>76661</v>
      </c>
      <c r="J1639" t="s">
        <v>128</v>
      </c>
      <c r="K1639">
        <f t="shared" si="162"/>
        <v>2109</v>
      </c>
      <c r="L1639" t="s">
        <v>110</v>
      </c>
    </row>
    <row r="1640" spans="1:12" x14ac:dyDescent="0.3">
      <c r="A1640" s="53">
        <f>A1641-2</f>
        <v>74969</v>
      </c>
      <c r="B1640" s="54">
        <f t="shared" si="158"/>
        <v>74969</v>
      </c>
      <c r="C1640" t="s">
        <v>112</v>
      </c>
      <c r="D1640">
        <f t="shared" si="161"/>
        <v>2105</v>
      </c>
      <c r="E1640" t="s">
        <v>110</v>
      </c>
      <c r="H1640" s="53">
        <f>DATE(K1640,12,25)</f>
        <v>76696</v>
      </c>
      <c r="I1640" s="54">
        <f t="shared" si="159"/>
        <v>76696</v>
      </c>
      <c r="J1640" t="s">
        <v>129</v>
      </c>
      <c r="K1640">
        <f t="shared" si="162"/>
        <v>2109</v>
      </c>
      <c r="L1640" t="s">
        <v>110</v>
      </c>
    </row>
    <row r="1641" spans="1:12" x14ac:dyDescent="0.3">
      <c r="A1641" s="53">
        <f>FLOOR(DAY(MINUTE(D1641/38)/2+56)&amp;"/5"&amp;"/"&amp;D1641,7)-34</f>
        <v>74971</v>
      </c>
      <c r="B1641" s="54">
        <f t="shared" si="158"/>
        <v>74971</v>
      </c>
      <c r="C1641" t="s">
        <v>113</v>
      </c>
      <c r="D1641">
        <f t="shared" si="161"/>
        <v>2105</v>
      </c>
      <c r="E1641" t="s">
        <v>110</v>
      </c>
      <c r="H1641" s="53">
        <f>DATE(K1641,1,1)</f>
        <v>76703</v>
      </c>
      <c r="I1641" s="54">
        <f t="shared" si="159"/>
        <v>76703</v>
      </c>
      <c r="J1641" t="s">
        <v>109</v>
      </c>
      <c r="K1641">
        <f>K1623+1</f>
        <v>2110</v>
      </c>
      <c r="L1641" t="s">
        <v>110</v>
      </c>
    </row>
    <row r="1642" spans="1:12" x14ac:dyDescent="0.3">
      <c r="A1642" s="53">
        <f>DATE(D1642,4,14)</f>
        <v>74980</v>
      </c>
      <c r="B1642" s="54">
        <f t="shared" si="158"/>
        <v>74980</v>
      </c>
      <c r="C1642" t="s">
        <v>114</v>
      </c>
      <c r="D1642">
        <f t="shared" si="161"/>
        <v>2105</v>
      </c>
      <c r="E1642" t="s">
        <v>115</v>
      </c>
      <c r="H1642" s="53">
        <f>H1645-48</f>
        <v>76750</v>
      </c>
      <c r="I1642" s="54">
        <f t="shared" si="159"/>
        <v>76750</v>
      </c>
      <c r="J1642" t="s">
        <v>111</v>
      </c>
      <c r="K1642">
        <f t="shared" ref="K1642:K1705" si="163">K1624+1</f>
        <v>2110</v>
      </c>
      <c r="L1642" t="s">
        <v>110</v>
      </c>
    </row>
    <row r="1643" spans="1:12" x14ac:dyDescent="0.3">
      <c r="A1643" s="53">
        <f>DATE(D1643,4,21)</f>
        <v>74987</v>
      </c>
      <c r="B1643" s="54">
        <f t="shared" si="158"/>
        <v>74987</v>
      </c>
      <c r="C1643" t="s">
        <v>116</v>
      </c>
      <c r="D1643">
        <f t="shared" si="161"/>
        <v>2105</v>
      </c>
      <c r="E1643" t="s">
        <v>110</v>
      </c>
      <c r="H1643" s="53">
        <f>H1645-47</f>
        <v>76751</v>
      </c>
      <c r="I1643" s="54">
        <f t="shared" si="159"/>
        <v>76751</v>
      </c>
      <c r="J1643" t="s">
        <v>111</v>
      </c>
      <c r="K1643">
        <f t="shared" si="163"/>
        <v>2110</v>
      </c>
      <c r="L1643" t="s">
        <v>110</v>
      </c>
    </row>
    <row r="1644" spans="1:12" x14ac:dyDescent="0.3">
      <c r="A1644" s="53">
        <f>DATE(D1644,5,1)</f>
        <v>74997</v>
      </c>
      <c r="B1644" s="54">
        <f t="shared" si="158"/>
        <v>74997</v>
      </c>
      <c r="C1644" t="s">
        <v>117</v>
      </c>
      <c r="D1644">
        <f t="shared" si="161"/>
        <v>2105</v>
      </c>
      <c r="E1644" t="s">
        <v>110</v>
      </c>
      <c r="H1644" s="53">
        <f>H1645-2</f>
        <v>76796</v>
      </c>
      <c r="I1644" s="54">
        <f t="shared" si="159"/>
        <v>76796</v>
      </c>
      <c r="J1644" t="s">
        <v>112</v>
      </c>
      <c r="K1644">
        <f t="shared" si="163"/>
        <v>2110</v>
      </c>
      <c r="L1644" t="s">
        <v>110</v>
      </c>
    </row>
    <row r="1645" spans="1:12" x14ac:dyDescent="0.3">
      <c r="A1645" s="53">
        <f>DATE(D1645,5,1)+(14-WEEKDAY(DATE(D1645,5,1),2))</f>
        <v>75006</v>
      </c>
      <c r="B1645" s="54">
        <f t="shared" si="158"/>
        <v>75006</v>
      </c>
      <c r="C1645" t="s">
        <v>118</v>
      </c>
      <c r="D1645">
        <f t="shared" si="161"/>
        <v>2105</v>
      </c>
      <c r="E1645" t="s">
        <v>110</v>
      </c>
      <c r="H1645" s="53">
        <f>FLOOR(DAY(MINUTE(K1645/38)/2+56)&amp;"/5"&amp;"/"&amp;K1645,7)-34</f>
        <v>76798</v>
      </c>
      <c r="I1645" s="54">
        <f t="shared" si="159"/>
        <v>76798</v>
      </c>
      <c r="J1645" t="s">
        <v>113</v>
      </c>
      <c r="K1645">
        <f t="shared" si="163"/>
        <v>2110</v>
      </c>
      <c r="L1645" t="s">
        <v>110</v>
      </c>
    </row>
    <row r="1646" spans="1:12" x14ac:dyDescent="0.3">
      <c r="A1646" s="53">
        <f>A1641+60</f>
        <v>75031</v>
      </c>
      <c r="B1646" s="54">
        <f t="shared" si="158"/>
        <v>75031</v>
      </c>
      <c r="C1646" t="s">
        <v>119</v>
      </c>
      <c r="D1646">
        <f t="shared" si="161"/>
        <v>2105</v>
      </c>
      <c r="E1646" t="s">
        <v>110</v>
      </c>
      <c r="H1646" s="53">
        <f>DATE(K1646,4,21)</f>
        <v>76813</v>
      </c>
      <c r="I1646" s="54">
        <f t="shared" si="159"/>
        <v>76813</v>
      </c>
      <c r="J1646" t="s">
        <v>116</v>
      </c>
      <c r="K1646">
        <f t="shared" si="163"/>
        <v>2110</v>
      </c>
      <c r="L1646" t="s">
        <v>110</v>
      </c>
    </row>
    <row r="1647" spans="1:12" x14ac:dyDescent="0.3">
      <c r="A1647" s="53">
        <f>DATE(D1647,7,9)</f>
        <v>75066</v>
      </c>
      <c r="B1647" s="54">
        <f t="shared" si="158"/>
        <v>75066</v>
      </c>
      <c r="C1647" t="s">
        <v>120</v>
      </c>
      <c r="D1647">
        <f t="shared" si="161"/>
        <v>2105</v>
      </c>
      <c r="E1647" t="s">
        <v>121</v>
      </c>
      <c r="H1647" s="53">
        <f>DATE(K1647,5,1)</f>
        <v>76823</v>
      </c>
      <c r="I1647" s="54">
        <f t="shared" si="159"/>
        <v>76823</v>
      </c>
      <c r="J1647" t="s">
        <v>117</v>
      </c>
      <c r="K1647">
        <f t="shared" si="163"/>
        <v>2110</v>
      </c>
      <c r="L1647" t="s">
        <v>110</v>
      </c>
    </row>
    <row r="1648" spans="1:12" x14ac:dyDescent="0.3">
      <c r="A1648" s="53">
        <f>DATE(D1648,8,8)</f>
        <v>75096</v>
      </c>
      <c r="B1648" s="54">
        <f t="shared" si="158"/>
        <v>75096</v>
      </c>
      <c r="C1648" t="s">
        <v>122</v>
      </c>
      <c r="D1648">
        <f t="shared" si="161"/>
        <v>2105</v>
      </c>
      <c r="E1648" t="s">
        <v>115</v>
      </c>
      <c r="H1648" s="53">
        <f>DATE(K1648,5,1)+(14-WEEKDAY(DATE(K1648,5,1),2))</f>
        <v>76833</v>
      </c>
      <c r="I1648" s="54">
        <f t="shared" si="159"/>
        <v>76833</v>
      </c>
      <c r="J1648" t="s">
        <v>118</v>
      </c>
      <c r="K1648">
        <f t="shared" si="163"/>
        <v>2110</v>
      </c>
      <c r="L1648" t="s">
        <v>110</v>
      </c>
    </row>
    <row r="1649" spans="1:12" x14ac:dyDescent="0.3">
      <c r="A1649" s="53">
        <f>DATE(D1649,8,1)+(14-WEEKDAY(DATE(D1649,8,1),2))</f>
        <v>75097</v>
      </c>
      <c r="B1649" s="54">
        <f t="shared" si="158"/>
        <v>75097</v>
      </c>
      <c r="C1649" t="s">
        <v>123</v>
      </c>
      <c r="D1649">
        <f t="shared" si="161"/>
        <v>2105</v>
      </c>
      <c r="E1649" t="s">
        <v>110</v>
      </c>
      <c r="H1649" s="53">
        <f>H1645+60</f>
        <v>76858</v>
      </c>
      <c r="I1649" s="54">
        <f t="shared" si="159"/>
        <v>76858</v>
      </c>
      <c r="J1649" t="s">
        <v>119</v>
      </c>
      <c r="K1649">
        <f t="shared" si="163"/>
        <v>2110</v>
      </c>
      <c r="L1649" t="s">
        <v>110</v>
      </c>
    </row>
    <row r="1650" spans="1:12" x14ac:dyDescent="0.3">
      <c r="A1650" s="53">
        <f>DATE(D1650,9,7)</f>
        <v>75126</v>
      </c>
      <c r="B1650" s="54">
        <f t="shared" si="158"/>
        <v>75126</v>
      </c>
      <c r="C1650" t="s">
        <v>124</v>
      </c>
      <c r="D1650">
        <f t="shared" si="161"/>
        <v>2105</v>
      </c>
      <c r="E1650" t="s">
        <v>110</v>
      </c>
      <c r="H1650" s="53">
        <f>DATE(K1650,6,19)</f>
        <v>76872</v>
      </c>
      <c r="I1650" s="54">
        <f t="shared" si="159"/>
        <v>76872</v>
      </c>
      <c r="J1650" t="s">
        <v>114</v>
      </c>
      <c r="K1650">
        <f t="shared" si="163"/>
        <v>2110</v>
      </c>
      <c r="L1650" t="s">
        <v>115</v>
      </c>
    </row>
    <row r="1651" spans="1:12" x14ac:dyDescent="0.3">
      <c r="A1651" s="53">
        <f>DATE(D1651,10,12)</f>
        <v>75161</v>
      </c>
      <c r="B1651" s="54">
        <f t="shared" si="158"/>
        <v>75161</v>
      </c>
      <c r="C1651" t="s">
        <v>125</v>
      </c>
      <c r="D1651">
        <f t="shared" si="161"/>
        <v>2105</v>
      </c>
      <c r="E1651" t="s">
        <v>110</v>
      </c>
      <c r="H1651" s="53">
        <f>DATE(K1651,7,9)</f>
        <v>76892</v>
      </c>
      <c r="I1651" s="54">
        <f t="shared" si="159"/>
        <v>76892</v>
      </c>
      <c r="J1651" t="s">
        <v>120</v>
      </c>
      <c r="K1651">
        <f t="shared" si="163"/>
        <v>2110</v>
      </c>
      <c r="L1651" t="s">
        <v>121</v>
      </c>
    </row>
    <row r="1652" spans="1:12" x14ac:dyDescent="0.3">
      <c r="A1652" s="53">
        <f>DATE(D1652,11,2)</f>
        <v>75182</v>
      </c>
      <c r="B1652" s="54">
        <f t="shared" si="158"/>
        <v>75182</v>
      </c>
      <c r="C1652" t="s">
        <v>126</v>
      </c>
      <c r="D1652">
        <f t="shared" si="161"/>
        <v>2105</v>
      </c>
      <c r="E1652" t="s">
        <v>110</v>
      </c>
      <c r="H1652" s="53">
        <f>DATE(K1652,8,1)+(14-WEEKDAY(DATE(K1652,8,1),2))</f>
        <v>76924</v>
      </c>
      <c r="I1652" s="54">
        <f t="shared" si="159"/>
        <v>76924</v>
      </c>
      <c r="J1652" t="s">
        <v>123</v>
      </c>
      <c r="K1652">
        <f t="shared" si="163"/>
        <v>2110</v>
      </c>
      <c r="L1652" t="s">
        <v>110</v>
      </c>
    </row>
    <row r="1653" spans="1:12" x14ac:dyDescent="0.3">
      <c r="A1653" s="53">
        <f>DATE(D1653,11,15)</f>
        <v>75195</v>
      </c>
      <c r="B1653" s="54">
        <f t="shared" si="158"/>
        <v>75195</v>
      </c>
      <c r="C1653" t="s">
        <v>127</v>
      </c>
      <c r="D1653">
        <f t="shared" si="161"/>
        <v>2105</v>
      </c>
      <c r="E1653" t="s">
        <v>110</v>
      </c>
      <c r="H1653" s="53">
        <f>DATE(K1653,9,7)</f>
        <v>76952</v>
      </c>
      <c r="I1653" s="54">
        <f t="shared" si="159"/>
        <v>76952</v>
      </c>
      <c r="J1653" t="s">
        <v>124</v>
      </c>
      <c r="K1653">
        <f t="shared" si="163"/>
        <v>2110</v>
      </c>
      <c r="L1653" t="s">
        <v>110</v>
      </c>
    </row>
    <row r="1654" spans="1:12" x14ac:dyDescent="0.3">
      <c r="A1654" s="53">
        <f>DATE(D1654,11,20)</f>
        <v>75200</v>
      </c>
      <c r="B1654" s="54">
        <f t="shared" si="158"/>
        <v>75200</v>
      </c>
      <c r="C1654" t="s">
        <v>128</v>
      </c>
      <c r="D1654">
        <f t="shared" si="161"/>
        <v>2105</v>
      </c>
      <c r="E1654" t="s">
        <v>110</v>
      </c>
      <c r="H1654" s="53">
        <f>DATE(K1654,10,12)</f>
        <v>76987</v>
      </c>
      <c r="I1654" s="54">
        <f t="shared" si="159"/>
        <v>76987</v>
      </c>
      <c r="J1654" t="s">
        <v>125</v>
      </c>
      <c r="K1654">
        <f t="shared" si="163"/>
        <v>2110</v>
      </c>
      <c r="L1654" t="s">
        <v>110</v>
      </c>
    </row>
    <row r="1655" spans="1:12" x14ac:dyDescent="0.3">
      <c r="A1655" s="53">
        <f>DATE(D1655,12,25)</f>
        <v>75235</v>
      </c>
      <c r="B1655" s="54">
        <f t="shared" si="158"/>
        <v>75235</v>
      </c>
      <c r="C1655" t="s">
        <v>129</v>
      </c>
      <c r="D1655">
        <f t="shared" si="161"/>
        <v>2105</v>
      </c>
      <c r="E1655" t="s">
        <v>110</v>
      </c>
      <c r="H1655" s="53">
        <f>DATE(K1655,11,2)</f>
        <v>77008</v>
      </c>
      <c r="I1655" s="54">
        <f t="shared" si="159"/>
        <v>77008</v>
      </c>
      <c r="J1655" t="s">
        <v>126</v>
      </c>
      <c r="K1655">
        <f t="shared" si="163"/>
        <v>2110</v>
      </c>
      <c r="L1655" t="s">
        <v>110</v>
      </c>
    </row>
    <row r="1656" spans="1:12" x14ac:dyDescent="0.3">
      <c r="A1656" s="53">
        <f>DATE(D1656,1,1)</f>
        <v>75242</v>
      </c>
      <c r="B1656" s="54">
        <f t="shared" si="158"/>
        <v>75242</v>
      </c>
      <c r="C1656" t="s">
        <v>109</v>
      </c>
      <c r="D1656">
        <f>D1637+1</f>
        <v>2106</v>
      </c>
      <c r="E1656" t="s">
        <v>110</v>
      </c>
      <c r="H1656" s="53">
        <f>DATE(K1656,11,15)</f>
        <v>77021</v>
      </c>
      <c r="I1656" s="54">
        <f t="shared" si="159"/>
        <v>77021</v>
      </c>
      <c r="J1656" t="s">
        <v>127</v>
      </c>
      <c r="K1656">
        <f t="shared" si="163"/>
        <v>2110</v>
      </c>
      <c r="L1656" t="s">
        <v>110</v>
      </c>
    </row>
    <row r="1657" spans="1:12" x14ac:dyDescent="0.3">
      <c r="A1657" s="53">
        <f>A1660-48</f>
        <v>75301</v>
      </c>
      <c r="B1657" s="54">
        <f t="shared" si="158"/>
        <v>75301</v>
      </c>
      <c r="C1657" t="s">
        <v>111</v>
      </c>
      <c r="D1657">
        <f t="shared" si="161"/>
        <v>2106</v>
      </c>
      <c r="E1657" t="s">
        <v>110</v>
      </c>
      <c r="H1657" s="53">
        <f>DATE(K1657,11,20)</f>
        <v>77026</v>
      </c>
      <c r="I1657" s="54">
        <f t="shared" si="159"/>
        <v>77026</v>
      </c>
      <c r="J1657" t="s">
        <v>128</v>
      </c>
      <c r="K1657">
        <f t="shared" si="163"/>
        <v>2110</v>
      </c>
      <c r="L1657" t="s">
        <v>110</v>
      </c>
    </row>
    <row r="1658" spans="1:12" x14ac:dyDescent="0.3">
      <c r="A1658" s="53">
        <f>A1660-47</f>
        <v>75302</v>
      </c>
      <c r="B1658" s="54">
        <f t="shared" si="158"/>
        <v>75302</v>
      </c>
      <c r="C1658" t="s">
        <v>111</v>
      </c>
      <c r="D1658">
        <f t="shared" si="161"/>
        <v>2106</v>
      </c>
      <c r="E1658" t="s">
        <v>110</v>
      </c>
      <c r="H1658" s="53">
        <f>DATE(K1658,12,25)</f>
        <v>77061</v>
      </c>
      <c r="I1658" s="54">
        <f t="shared" si="159"/>
        <v>77061</v>
      </c>
      <c r="J1658" t="s">
        <v>129</v>
      </c>
      <c r="K1658">
        <f t="shared" si="163"/>
        <v>2110</v>
      </c>
      <c r="L1658" t="s">
        <v>110</v>
      </c>
    </row>
    <row r="1659" spans="1:12" x14ac:dyDescent="0.3">
      <c r="A1659" s="53">
        <f>A1660-2</f>
        <v>75347</v>
      </c>
      <c r="B1659" s="54">
        <f t="shared" si="158"/>
        <v>75347</v>
      </c>
      <c r="C1659" t="s">
        <v>112</v>
      </c>
      <c r="D1659">
        <f t="shared" si="161"/>
        <v>2106</v>
      </c>
      <c r="E1659" t="s">
        <v>110</v>
      </c>
      <c r="H1659" s="53">
        <f>DATE(K1659,1,1)</f>
        <v>77068</v>
      </c>
      <c r="I1659" s="54">
        <f t="shared" si="159"/>
        <v>77068</v>
      </c>
      <c r="J1659" t="s">
        <v>109</v>
      </c>
      <c r="K1659">
        <f>K1641+1</f>
        <v>2111</v>
      </c>
      <c r="L1659" t="s">
        <v>110</v>
      </c>
    </row>
    <row r="1660" spans="1:12" x14ac:dyDescent="0.3">
      <c r="A1660" s="53">
        <f>FLOOR(DAY(MINUTE(D1660/38)/2+56)&amp;"/5"&amp;"/"&amp;D1660,7)-34</f>
        <v>75349</v>
      </c>
      <c r="B1660" s="54">
        <f t="shared" si="158"/>
        <v>75349</v>
      </c>
      <c r="C1660" t="s">
        <v>113</v>
      </c>
      <c r="D1660">
        <f t="shared" si="161"/>
        <v>2106</v>
      </c>
      <c r="E1660" t="s">
        <v>110</v>
      </c>
      <c r="H1660" s="53">
        <f>H1663-48</f>
        <v>77107</v>
      </c>
      <c r="I1660" s="54">
        <f t="shared" si="159"/>
        <v>77107</v>
      </c>
      <c r="J1660" t="s">
        <v>111</v>
      </c>
      <c r="K1660">
        <f t="shared" si="163"/>
        <v>2111</v>
      </c>
      <c r="L1660" t="s">
        <v>110</v>
      </c>
    </row>
    <row r="1661" spans="1:12" x14ac:dyDescent="0.3">
      <c r="A1661" s="53">
        <f>DATE(D1661,4,14)</f>
        <v>75345</v>
      </c>
      <c r="B1661" s="54">
        <f t="shared" si="158"/>
        <v>75345</v>
      </c>
      <c r="C1661" t="s">
        <v>114</v>
      </c>
      <c r="D1661">
        <f t="shared" si="161"/>
        <v>2106</v>
      </c>
      <c r="E1661" t="s">
        <v>115</v>
      </c>
      <c r="H1661" s="53">
        <f>H1663-47</f>
        <v>77108</v>
      </c>
      <c r="I1661" s="54">
        <f t="shared" si="159"/>
        <v>77108</v>
      </c>
      <c r="J1661" t="s">
        <v>111</v>
      </c>
      <c r="K1661">
        <f t="shared" si="163"/>
        <v>2111</v>
      </c>
      <c r="L1661" t="s">
        <v>110</v>
      </c>
    </row>
    <row r="1662" spans="1:12" x14ac:dyDescent="0.3">
      <c r="A1662" s="53">
        <f>DATE(D1662,4,21)</f>
        <v>75352</v>
      </c>
      <c r="B1662" s="54">
        <f t="shared" si="158"/>
        <v>75352</v>
      </c>
      <c r="C1662" t="s">
        <v>116</v>
      </c>
      <c r="D1662">
        <f t="shared" si="161"/>
        <v>2106</v>
      </c>
      <c r="E1662" t="s">
        <v>110</v>
      </c>
      <c r="H1662" s="53">
        <f>H1663-2</f>
        <v>77153</v>
      </c>
      <c r="I1662" s="54">
        <f t="shared" si="159"/>
        <v>77153</v>
      </c>
      <c r="J1662" t="s">
        <v>112</v>
      </c>
      <c r="K1662">
        <f t="shared" si="163"/>
        <v>2111</v>
      </c>
      <c r="L1662" t="s">
        <v>110</v>
      </c>
    </row>
    <row r="1663" spans="1:12" x14ac:dyDescent="0.3">
      <c r="A1663" s="53">
        <f>DATE(D1663,5,1)</f>
        <v>75362</v>
      </c>
      <c r="B1663" s="54">
        <f t="shared" si="158"/>
        <v>75362</v>
      </c>
      <c r="C1663" t="s">
        <v>117</v>
      </c>
      <c r="D1663">
        <f t="shared" si="161"/>
        <v>2106</v>
      </c>
      <c r="E1663" t="s">
        <v>110</v>
      </c>
      <c r="H1663" s="53">
        <f>FLOOR(DAY(MINUTE(K1663/38)/2+56)&amp;"/5"&amp;"/"&amp;K1663,7)-34</f>
        <v>77155</v>
      </c>
      <c r="I1663" s="54">
        <f t="shared" si="159"/>
        <v>77155</v>
      </c>
      <c r="J1663" t="s">
        <v>113</v>
      </c>
      <c r="K1663">
        <f t="shared" si="163"/>
        <v>2111</v>
      </c>
      <c r="L1663" t="s">
        <v>110</v>
      </c>
    </row>
    <row r="1664" spans="1:12" x14ac:dyDescent="0.3">
      <c r="A1664" s="53">
        <f>DATE(D1664,5,1)+(14-WEEKDAY(DATE(D1664,5,1),2))</f>
        <v>75370</v>
      </c>
      <c r="B1664" s="54">
        <f t="shared" si="158"/>
        <v>75370</v>
      </c>
      <c r="C1664" t="s">
        <v>118</v>
      </c>
      <c r="D1664">
        <f t="shared" si="161"/>
        <v>2106</v>
      </c>
      <c r="E1664" t="s">
        <v>110</v>
      </c>
      <c r="H1664" s="53">
        <f>DATE(K1664,4,21)</f>
        <v>77178</v>
      </c>
      <c r="I1664" s="54">
        <f t="shared" si="159"/>
        <v>77178</v>
      </c>
      <c r="J1664" t="s">
        <v>116</v>
      </c>
      <c r="K1664">
        <f t="shared" si="163"/>
        <v>2111</v>
      </c>
      <c r="L1664" t="s">
        <v>110</v>
      </c>
    </row>
    <row r="1665" spans="1:12" x14ac:dyDescent="0.3">
      <c r="A1665" s="53">
        <f>A1660+60</f>
        <v>75409</v>
      </c>
      <c r="B1665" s="54">
        <f t="shared" si="158"/>
        <v>75409</v>
      </c>
      <c r="C1665" t="s">
        <v>119</v>
      </c>
      <c r="D1665">
        <f t="shared" si="161"/>
        <v>2106</v>
      </c>
      <c r="E1665" t="s">
        <v>110</v>
      </c>
      <c r="H1665" s="53">
        <f>DATE(K1665,5,1)</f>
        <v>77188</v>
      </c>
      <c r="I1665" s="54">
        <f t="shared" si="159"/>
        <v>77188</v>
      </c>
      <c r="J1665" t="s">
        <v>117</v>
      </c>
      <c r="K1665">
        <f t="shared" si="163"/>
        <v>2111</v>
      </c>
      <c r="L1665" t="s">
        <v>110</v>
      </c>
    </row>
    <row r="1666" spans="1:12" x14ac:dyDescent="0.3">
      <c r="A1666" s="53">
        <f>DATE(D1666,7,9)</f>
        <v>75431</v>
      </c>
      <c r="B1666" s="54">
        <f t="shared" si="158"/>
        <v>75431</v>
      </c>
      <c r="C1666" t="s">
        <v>120</v>
      </c>
      <c r="D1666">
        <f t="shared" si="161"/>
        <v>2106</v>
      </c>
      <c r="E1666" t="s">
        <v>121</v>
      </c>
      <c r="H1666" s="53">
        <f>DATE(K1666,5,1)+(14-WEEKDAY(DATE(K1666,5,1),2))</f>
        <v>77197</v>
      </c>
      <c r="I1666" s="54">
        <f t="shared" si="159"/>
        <v>77197</v>
      </c>
      <c r="J1666" t="s">
        <v>118</v>
      </c>
      <c r="K1666">
        <f t="shared" si="163"/>
        <v>2111</v>
      </c>
      <c r="L1666" t="s">
        <v>110</v>
      </c>
    </row>
    <row r="1667" spans="1:12" x14ac:dyDescent="0.3">
      <c r="A1667" s="53">
        <f>DATE(D1667,8,8)</f>
        <v>75461</v>
      </c>
      <c r="B1667" s="54">
        <f t="shared" ref="B1667:B1730" si="164">A1667</f>
        <v>75461</v>
      </c>
      <c r="C1667" t="s">
        <v>122</v>
      </c>
      <c r="D1667">
        <f t="shared" si="161"/>
        <v>2106</v>
      </c>
      <c r="E1667" t="s">
        <v>115</v>
      </c>
      <c r="H1667" s="53">
        <f>H1663+60</f>
        <v>77215</v>
      </c>
      <c r="I1667" s="54">
        <f t="shared" si="159"/>
        <v>77215</v>
      </c>
      <c r="J1667" t="s">
        <v>119</v>
      </c>
      <c r="K1667">
        <f t="shared" si="163"/>
        <v>2111</v>
      </c>
      <c r="L1667" t="s">
        <v>110</v>
      </c>
    </row>
    <row r="1668" spans="1:12" x14ac:dyDescent="0.3">
      <c r="A1668" s="53">
        <f>DATE(D1668,8,1)+(14-WEEKDAY(DATE(D1668,8,1),2))</f>
        <v>75461</v>
      </c>
      <c r="B1668" s="54">
        <f t="shared" si="164"/>
        <v>75461</v>
      </c>
      <c r="C1668" t="s">
        <v>123</v>
      </c>
      <c r="D1668">
        <f t="shared" si="161"/>
        <v>2106</v>
      </c>
      <c r="E1668" t="s">
        <v>110</v>
      </c>
      <c r="H1668" s="53">
        <f>DATE(K1668,6,19)</f>
        <v>77237</v>
      </c>
      <c r="I1668" s="54">
        <f t="shared" si="159"/>
        <v>77237</v>
      </c>
      <c r="J1668" t="s">
        <v>114</v>
      </c>
      <c r="K1668">
        <f t="shared" si="163"/>
        <v>2111</v>
      </c>
      <c r="L1668" t="s">
        <v>115</v>
      </c>
    </row>
    <row r="1669" spans="1:12" x14ac:dyDescent="0.3">
      <c r="A1669" s="53">
        <f>DATE(D1669,9,7)</f>
        <v>75491</v>
      </c>
      <c r="B1669" s="54">
        <f t="shared" si="164"/>
        <v>75491</v>
      </c>
      <c r="C1669" t="s">
        <v>124</v>
      </c>
      <c r="D1669">
        <f t="shared" si="161"/>
        <v>2106</v>
      </c>
      <c r="E1669" t="s">
        <v>110</v>
      </c>
      <c r="H1669" s="53">
        <f>DATE(K1669,7,9)</f>
        <v>77257</v>
      </c>
      <c r="I1669" s="54">
        <f t="shared" si="159"/>
        <v>77257</v>
      </c>
      <c r="J1669" t="s">
        <v>120</v>
      </c>
      <c r="K1669">
        <f t="shared" si="163"/>
        <v>2111</v>
      </c>
      <c r="L1669" t="s">
        <v>121</v>
      </c>
    </row>
    <row r="1670" spans="1:12" x14ac:dyDescent="0.3">
      <c r="A1670" s="53">
        <f>DATE(D1670,10,12)</f>
        <v>75526</v>
      </c>
      <c r="B1670" s="54">
        <f t="shared" si="164"/>
        <v>75526</v>
      </c>
      <c r="C1670" t="s">
        <v>125</v>
      </c>
      <c r="D1670">
        <f t="shared" si="161"/>
        <v>2106</v>
      </c>
      <c r="E1670" t="s">
        <v>110</v>
      </c>
      <c r="H1670" s="53">
        <f>DATE(K1670,8,1)+(14-WEEKDAY(DATE(K1670,8,1),2))</f>
        <v>77288</v>
      </c>
      <c r="I1670" s="54">
        <f t="shared" si="159"/>
        <v>77288</v>
      </c>
      <c r="J1670" t="s">
        <v>123</v>
      </c>
      <c r="K1670">
        <f t="shared" si="163"/>
        <v>2111</v>
      </c>
      <c r="L1670" t="s">
        <v>110</v>
      </c>
    </row>
    <row r="1671" spans="1:12" x14ac:dyDescent="0.3">
      <c r="A1671" s="53">
        <f>DATE(D1671,11,2)</f>
        <v>75547</v>
      </c>
      <c r="B1671" s="54">
        <f t="shared" si="164"/>
        <v>75547</v>
      </c>
      <c r="C1671" t="s">
        <v>126</v>
      </c>
      <c r="D1671">
        <f t="shared" si="161"/>
        <v>2106</v>
      </c>
      <c r="E1671" t="s">
        <v>110</v>
      </c>
      <c r="H1671" s="53">
        <f>DATE(K1671,9,7)</f>
        <v>77317</v>
      </c>
      <c r="I1671" s="54">
        <f t="shared" si="159"/>
        <v>77317</v>
      </c>
      <c r="J1671" t="s">
        <v>124</v>
      </c>
      <c r="K1671">
        <f t="shared" si="163"/>
        <v>2111</v>
      </c>
      <c r="L1671" t="s">
        <v>110</v>
      </c>
    </row>
    <row r="1672" spans="1:12" x14ac:dyDescent="0.3">
      <c r="A1672" s="53">
        <f>DATE(D1672,11,15)</f>
        <v>75560</v>
      </c>
      <c r="B1672" s="54">
        <f t="shared" si="164"/>
        <v>75560</v>
      </c>
      <c r="C1672" t="s">
        <v>127</v>
      </c>
      <c r="D1672">
        <f t="shared" si="161"/>
        <v>2106</v>
      </c>
      <c r="E1672" t="s">
        <v>110</v>
      </c>
      <c r="H1672" s="53">
        <f>DATE(K1672,10,12)</f>
        <v>77352</v>
      </c>
      <c r="I1672" s="54">
        <f t="shared" ref="I1672:I1735" si="165">H1672</f>
        <v>77352</v>
      </c>
      <c r="J1672" t="s">
        <v>125</v>
      </c>
      <c r="K1672">
        <f t="shared" si="163"/>
        <v>2111</v>
      </c>
      <c r="L1672" t="s">
        <v>110</v>
      </c>
    </row>
    <row r="1673" spans="1:12" x14ac:dyDescent="0.3">
      <c r="A1673" s="53">
        <f>DATE(D1673,11,20)</f>
        <v>75565</v>
      </c>
      <c r="B1673" s="54">
        <f t="shared" si="164"/>
        <v>75565</v>
      </c>
      <c r="C1673" t="s">
        <v>128</v>
      </c>
      <c r="D1673">
        <f t="shared" si="161"/>
        <v>2106</v>
      </c>
      <c r="E1673" t="s">
        <v>110</v>
      </c>
      <c r="H1673" s="53">
        <f>DATE(K1673,11,2)</f>
        <v>77373</v>
      </c>
      <c r="I1673" s="54">
        <f t="shared" si="165"/>
        <v>77373</v>
      </c>
      <c r="J1673" t="s">
        <v>126</v>
      </c>
      <c r="K1673">
        <f t="shared" si="163"/>
        <v>2111</v>
      </c>
      <c r="L1673" t="s">
        <v>110</v>
      </c>
    </row>
    <row r="1674" spans="1:12" x14ac:dyDescent="0.3">
      <c r="A1674" s="53">
        <f>DATE(D1674,12,25)</f>
        <v>75600</v>
      </c>
      <c r="B1674" s="54">
        <f t="shared" si="164"/>
        <v>75600</v>
      </c>
      <c r="C1674" t="s">
        <v>129</v>
      </c>
      <c r="D1674">
        <f t="shared" si="161"/>
        <v>2106</v>
      </c>
      <c r="E1674" t="s">
        <v>110</v>
      </c>
      <c r="H1674" s="53">
        <f>DATE(K1674,11,15)</f>
        <v>77386</v>
      </c>
      <c r="I1674" s="54">
        <f t="shared" si="165"/>
        <v>77386</v>
      </c>
      <c r="J1674" t="s">
        <v>127</v>
      </c>
      <c r="K1674">
        <f t="shared" si="163"/>
        <v>2111</v>
      </c>
      <c r="L1674" t="s">
        <v>110</v>
      </c>
    </row>
    <row r="1675" spans="1:12" x14ac:dyDescent="0.3">
      <c r="A1675" s="53">
        <f>DATE(D1675,1,1)</f>
        <v>75607</v>
      </c>
      <c r="B1675" s="54">
        <f t="shared" si="164"/>
        <v>75607</v>
      </c>
      <c r="C1675" t="s">
        <v>109</v>
      </c>
      <c r="D1675">
        <f>D1656+1</f>
        <v>2107</v>
      </c>
      <c r="E1675" t="s">
        <v>110</v>
      </c>
      <c r="H1675" s="53">
        <f>DATE(K1675,11,20)</f>
        <v>77391</v>
      </c>
      <c r="I1675" s="54">
        <f t="shared" si="165"/>
        <v>77391</v>
      </c>
      <c r="J1675" t="s">
        <v>128</v>
      </c>
      <c r="K1675">
        <f t="shared" si="163"/>
        <v>2111</v>
      </c>
      <c r="L1675" t="s">
        <v>110</v>
      </c>
    </row>
    <row r="1676" spans="1:12" x14ac:dyDescent="0.3">
      <c r="A1676" s="53">
        <f>A1679-48</f>
        <v>75658</v>
      </c>
      <c r="B1676" s="54">
        <f t="shared" si="164"/>
        <v>75658</v>
      </c>
      <c r="C1676" t="s">
        <v>111</v>
      </c>
      <c r="D1676">
        <f t="shared" si="161"/>
        <v>2107</v>
      </c>
      <c r="E1676" t="s">
        <v>110</v>
      </c>
      <c r="H1676" s="53">
        <f>DATE(K1676,12,25)</f>
        <v>77426</v>
      </c>
      <c r="I1676" s="54">
        <f t="shared" si="165"/>
        <v>77426</v>
      </c>
      <c r="J1676" t="s">
        <v>129</v>
      </c>
      <c r="K1676">
        <f t="shared" si="163"/>
        <v>2111</v>
      </c>
      <c r="L1676" t="s">
        <v>110</v>
      </c>
    </row>
    <row r="1677" spans="1:12" x14ac:dyDescent="0.3">
      <c r="A1677" s="53">
        <f>A1679-47</f>
        <v>75659</v>
      </c>
      <c r="B1677" s="54">
        <f t="shared" si="164"/>
        <v>75659</v>
      </c>
      <c r="C1677" t="s">
        <v>111</v>
      </c>
      <c r="D1677">
        <f t="shared" si="161"/>
        <v>2107</v>
      </c>
      <c r="E1677" t="s">
        <v>110</v>
      </c>
      <c r="H1677" s="53">
        <f>DATE(K1677,1,1)</f>
        <v>77433</v>
      </c>
      <c r="I1677" s="54">
        <f t="shared" si="165"/>
        <v>77433</v>
      </c>
      <c r="J1677" t="s">
        <v>109</v>
      </c>
      <c r="K1677">
        <f>K1659+1</f>
        <v>2112</v>
      </c>
      <c r="L1677" t="s">
        <v>110</v>
      </c>
    </row>
    <row r="1678" spans="1:12" x14ac:dyDescent="0.3">
      <c r="A1678" s="53">
        <f>A1679-2</f>
        <v>75704</v>
      </c>
      <c r="B1678" s="54">
        <f t="shared" si="164"/>
        <v>75704</v>
      </c>
      <c r="C1678" t="s">
        <v>112</v>
      </c>
      <c r="D1678">
        <f t="shared" si="161"/>
        <v>2107</v>
      </c>
      <c r="E1678" t="s">
        <v>110</v>
      </c>
      <c r="H1678" s="53">
        <f>H1681-48</f>
        <v>77492</v>
      </c>
      <c r="I1678" s="54">
        <f t="shared" si="165"/>
        <v>77492</v>
      </c>
      <c r="J1678" t="s">
        <v>111</v>
      </c>
      <c r="K1678">
        <f t="shared" si="163"/>
        <v>2112</v>
      </c>
      <c r="L1678" t="s">
        <v>110</v>
      </c>
    </row>
    <row r="1679" spans="1:12" x14ac:dyDescent="0.3">
      <c r="A1679" s="53">
        <f>FLOOR(DAY(MINUTE(D1679/38)/2+56)&amp;"/5"&amp;"/"&amp;D1679,7)-34</f>
        <v>75706</v>
      </c>
      <c r="B1679" s="54">
        <f t="shared" si="164"/>
        <v>75706</v>
      </c>
      <c r="C1679" t="s">
        <v>113</v>
      </c>
      <c r="D1679">
        <f t="shared" si="161"/>
        <v>2107</v>
      </c>
      <c r="E1679" t="s">
        <v>110</v>
      </c>
      <c r="H1679" s="53">
        <f>H1681-47</f>
        <v>77493</v>
      </c>
      <c r="I1679" s="54">
        <f t="shared" si="165"/>
        <v>77493</v>
      </c>
      <c r="J1679" t="s">
        <v>111</v>
      </c>
      <c r="K1679">
        <f t="shared" si="163"/>
        <v>2112</v>
      </c>
      <c r="L1679" t="s">
        <v>110</v>
      </c>
    </row>
    <row r="1680" spans="1:12" x14ac:dyDescent="0.3">
      <c r="A1680" s="53">
        <f>DATE(D1680,4,14)</f>
        <v>75710</v>
      </c>
      <c r="B1680" s="54">
        <f t="shared" si="164"/>
        <v>75710</v>
      </c>
      <c r="C1680" t="s">
        <v>114</v>
      </c>
      <c r="D1680">
        <f t="shared" si="161"/>
        <v>2107</v>
      </c>
      <c r="E1680" t="s">
        <v>115</v>
      </c>
      <c r="H1680" s="53">
        <f>H1681-2</f>
        <v>77538</v>
      </c>
      <c r="I1680" s="54">
        <f t="shared" si="165"/>
        <v>77538</v>
      </c>
      <c r="J1680" t="s">
        <v>112</v>
      </c>
      <c r="K1680">
        <f t="shared" si="163"/>
        <v>2112</v>
      </c>
      <c r="L1680" t="s">
        <v>110</v>
      </c>
    </row>
    <row r="1681" spans="1:12" x14ac:dyDescent="0.3">
      <c r="A1681" s="53">
        <f>DATE(D1681,4,21)</f>
        <v>75717</v>
      </c>
      <c r="B1681" s="54">
        <f t="shared" si="164"/>
        <v>75717</v>
      </c>
      <c r="C1681" t="s">
        <v>116</v>
      </c>
      <c r="D1681">
        <f t="shared" si="161"/>
        <v>2107</v>
      </c>
      <c r="E1681" t="s">
        <v>110</v>
      </c>
      <c r="H1681" s="53">
        <f>FLOOR(DAY(MINUTE(K1681/38)/2+56)&amp;"/5"&amp;"/"&amp;K1681,7)-34</f>
        <v>77540</v>
      </c>
      <c r="I1681" s="54">
        <f t="shared" si="165"/>
        <v>77540</v>
      </c>
      <c r="J1681" t="s">
        <v>113</v>
      </c>
      <c r="K1681">
        <f t="shared" si="163"/>
        <v>2112</v>
      </c>
      <c r="L1681" t="s">
        <v>110</v>
      </c>
    </row>
    <row r="1682" spans="1:12" x14ac:dyDescent="0.3">
      <c r="A1682" s="53">
        <f>DATE(D1682,5,1)</f>
        <v>75727</v>
      </c>
      <c r="B1682" s="54">
        <f t="shared" si="164"/>
        <v>75727</v>
      </c>
      <c r="C1682" t="s">
        <v>117</v>
      </c>
      <c r="D1682">
        <f t="shared" si="161"/>
        <v>2107</v>
      </c>
      <c r="E1682" t="s">
        <v>110</v>
      </c>
      <c r="H1682" s="53">
        <f>DATE(K1682,4,21)</f>
        <v>77544</v>
      </c>
      <c r="I1682" s="54">
        <f t="shared" si="165"/>
        <v>77544</v>
      </c>
      <c r="J1682" t="s">
        <v>116</v>
      </c>
      <c r="K1682">
        <f t="shared" si="163"/>
        <v>2112</v>
      </c>
      <c r="L1682" t="s">
        <v>110</v>
      </c>
    </row>
    <row r="1683" spans="1:12" x14ac:dyDescent="0.3">
      <c r="A1683" s="53">
        <f>DATE(D1683,5,1)+(14-WEEKDAY(DATE(D1683,5,1),2))</f>
        <v>75734</v>
      </c>
      <c r="B1683" s="54">
        <f t="shared" si="164"/>
        <v>75734</v>
      </c>
      <c r="C1683" t="s">
        <v>118</v>
      </c>
      <c r="D1683">
        <f t="shared" ref="D1683:D1693" si="166">D1664+1</f>
        <v>2107</v>
      </c>
      <c r="E1683" t="s">
        <v>110</v>
      </c>
      <c r="H1683" s="53">
        <f>DATE(K1683,5,1)</f>
        <v>77554</v>
      </c>
      <c r="I1683" s="54">
        <f t="shared" si="165"/>
        <v>77554</v>
      </c>
      <c r="J1683" t="s">
        <v>117</v>
      </c>
      <c r="K1683">
        <f t="shared" si="163"/>
        <v>2112</v>
      </c>
      <c r="L1683" t="s">
        <v>110</v>
      </c>
    </row>
    <row r="1684" spans="1:12" x14ac:dyDescent="0.3">
      <c r="A1684" s="53">
        <f>A1679+60</f>
        <v>75766</v>
      </c>
      <c r="B1684" s="54">
        <f t="shared" si="164"/>
        <v>75766</v>
      </c>
      <c r="C1684" t="s">
        <v>119</v>
      </c>
      <c r="D1684">
        <f t="shared" si="166"/>
        <v>2107</v>
      </c>
      <c r="E1684" t="s">
        <v>110</v>
      </c>
      <c r="H1684" s="53">
        <f>DATE(K1684,5,1)+(14-WEEKDAY(DATE(K1684,5,1),2))</f>
        <v>77561</v>
      </c>
      <c r="I1684" s="54">
        <f t="shared" si="165"/>
        <v>77561</v>
      </c>
      <c r="J1684" t="s">
        <v>118</v>
      </c>
      <c r="K1684">
        <f t="shared" si="163"/>
        <v>2112</v>
      </c>
      <c r="L1684" t="s">
        <v>110</v>
      </c>
    </row>
    <row r="1685" spans="1:12" x14ac:dyDescent="0.3">
      <c r="A1685" s="53">
        <f>DATE(D1685,7,9)</f>
        <v>75796</v>
      </c>
      <c r="B1685" s="54">
        <f t="shared" si="164"/>
        <v>75796</v>
      </c>
      <c r="C1685" t="s">
        <v>120</v>
      </c>
      <c r="D1685">
        <f t="shared" si="166"/>
        <v>2107</v>
      </c>
      <c r="E1685" t="s">
        <v>121</v>
      </c>
      <c r="H1685" s="53">
        <f>H1681+60</f>
        <v>77600</v>
      </c>
      <c r="I1685" s="54">
        <f t="shared" si="165"/>
        <v>77600</v>
      </c>
      <c r="J1685" t="s">
        <v>119</v>
      </c>
      <c r="K1685">
        <f t="shared" si="163"/>
        <v>2112</v>
      </c>
      <c r="L1685" t="s">
        <v>110</v>
      </c>
    </row>
    <row r="1686" spans="1:12" x14ac:dyDescent="0.3">
      <c r="A1686" s="53">
        <f>DATE(D1686,8,8)</f>
        <v>75826</v>
      </c>
      <c r="B1686" s="54">
        <f t="shared" si="164"/>
        <v>75826</v>
      </c>
      <c r="C1686" t="s">
        <v>122</v>
      </c>
      <c r="D1686">
        <f t="shared" si="166"/>
        <v>2107</v>
      </c>
      <c r="E1686" t="s">
        <v>115</v>
      </c>
      <c r="H1686" s="53">
        <f>DATE(K1686,6,19)</f>
        <v>77603</v>
      </c>
      <c r="I1686" s="54">
        <f t="shared" si="165"/>
        <v>77603</v>
      </c>
      <c r="J1686" t="s">
        <v>114</v>
      </c>
      <c r="K1686">
        <f t="shared" si="163"/>
        <v>2112</v>
      </c>
      <c r="L1686" t="s">
        <v>115</v>
      </c>
    </row>
    <row r="1687" spans="1:12" x14ac:dyDescent="0.3">
      <c r="A1687" s="53">
        <f>DATE(D1687,8,1)+(14-WEEKDAY(DATE(D1687,8,1),2))</f>
        <v>75832</v>
      </c>
      <c r="B1687" s="54">
        <f t="shared" si="164"/>
        <v>75832</v>
      </c>
      <c r="C1687" t="s">
        <v>123</v>
      </c>
      <c r="D1687">
        <f t="shared" si="166"/>
        <v>2107</v>
      </c>
      <c r="E1687" t="s">
        <v>110</v>
      </c>
      <c r="H1687" s="53">
        <f>DATE(K1687,7,9)</f>
        <v>77623</v>
      </c>
      <c r="I1687" s="54">
        <f t="shared" si="165"/>
        <v>77623</v>
      </c>
      <c r="J1687" t="s">
        <v>120</v>
      </c>
      <c r="K1687">
        <f t="shared" si="163"/>
        <v>2112</v>
      </c>
      <c r="L1687" t="s">
        <v>121</v>
      </c>
    </row>
    <row r="1688" spans="1:12" x14ac:dyDescent="0.3">
      <c r="A1688" s="53">
        <f>DATE(D1688,9,7)</f>
        <v>75856</v>
      </c>
      <c r="B1688" s="54">
        <f t="shared" si="164"/>
        <v>75856</v>
      </c>
      <c r="C1688" t="s">
        <v>124</v>
      </c>
      <c r="D1688">
        <f t="shared" si="166"/>
        <v>2107</v>
      </c>
      <c r="E1688" t="s">
        <v>110</v>
      </c>
      <c r="H1688" s="53">
        <f>DATE(K1688,8,1)+(14-WEEKDAY(DATE(K1688,8,1),2))</f>
        <v>77659</v>
      </c>
      <c r="I1688" s="54">
        <f t="shared" si="165"/>
        <v>77659</v>
      </c>
      <c r="J1688" t="s">
        <v>123</v>
      </c>
      <c r="K1688">
        <f t="shared" si="163"/>
        <v>2112</v>
      </c>
      <c r="L1688" t="s">
        <v>110</v>
      </c>
    </row>
    <row r="1689" spans="1:12" x14ac:dyDescent="0.3">
      <c r="A1689" s="53">
        <f>DATE(D1689,10,12)</f>
        <v>75891</v>
      </c>
      <c r="B1689" s="54">
        <f t="shared" si="164"/>
        <v>75891</v>
      </c>
      <c r="C1689" t="s">
        <v>125</v>
      </c>
      <c r="D1689">
        <f t="shared" si="166"/>
        <v>2107</v>
      </c>
      <c r="E1689" t="s">
        <v>110</v>
      </c>
      <c r="H1689" s="53">
        <f>DATE(K1689,9,7)</f>
        <v>77683</v>
      </c>
      <c r="I1689" s="54">
        <f t="shared" si="165"/>
        <v>77683</v>
      </c>
      <c r="J1689" t="s">
        <v>124</v>
      </c>
      <c r="K1689">
        <f t="shared" si="163"/>
        <v>2112</v>
      </c>
      <c r="L1689" t="s">
        <v>110</v>
      </c>
    </row>
    <row r="1690" spans="1:12" x14ac:dyDescent="0.3">
      <c r="A1690" s="53">
        <f>DATE(D1690,11,2)</f>
        <v>75912</v>
      </c>
      <c r="B1690" s="54">
        <f t="shared" si="164"/>
        <v>75912</v>
      </c>
      <c r="C1690" t="s">
        <v>126</v>
      </c>
      <c r="D1690">
        <f t="shared" si="166"/>
        <v>2107</v>
      </c>
      <c r="E1690" t="s">
        <v>110</v>
      </c>
      <c r="H1690" s="53">
        <f>DATE(K1690,10,12)</f>
        <v>77718</v>
      </c>
      <c r="I1690" s="54">
        <f t="shared" si="165"/>
        <v>77718</v>
      </c>
      <c r="J1690" t="s">
        <v>125</v>
      </c>
      <c r="K1690">
        <f t="shared" si="163"/>
        <v>2112</v>
      </c>
      <c r="L1690" t="s">
        <v>110</v>
      </c>
    </row>
    <row r="1691" spans="1:12" x14ac:dyDescent="0.3">
      <c r="A1691" s="53">
        <f>DATE(D1691,11,15)</f>
        <v>75925</v>
      </c>
      <c r="B1691" s="54">
        <f t="shared" si="164"/>
        <v>75925</v>
      </c>
      <c r="C1691" t="s">
        <v>127</v>
      </c>
      <c r="D1691">
        <f t="shared" si="166"/>
        <v>2107</v>
      </c>
      <c r="E1691" t="s">
        <v>110</v>
      </c>
      <c r="H1691" s="53">
        <f>DATE(K1691,11,2)</f>
        <v>77739</v>
      </c>
      <c r="I1691" s="54">
        <f t="shared" si="165"/>
        <v>77739</v>
      </c>
      <c r="J1691" t="s">
        <v>126</v>
      </c>
      <c r="K1691">
        <f t="shared" si="163"/>
        <v>2112</v>
      </c>
      <c r="L1691" t="s">
        <v>110</v>
      </c>
    </row>
    <row r="1692" spans="1:12" x14ac:dyDescent="0.3">
      <c r="A1692" s="53">
        <f>DATE(D1692,11,20)</f>
        <v>75930</v>
      </c>
      <c r="B1692" s="54">
        <f t="shared" si="164"/>
        <v>75930</v>
      </c>
      <c r="C1692" t="s">
        <v>128</v>
      </c>
      <c r="D1692">
        <f t="shared" si="166"/>
        <v>2107</v>
      </c>
      <c r="E1692" t="s">
        <v>110</v>
      </c>
      <c r="H1692" s="53">
        <f>DATE(K1692,11,15)</f>
        <v>77752</v>
      </c>
      <c r="I1692" s="54">
        <f t="shared" si="165"/>
        <v>77752</v>
      </c>
      <c r="J1692" t="s">
        <v>127</v>
      </c>
      <c r="K1692">
        <f t="shared" si="163"/>
        <v>2112</v>
      </c>
      <c r="L1692" t="s">
        <v>110</v>
      </c>
    </row>
    <row r="1693" spans="1:12" x14ac:dyDescent="0.3">
      <c r="A1693" s="53">
        <f>DATE(D1693,12,25)</f>
        <v>75965</v>
      </c>
      <c r="B1693" s="54">
        <f t="shared" si="164"/>
        <v>75965</v>
      </c>
      <c r="C1693" t="s">
        <v>129</v>
      </c>
      <c r="D1693">
        <f t="shared" si="166"/>
        <v>2107</v>
      </c>
      <c r="E1693" t="s">
        <v>110</v>
      </c>
      <c r="H1693" s="53">
        <f>DATE(K1693,11,20)</f>
        <v>77757</v>
      </c>
      <c r="I1693" s="54">
        <f t="shared" si="165"/>
        <v>77757</v>
      </c>
      <c r="J1693" t="s">
        <v>128</v>
      </c>
      <c r="K1693">
        <f t="shared" si="163"/>
        <v>2112</v>
      </c>
      <c r="L1693" t="s">
        <v>110</v>
      </c>
    </row>
    <row r="1694" spans="1:12" x14ac:dyDescent="0.3">
      <c r="A1694" s="53">
        <f>DATE(D1694,1,1)</f>
        <v>75972</v>
      </c>
      <c r="B1694" s="54">
        <f t="shared" si="164"/>
        <v>75972</v>
      </c>
      <c r="C1694" t="s">
        <v>109</v>
      </c>
      <c r="D1694">
        <f>D1675+1</f>
        <v>2108</v>
      </c>
      <c r="E1694" t="s">
        <v>110</v>
      </c>
      <c r="H1694" s="53">
        <f>DATE(K1694,12,25)</f>
        <v>77792</v>
      </c>
      <c r="I1694" s="54">
        <f t="shared" si="165"/>
        <v>77792</v>
      </c>
      <c r="J1694" t="s">
        <v>129</v>
      </c>
      <c r="K1694">
        <f t="shared" si="163"/>
        <v>2112</v>
      </c>
      <c r="L1694" t="s">
        <v>110</v>
      </c>
    </row>
    <row r="1695" spans="1:12" x14ac:dyDescent="0.3">
      <c r="A1695" s="53">
        <f>A1698-48</f>
        <v>76015</v>
      </c>
      <c r="B1695" s="54">
        <f t="shared" si="164"/>
        <v>76015</v>
      </c>
      <c r="C1695" t="s">
        <v>111</v>
      </c>
      <c r="D1695">
        <f t="shared" ref="D1695:D1712" si="167">D1676+1</f>
        <v>2108</v>
      </c>
      <c r="E1695" t="s">
        <v>110</v>
      </c>
      <c r="H1695" s="53">
        <f>DATE(K1695,1,1)</f>
        <v>77799</v>
      </c>
      <c r="I1695" s="54">
        <f t="shared" si="165"/>
        <v>77799</v>
      </c>
      <c r="J1695" t="s">
        <v>109</v>
      </c>
      <c r="K1695">
        <f>K1677+1</f>
        <v>2113</v>
      </c>
      <c r="L1695" t="s">
        <v>110</v>
      </c>
    </row>
    <row r="1696" spans="1:12" x14ac:dyDescent="0.3">
      <c r="A1696" s="53">
        <f>A1698-47</f>
        <v>76016</v>
      </c>
      <c r="B1696" s="54">
        <f t="shared" si="164"/>
        <v>76016</v>
      </c>
      <c r="C1696" t="s">
        <v>111</v>
      </c>
      <c r="D1696">
        <f t="shared" si="167"/>
        <v>2108</v>
      </c>
      <c r="E1696" t="s">
        <v>110</v>
      </c>
      <c r="H1696" s="53">
        <f>H1699-48</f>
        <v>77842</v>
      </c>
      <c r="I1696" s="54">
        <f t="shared" si="165"/>
        <v>77842</v>
      </c>
      <c r="J1696" t="s">
        <v>111</v>
      </c>
      <c r="K1696">
        <f t="shared" si="163"/>
        <v>2113</v>
      </c>
      <c r="L1696" t="s">
        <v>110</v>
      </c>
    </row>
    <row r="1697" spans="1:12" x14ac:dyDescent="0.3">
      <c r="A1697" s="53">
        <f>A1698-2</f>
        <v>76061</v>
      </c>
      <c r="B1697" s="54">
        <f t="shared" si="164"/>
        <v>76061</v>
      </c>
      <c r="C1697" t="s">
        <v>112</v>
      </c>
      <c r="D1697">
        <f t="shared" si="167"/>
        <v>2108</v>
      </c>
      <c r="E1697" t="s">
        <v>110</v>
      </c>
      <c r="H1697" s="53">
        <f>H1699-47</f>
        <v>77843</v>
      </c>
      <c r="I1697" s="54">
        <f t="shared" si="165"/>
        <v>77843</v>
      </c>
      <c r="J1697" t="s">
        <v>111</v>
      </c>
      <c r="K1697">
        <f t="shared" si="163"/>
        <v>2113</v>
      </c>
      <c r="L1697" t="s">
        <v>110</v>
      </c>
    </row>
    <row r="1698" spans="1:12" x14ac:dyDescent="0.3">
      <c r="A1698" s="53">
        <f>FLOOR(DAY(MINUTE(D1698/38)/2+56)&amp;"/5"&amp;"/"&amp;D1698,7)-34</f>
        <v>76063</v>
      </c>
      <c r="B1698" s="54">
        <f t="shared" si="164"/>
        <v>76063</v>
      </c>
      <c r="C1698" t="s">
        <v>113</v>
      </c>
      <c r="D1698">
        <f t="shared" si="167"/>
        <v>2108</v>
      </c>
      <c r="E1698" t="s">
        <v>110</v>
      </c>
      <c r="H1698" s="53">
        <f>H1699-2</f>
        <v>77888</v>
      </c>
      <c r="I1698" s="54">
        <f t="shared" si="165"/>
        <v>77888</v>
      </c>
      <c r="J1698" t="s">
        <v>112</v>
      </c>
      <c r="K1698">
        <f t="shared" si="163"/>
        <v>2113</v>
      </c>
      <c r="L1698" t="s">
        <v>110</v>
      </c>
    </row>
    <row r="1699" spans="1:12" x14ac:dyDescent="0.3">
      <c r="A1699" s="53">
        <f>DATE(D1699,4,14)</f>
        <v>76076</v>
      </c>
      <c r="B1699" s="54">
        <f t="shared" si="164"/>
        <v>76076</v>
      </c>
      <c r="C1699" t="s">
        <v>114</v>
      </c>
      <c r="D1699">
        <f t="shared" si="167"/>
        <v>2108</v>
      </c>
      <c r="E1699" t="s">
        <v>115</v>
      </c>
      <c r="H1699" s="53">
        <f>FLOOR(DAY(MINUTE(K1699/38)/2+56)&amp;"/5"&amp;"/"&amp;K1699,7)-34</f>
        <v>77890</v>
      </c>
      <c r="I1699" s="54">
        <f t="shared" si="165"/>
        <v>77890</v>
      </c>
      <c r="J1699" t="s">
        <v>113</v>
      </c>
      <c r="K1699">
        <f t="shared" si="163"/>
        <v>2113</v>
      </c>
      <c r="L1699" t="s">
        <v>110</v>
      </c>
    </row>
    <row r="1700" spans="1:12" x14ac:dyDescent="0.3">
      <c r="A1700" s="53">
        <f>DATE(D1700,4,21)</f>
        <v>76083</v>
      </c>
      <c r="B1700" s="54">
        <f t="shared" si="164"/>
        <v>76083</v>
      </c>
      <c r="C1700" t="s">
        <v>116</v>
      </c>
      <c r="D1700">
        <f t="shared" si="167"/>
        <v>2108</v>
      </c>
      <c r="E1700" t="s">
        <v>110</v>
      </c>
      <c r="H1700" s="53">
        <f>DATE(K1700,4,21)</f>
        <v>77909</v>
      </c>
      <c r="I1700" s="54">
        <f t="shared" si="165"/>
        <v>77909</v>
      </c>
      <c r="J1700" t="s">
        <v>116</v>
      </c>
      <c r="K1700">
        <f t="shared" si="163"/>
        <v>2113</v>
      </c>
      <c r="L1700" t="s">
        <v>110</v>
      </c>
    </row>
    <row r="1701" spans="1:12" x14ac:dyDescent="0.3">
      <c r="A1701" s="53">
        <f>DATE(D1701,5,1)</f>
        <v>76093</v>
      </c>
      <c r="B1701" s="54">
        <f t="shared" si="164"/>
        <v>76093</v>
      </c>
      <c r="C1701" t="s">
        <v>117</v>
      </c>
      <c r="D1701">
        <f t="shared" si="167"/>
        <v>2108</v>
      </c>
      <c r="E1701" t="s">
        <v>110</v>
      </c>
      <c r="H1701" s="53">
        <f>DATE(K1701,5,1)</f>
        <v>77919</v>
      </c>
      <c r="I1701" s="54">
        <f t="shared" si="165"/>
        <v>77919</v>
      </c>
      <c r="J1701" t="s">
        <v>117</v>
      </c>
      <c r="K1701">
        <f t="shared" si="163"/>
        <v>2113</v>
      </c>
      <c r="L1701" t="s">
        <v>110</v>
      </c>
    </row>
    <row r="1702" spans="1:12" x14ac:dyDescent="0.3">
      <c r="A1702" s="53">
        <f>DATE(D1702,5,1)+(14-WEEKDAY(DATE(D1702,5,1),2))</f>
        <v>76105</v>
      </c>
      <c r="B1702" s="54">
        <f t="shared" si="164"/>
        <v>76105</v>
      </c>
      <c r="C1702" t="s">
        <v>118</v>
      </c>
      <c r="D1702">
        <f t="shared" si="167"/>
        <v>2108</v>
      </c>
      <c r="E1702" t="s">
        <v>110</v>
      </c>
      <c r="H1702" s="53">
        <f>DATE(K1702,5,1)+(14-WEEKDAY(DATE(K1702,5,1),2))</f>
        <v>77932</v>
      </c>
      <c r="I1702" s="54">
        <f t="shared" si="165"/>
        <v>77932</v>
      </c>
      <c r="J1702" t="s">
        <v>118</v>
      </c>
      <c r="K1702">
        <f t="shared" si="163"/>
        <v>2113</v>
      </c>
      <c r="L1702" t="s">
        <v>110</v>
      </c>
    </row>
    <row r="1703" spans="1:12" x14ac:dyDescent="0.3">
      <c r="A1703" s="53">
        <f>A1698+60</f>
        <v>76123</v>
      </c>
      <c r="B1703" s="54">
        <f t="shared" si="164"/>
        <v>76123</v>
      </c>
      <c r="C1703" t="s">
        <v>119</v>
      </c>
      <c r="D1703">
        <f t="shared" si="167"/>
        <v>2108</v>
      </c>
      <c r="E1703" t="s">
        <v>110</v>
      </c>
      <c r="H1703" s="53">
        <f>H1699+60</f>
        <v>77950</v>
      </c>
      <c r="I1703" s="54">
        <f t="shared" si="165"/>
        <v>77950</v>
      </c>
      <c r="J1703" t="s">
        <v>119</v>
      </c>
      <c r="K1703">
        <f t="shared" si="163"/>
        <v>2113</v>
      </c>
      <c r="L1703" t="s">
        <v>110</v>
      </c>
    </row>
    <row r="1704" spans="1:12" x14ac:dyDescent="0.3">
      <c r="A1704" s="53">
        <f>DATE(D1704,7,9)</f>
        <v>76162</v>
      </c>
      <c r="B1704" s="54">
        <f t="shared" si="164"/>
        <v>76162</v>
      </c>
      <c r="C1704" t="s">
        <v>120</v>
      </c>
      <c r="D1704">
        <f t="shared" si="167"/>
        <v>2108</v>
      </c>
      <c r="E1704" t="s">
        <v>121</v>
      </c>
      <c r="H1704" s="53">
        <f>DATE(K1704,6,19)</f>
        <v>77968</v>
      </c>
      <c r="I1704" s="54">
        <f t="shared" si="165"/>
        <v>77968</v>
      </c>
      <c r="J1704" t="s">
        <v>114</v>
      </c>
      <c r="K1704">
        <f t="shared" si="163"/>
        <v>2113</v>
      </c>
      <c r="L1704" t="s">
        <v>115</v>
      </c>
    </row>
    <row r="1705" spans="1:12" x14ac:dyDescent="0.3">
      <c r="A1705" s="53">
        <f>DATE(D1705,8,8)</f>
        <v>76192</v>
      </c>
      <c r="B1705" s="54">
        <f t="shared" si="164"/>
        <v>76192</v>
      </c>
      <c r="C1705" t="s">
        <v>122</v>
      </c>
      <c r="D1705">
        <f t="shared" si="167"/>
        <v>2108</v>
      </c>
      <c r="E1705" t="s">
        <v>115</v>
      </c>
      <c r="H1705" s="53">
        <f>DATE(K1705,7,9)</f>
        <v>77988</v>
      </c>
      <c r="I1705" s="54">
        <f t="shared" si="165"/>
        <v>77988</v>
      </c>
      <c r="J1705" t="s">
        <v>120</v>
      </c>
      <c r="K1705">
        <f t="shared" si="163"/>
        <v>2113</v>
      </c>
      <c r="L1705" t="s">
        <v>121</v>
      </c>
    </row>
    <row r="1706" spans="1:12" x14ac:dyDescent="0.3">
      <c r="A1706" s="53">
        <f>DATE(D1706,8,1)+(14-WEEKDAY(DATE(D1706,8,1),2))</f>
        <v>76196</v>
      </c>
      <c r="B1706" s="54">
        <f t="shared" si="164"/>
        <v>76196</v>
      </c>
      <c r="C1706" t="s">
        <v>123</v>
      </c>
      <c r="D1706">
        <f t="shared" si="167"/>
        <v>2108</v>
      </c>
      <c r="E1706" t="s">
        <v>110</v>
      </c>
      <c r="H1706" s="53">
        <f>DATE(K1706,8,1)+(14-WEEKDAY(DATE(K1706,8,1),2))</f>
        <v>78023</v>
      </c>
      <c r="I1706" s="54">
        <f t="shared" si="165"/>
        <v>78023</v>
      </c>
      <c r="J1706" t="s">
        <v>123</v>
      </c>
      <c r="K1706">
        <f t="shared" ref="K1706:K1712" si="168">K1688+1</f>
        <v>2113</v>
      </c>
      <c r="L1706" t="s">
        <v>110</v>
      </c>
    </row>
    <row r="1707" spans="1:12" x14ac:dyDescent="0.3">
      <c r="A1707" s="53">
        <f>DATE(D1707,9,7)</f>
        <v>76222</v>
      </c>
      <c r="B1707" s="54">
        <f t="shared" si="164"/>
        <v>76222</v>
      </c>
      <c r="C1707" t="s">
        <v>124</v>
      </c>
      <c r="D1707">
        <f t="shared" si="167"/>
        <v>2108</v>
      </c>
      <c r="E1707" t="s">
        <v>110</v>
      </c>
      <c r="H1707" s="53">
        <f>DATE(K1707,9,7)</f>
        <v>78048</v>
      </c>
      <c r="I1707" s="54">
        <f t="shared" si="165"/>
        <v>78048</v>
      </c>
      <c r="J1707" t="s">
        <v>124</v>
      </c>
      <c r="K1707">
        <f t="shared" si="168"/>
        <v>2113</v>
      </c>
      <c r="L1707" t="s">
        <v>110</v>
      </c>
    </row>
    <row r="1708" spans="1:12" x14ac:dyDescent="0.3">
      <c r="A1708" s="53">
        <f>DATE(D1708,10,12)</f>
        <v>76257</v>
      </c>
      <c r="B1708" s="54">
        <f t="shared" si="164"/>
        <v>76257</v>
      </c>
      <c r="C1708" t="s">
        <v>125</v>
      </c>
      <c r="D1708">
        <f t="shared" si="167"/>
        <v>2108</v>
      </c>
      <c r="E1708" t="s">
        <v>110</v>
      </c>
      <c r="H1708" s="53">
        <f>DATE(K1708,10,12)</f>
        <v>78083</v>
      </c>
      <c r="I1708" s="54">
        <f t="shared" si="165"/>
        <v>78083</v>
      </c>
      <c r="J1708" t="s">
        <v>125</v>
      </c>
      <c r="K1708">
        <f t="shared" si="168"/>
        <v>2113</v>
      </c>
      <c r="L1708" t="s">
        <v>110</v>
      </c>
    </row>
    <row r="1709" spans="1:12" x14ac:dyDescent="0.3">
      <c r="A1709" s="53">
        <f>DATE(D1709,11,2)</f>
        <v>76278</v>
      </c>
      <c r="B1709" s="54">
        <f t="shared" si="164"/>
        <v>76278</v>
      </c>
      <c r="C1709" t="s">
        <v>126</v>
      </c>
      <c r="D1709">
        <f t="shared" si="167"/>
        <v>2108</v>
      </c>
      <c r="E1709" t="s">
        <v>110</v>
      </c>
      <c r="H1709" s="53">
        <f>DATE(K1709,11,2)</f>
        <v>78104</v>
      </c>
      <c r="I1709" s="54">
        <f t="shared" si="165"/>
        <v>78104</v>
      </c>
      <c r="J1709" t="s">
        <v>126</v>
      </c>
      <c r="K1709">
        <f t="shared" si="168"/>
        <v>2113</v>
      </c>
      <c r="L1709" t="s">
        <v>110</v>
      </c>
    </row>
    <row r="1710" spans="1:12" x14ac:dyDescent="0.3">
      <c r="A1710" s="53">
        <f>DATE(D1710,11,15)</f>
        <v>76291</v>
      </c>
      <c r="B1710" s="54">
        <f t="shared" si="164"/>
        <v>76291</v>
      </c>
      <c r="C1710" t="s">
        <v>127</v>
      </c>
      <c r="D1710">
        <f t="shared" si="167"/>
        <v>2108</v>
      </c>
      <c r="E1710" t="s">
        <v>110</v>
      </c>
      <c r="H1710" s="53">
        <f>DATE(K1710,11,15)</f>
        <v>78117</v>
      </c>
      <c r="I1710" s="54">
        <f t="shared" si="165"/>
        <v>78117</v>
      </c>
      <c r="J1710" t="s">
        <v>127</v>
      </c>
      <c r="K1710">
        <f t="shared" si="168"/>
        <v>2113</v>
      </c>
      <c r="L1710" t="s">
        <v>110</v>
      </c>
    </row>
    <row r="1711" spans="1:12" x14ac:dyDescent="0.3">
      <c r="A1711" s="53">
        <f>DATE(D1711,11,20)</f>
        <v>76296</v>
      </c>
      <c r="B1711" s="54">
        <f t="shared" si="164"/>
        <v>76296</v>
      </c>
      <c r="C1711" t="s">
        <v>128</v>
      </c>
      <c r="D1711">
        <f t="shared" si="167"/>
        <v>2108</v>
      </c>
      <c r="E1711" t="s">
        <v>110</v>
      </c>
      <c r="H1711" s="53">
        <f>DATE(K1711,11,20)</f>
        <v>78122</v>
      </c>
      <c r="I1711" s="54">
        <f t="shared" si="165"/>
        <v>78122</v>
      </c>
      <c r="J1711" t="s">
        <v>128</v>
      </c>
      <c r="K1711">
        <f t="shared" si="168"/>
        <v>2113</v>
      </c>
      <c r="L1711" t="s">
        <v>110</v>
      </c>
    </row>
    <row r="1712" spans="1:12" x14ac:dyDescent="0.3">
      <c r="A1712" s="53">
        <f>DATE(D1712,12,25)</f>
        <v>76331</v>
      </c>
      <c r="B1712" s="54">
        <f t="shared" si="164"/>
        <v>76331</v>
      </c>
      <c r="C1712" t="s">
        <v>129</v>
      </c>
      <c r="D1712">
        <f t="shared" si="167"/>
        <v>2108</v>
      </c>
      <c r="E1712" t="s">
        <v>110</v>
      </c>
      <c r="H1712" s="53">
        <f>DATE(K1712,12,25)</f>
        <v>78157</v>
      </c>
      <c r="I1712" s="54">
        <f t="shared" si="165"/>
        <v>78157</v>
      </c>
      <c r="J1712" t="s">
        <v>129</v>
      </c>
      <c r="K1712">
        <f t="shared" si="168"/>
        <v>2113</v>
      </c>
      <c r="L1712" t="s">
        <v>110</v>
      </c>
    </row>
    <row r="1713" spans="1:12" x14ac:dyDescent="0.3">
      <c r="A1713" s="53">
        <f>DATE(D1713,1,1)</f>
        <v>76338</v>
      </c>
      <c r="B1713" s="54">
        <f t="shared" si="164"/>
        <v>76338</v>
      </c>
      <c r="C1713" t="s">
        <v>109</v>
      </c>
      <c r="D1713">
        <f>D1694+1</f>
        <v>2109</v>
      </c>
      <c r="E1713" t="s">
        <v>110</v>
      </c>
      <c r="H1713" s="53">
        <f>DATE(K1713,1,1)</f>
        <v>78164</v>
      </c>
      <c r="I1713" s="54">
        <f t="shared" si="165"/>
        <v>78164</v>
      </c>
      <c r="J1713" t="s">
        <v>109</v>
      </c>
      <c r="K1713">
        <f>K1695+1</f>
        <v>2114</v>
      </c>
      <c r="L1713" t="s">
        <v>110</v>
      </c>
    </row>
    <row r="1714" spans="1:12" x14ac:dyDescent="0.3">
      <c r="A1714" s="53">
        <f>A1717-48</f>
        <v>76400</v>
      </c>
      <c r="B1714" s="54">
        <f t="shared" si="164"/>
        <v>76400</v>
      </c>
      <c r="C1714" t="s">
        <v>111</v>
      </c>
      <c r="D1714">
        <f t="shared" ref="D1714:D1731" si="169">D1695+1</f>
        <v>2109</v>
      </c>
      <c r="E1714" t="s">
        <v>110</v>
      </c>
      <c r="H1714" s="53">
        <f>H1717-48</f>
        <v>78227</v>
      </c>
      <c r="I1714" s="54">
        <f t="shared" si="165"/>
        <v>78227</v>
      </c>
      <c r="J1714" t="s">
        <v>111</v>
      </c>
      <c r="K1714">
        <f t="shared" ref="K1714:K1730" si="170">K1696+1</f>
        <v>2114</v>
      </c>
      <c r="L1714" t="s">
        <v>110</v>
      </c>
    </row>
    <row r="1715" spans="1:12" x14ac:dyDescent="0.3">
      <c r="A1715" s="53">
        <f>A1717-47</f>
        <v>76401</v>
      </c>
      <c r="B1715" s="54">
        <f t="shared" si="164"/>
        <v>76401</v>
      </c>
      <c r="C1715" t="s">
        <v>111</v>
      </c>
      <c r="D1715">
        <f t="shared" si="169"/>
        <v>2109</v>
      </c>
      <c r="E1715" t="s">
        <v>110</v>
      </c>
      <c r="H1715" s="53">
        <f>H1717-47</f>
        <v>78228</v>
      </c>
      <c r="I1715" s="54">
        <f t="shared" si="165"/>
        <v>78228</v>
      </c>
      <c r="J1715" t="s">
        <v>111</v>
      </c>
      <c r="K1715">
        <f t="shared" si="170"/>
        <v>2114</v>
      </c>
      <c r="L1715" t="s">
        <v>110</v>
      </c>
    </row>
    <row r="1716" spans="1:12" x14ac:dyDescent="0.3">
      <c r="A1716" s="53">
        <f>A1717-2</f>
        <v>76446</v>
      </c>
      <c r="B1716" s="54">
        <f t="shared" si="164"/>
        <v>76446</v>
      </c>
      <c r="C1716" t="s">
        <v>112</v>
      </c>
      <c r="D1716">
        <f t="shared" si="169"/>
        <v>2109</v>
      </c>
      <c r="E1716" t="s">
        <v>110</v>
      </c>
      <c r="H1716" s="53">
        <f>H1717-2</f>
        <v>78273</v>
      </c>
      <c r="I1716" s="54">
        <f t="shared" si="165"/>
        <v>78273</v>
      </c>
      <c r="J1716" t="s">
        <v>112</v>
      </c>
      <c r="K1716">
        <f t="shared" si="170"/>
        <v>2114</v>
      </c>
      <c r="L1716" t="s">
        <v>110</v>
      </c>
    </row>
    <row r="1717" spans="1:12" x14ac:dyDescent="0.3">
      <c r="A1717" s="53">
        <f>FLOOR(DAY(MINUTE(D1717/38)/2+56)&amp;"/5"&amp;"/"&amp;D1717,7)-34</f>
        <v>76448</v>
      </c>
      <c r="B1717" s="54">
        <f t="shared" si="164"/>
        <v>76448</v>
      </c>
      <c r="C1717" t="s">
        <v>113</v>
      </c>
      <c r="D1717">
        <f t="shared" si="169"/>
        <v>2109</v>
      </c>
      <c r="E1717" t="s">
        <v>110</v>
      </c>
      <c r="H1717" s="53">
        <f>FLOOR(DAY(MINUTE(K1717/38)/2+56)&amp;"/5"&amp;"/"&amp;K1717,7)-34</f>
        <v>78275</v>
      </c>
      <c r="I1717" s="54">
        <f t="shared" si="165"/>
        <v>78275</v>
      </c>
      <c r="J1717" t="s">
        <v>113</v>
      </c>
      <c r="K1717">
        <f t="shared" si="170"/>
        <v>2114</v>
      </c>
      <c r="L1717" t="s">
        <v>110</v>
      </c>
    </row>
    <row r="1718" spans="1:12" x14ac:dyDescent="0.3">
      <c r="A1718" s="53">
        <f>DATE(D1718,4,14)</f>
        <v>76441</v>
      </c>
      <c r="B1718" s="54">
        <f t="shared" si="164"/>
        <v>76441</v>
      </c>
      <c r="C1718" t="s">
        <v>114</v>
      </c>
      <c r="D1718">
        <f t="shared" si="169"/>
        <v>2109</v>
      </c>
      <c r="E1718" t="s">
        <v>115</v>
      </c>
      <c r="H1718" s="53">
        <f>DATE(K1718,4,21)</f>
        <v>78274</v>
      </c>
      <c r="I1718" s="54">
        <f t="shared" si="165"/>
        <v>78274</v>
      </c>
      <c r="J1718" t="s">
        <v>116</v>
      </c>
      <c r="K1718">
        <f t="shared" si="170"/>
        <v>2114</v>
      </c>
      <c r="L1718" t="s">
        <v>110</v>
      </c>
    </row>
    <row r="1719" spans="1:12" x14ac:dyDescent="0.3">
      <c r="A1719" s="53">
        <f>DATE(D1719,4,21)</f>
        <v>76448</v>
      </c>
      <c r="B1719" s="54">
        <f t="shared" si="164"/>
        <v>76448</v>
      </c>
      <c r="C1719" t="s">
        <v>116</v>
      </c>
      <c r="D1719">
        <f t="shared" si="169"/>
        <v>2109</v>
      </c>
      <c r="E1719" t="s">
        <v>110</v>
      </c>
      <c r="H1719" s="53">
        <f>DATE(K1719,5,1)</f>
        <v>78284</v>
      </c>
      <c r="I1719" s="54">
        <f t="shared" si="165"/>
        <v>78284</v>
      </c>
      <c r="J1719" t="s">
        <v>117</v>
      </c>
      <c r="K1719">
        <f t="shared" si="170"/>
        <v>2114</v>
      </c>
      <c r="L1719" t="s">
        <v>110</v>
      </c>
    </row>
    <row r="1720" spans="1:12" x14ac:dyDescent="0.3">
      <c r="A1720" s="53">
        <f>DATE(D1720,5,1)</f>
        <v>76458</v>
      </c>
      <c r="B1720" s="54">
        <f t="shared" si="164"/>
        <v>76458</v>
      </c>
      <c r="C1720" t="s">
        <v>117</v>
      </c>
      <c r="D1720">
        <f t="shared" si="169"/>
        <v>2109</v>
      </c>
      <c r="E1720" t="s">
        <v>110</v>
      </c>
      <c r="H1720" s="53">
        <f>DATE(K1720,5,1)+(14-WEEKDAY(DATE(K1720,5,1),2))</f>
        <v>78296</v>
      </c>
      <c r="I1720" s="54">
        <f t="shared" si="165"/>
        <v>78296</v>
      </c>
      <c r="J1720" t="s">
        <v>118</v>
      </c>
      <c r="K1720">
        <f t="shared" si="170"/>
        <v>2114</v>
      </c>
      <c r="L1720" t="s">
        <v>110</v>
      </c>
    </row>
    <row r="1721" spans="1:12" x14ac:dyDescent="0.3">
      <c r="A1721" s="53">
        <f>DATE(D1721,5,1)+(14-WEEKDAY(DATE(D1721,5,1),2))</f>
        <v>76469</v>
      </c>
      <c r="B1721" s="54">
        <f t="shared" si="164"/>
        <v>76469</v>
      </c>
      <c r="C1721" t="s">
        <v>118</v>
      </c>
      <c r="D1721">
        <f t="shared" si="169"/>
        <v>2109</v>
      </c>
      <c r="E1721" t="s">
        <v>110</v>
      </c>
      <c r="H1721" s="53">
        <f>H1717+60</f>
        <v>78335</v>
      </c>
      <c r="I1721" s="54">
        <f t="shared" si="165"/>
        <v>78335</v>
      </c>
      <c r="J1721" t="s">
        <v>119</v>
      </c>
      <c r="K1721">
        <f t="shared" si="170"/>
        <v>2114</v>
      </c>
      <c r="L1721" t="s">
        <v>110</v>
      </c>
    </row>
    <row r="1722" spans="1:12" x14ac:dyDescent="0.3">
      <c r="A1722" s="53">
        <f>A1717+60</f>
        <v>76508</v>
      </c>
      <c r="B1722" s="54">
        <f t="shared" si="164"/>
        <v>76508</v>
      </c>
      <c r="C1722" t="s">
        <v>119</v>
      </c>
      <c r="D1722">
        <f t="shared" si="169"/>
        <v>2109</v>
      </c>
      <c r="E1722" t="s">
        <v>110</v>
      </c>
      <c r="H1722" s="53">
        <f>DATE(K1722,6,19)</f>
        <v>78333</v>
      </c>
      <c r="I1722" s="54">
        <f t="shared" si="165"/>
        <v>78333</v>
      </c>
      <c r="J1722" t="s">
        <v>114</v>
      </c>
      <c r="K1722">
        <f t="shared" si="170"/>
        <v>2114</v>
      </c>
      <c r="L1722" t="s">
        <v>115</v>
      </c>
    </row>
    <row r="1723" spans="1:12" x14ac:dyDescent="0.3">
      <c r="A1723" s="53">
        <f>DATE(D1723,7,9)</f>
        <v>76527</v>
      </c>
      <c r="B1723" s="54">
        <f t="shared" si="164"/>
        <v>76527</v>
      </c>
      <c r="C1723" t="s">
        <v>120</v>
      </c>
      <c r="D1723">
        <f t="shared" si="169"/>
        <v>2109</v>
      </c>
      <c r="E1723" t="s">
        <v>121</v>
      </c>
      <c r="H1723" s="53">
        <f>DATE(K1723,7,9)</f>
        <v>78353</v>
      </c>
      <c r="I1723" s="54">
        <f t="shared" si="165"/>
        <v>78353</v>
      </c>
      <c r="J1723" t="s">
        <v>120</v>
      </c>
      <c r="K1723">
        <f t="shared" si="170"/>
        <v>2114</v>
      </c>
      <c r="L1723" t="s">
        <v>121</v>
      </c>
    </row>
    <row r="1724" spans="1:12" x14ac:dyDescent="0.3">
      <c r="A1724" s="53">
        <f>DATE(D1724,8,8)</f>
        <v>76557</v>
      </c>
      <c r="B1724" s="54">
        <f t="shared" si="164"/>
        <v>76557</v>
      </c>
      <c r="C1724" t="s">
        <v>122</v>
      </c>
      <c r="D1724">
        <f t="shared" si="169"/>
        <v>2109</v>
      </c>
      <c r="E1724" t="s">
        <v>115</v>
      </c>
      <c r="H1724" s="53">
        <f>DATE(K1724,8,1)+(14-WEEKDAY(DATE(K1724,8,1),2))</f>
        <v>78387</v>
      </c>
      <c r="I1724" s="54">
        <f t="shared" si="165"/>
        <v>78387</v>
      </c>
      <c r="J1724" t="s">
        <v>123</v>
      </c>
      <c r="K1724">
        <f t="shared" si="170"/>
        <v>2114</v>
      </c>
      <c r="L1724" t="s">
        <v>110</v>
      </c>
    </row>
    <row r="1725" spans="1:12" x14ac:dyDescent="0.3">
      <c r="A1725" s="53">
        <f>DATE(D1725,8,1)+(14-WEEKDAY(DATE(D1725,8,1),2))</f>
        <v>76560</v>
      </c>
      <c r="B1725" s="54">
        <f t="shared" si="164"/>
        <v>76560</v>
      </c>
      <c r="C1725" t="s">
        <v>123</v>
      </c>
      <c r="D1725">
        <f t="shared" si="169"/>
        <v>2109</v>
      </c>
      <c r="E1725" t="s">
        <v>110</v>
      </c>
      <c r="H1725" s="53">
        <f>DATE(K1725,9,7)</f>
        <v>78413</v>
      </c>
      <c r="I1725" s="54">
        <f t="shared" si="165"/>
        <v>78413</v>
      </c>
      <c r="J1725" t="s">
        <v>124</v>
      </c>
      <c r="K1725">
        <f t="shared" si="170"/>
        <v>2114</v>
      </c>
      <c r="L1725" t="s">
        <v>110</v>
      </c>
    </row>
    <row r="1726" spans="1:12" x14ac:dyDescent="0.3">
      <c r="A1726" s="53">
        <f>DATE(D1726,9,7)</f>
        <v>76587</v>
      </c>
      <c r="B1726" s="54">
        <f t="shared" si="164"/>
        <v>76587</v>
      </c>
      <c r="C1726" t="s">
        <v>124</v>
      </c>
      <c r="D1726">
        <f t="shared" si="169"/>
        <v>2109</v>
      </c>
      <c r="E1726" t="s">
        <v>110</v>
      </c>
      <c r="H1726" s="53">
        <f>DATE(K1726,10,12)</f>
        <v>78448</v>
      </c>
      <c r="I1726" s="54">
        <f t="shared" si="165"/>
        <v>78448</v>
      </c>
      <c r="J1726" t="s">
        <v>125</v>
      </c>
      <c r="K1726">
        <f t="shared" si="170"/>
        <v>2114</v>
      </c>
      <c r="L1726" t="s">
        <v>110</v>
      </c>
    </row>
    <row r="1727" spans="1:12" x14ac:dyDescent="0.3">
      <c r="A1727" s="53">
        <f>DATE(D1727,10,12)</f>
        <v>76622</v>
      </c>
      <c r="B1727" s="54">
        <f t="shared" si="164"/>
        <v>76622</v>
      </c>
      <c r="C1727" t="s">
        <v>125</v>
      </c>
      <c r="D1727">
        <f t="shared" si="169"/>
        <v>2109</v>
      </c>
      <c r="E1727" t="s">
        <v>110</v>
      </c>
      <c r="H1727" s="53">
        <f>DATE(K1727,11,2)</f>
        <v>78469</v>
      </c>
      <c r="I1727" s="54">
        <f t="shared" si="165"/>
        <v>78469</v>
      </c>
      <c r="J1727" t="s">
        <v>126</v>
      </c>
      <c r="K1727">
        <f t="shared" si="170"/>
        <v>2114</v>
      </c>
      <c r="L1727" t="s">
        <v>110</v>
      </c>
    </row>
    <row r="1728" spans="1:12" x14ac:dyDescent="0.3">
      <c r="A1728" s="53">
        <f>DATE(D1728,11,2)</f>
        <v>76643</v>
      </c>
      <c r="B1728" s="54">
        <f t="shared" si="164"/>
        <v>76643</v>
      </c>
      <c r="C1728" t="s">
        <v>126</v>
      </c>
      <c r="D1728">
        <f t="shared" si="169"/>
        <v>2109</v>
      </c>
      <c r="E1728" t="s">
        <v>110</v>
      </c>
      <c r="H1728" s="53">
        <f>DATE(K1728,11,15)</f>
        <v>78482</v>
      </c>
      <c r="I1728" s="54">
        <f t="shared" si="165"/>
        <v>78482</v>
      </c>
      <c r="J1728" t="s">
        <v>127</v>
      </c>
      <c r="K1728">
        <f t="shared" si="170"/>
        <v>2114</v>
      </c>
      <c r="L1728" t="s">
        <v>110</v>
      </c>
    </row>
    <row r="1729" spans="1:12" x14ac:dyDescent="0.3">
      <c r="A1729" s="53">
        <f>DATE(D1729,11,15)</f>
        <v>76656</v>
      </c>
      <c r="B1729" s="54">
        <f t="shared" si="164"/>
        <v>76656</v>
      </c>
      <c r="C1729" t="s">
        <v>127</v>
      </c>
      <c r="D1729">
        <f t="shared" si="169"/>
        <v>2109</v>
      </c>
      <c r="E1729" t="s">
        <v>110</v>
      </c>
      <c r="H1729" s="53">
        <f>DATE(K1729,11,20)</f>
        <v>78487</v>
      </c>
      <c r="I1729" s="54">
        <f t="shared" si="165"/>
        <v>78487</v>
      </c>
      <c r="J1729" t="s">
        <v>128</v>
      </c>
      <c r="K1729">
        <f t="shared" si="170"/>
        <v>2114</v>
      </c>
      <c r="L1729" t="s">
        <v>110</v>
      </c>
    </row>
    <row r="1730" spans="1:12" x14ac:dyDescent="0.3">
      <c r="A1730" s="53">
        <f>DATE(D1730,11,20)</f>
        <v>76661</v>
      </c>
      <c r="B1730" s="54">
        <f t="shared" si="164"/>
        <v>76661</v>
      </c>
      <c r="C1730" t="s">
        <v>128</v>
      </c>
      <c r="D1730">
        <f t="shared" si="169"/>
        <v>2109</v>
      </c>
      <c r="E1730" t="s">
        <v>110</v>
      </c>
      <c r="H1730" s="53">
        <f>DATE(K1730,12,25)</f>
        <v>78522</v>
      </c>
      <c r="I1730" s="54">
        <f t="shared" si="165"/>
        <v>78522</v>
      </c>
      <c r="J1730" t="s">
        <v>129</v>
      </c>
      <c r="K1730">
        <f t="shared" si="170"/>
        <v>2114</v>
      </c>
      <c r="L1730" t="s">
        <v>110</v>
      </c>
    </row>
    <row r="1731" spans="1:12" x14ac:dyDescent="0.3">
      <c r="A1731" s="53">
        <f>DATE(D1731,12,25)</f>
        <v>76696</v>
      </c>
      <c r="B1731" s="54">
        <f t="shared" ref="B1731:B1794" si="171">A1731</f>
        <v>76696</v>
      </c>
      <c r="C1731" t="s">
        <v>129</v>
      </c>
      <c r="D1731">
        <f t="shared" si="169"/>
        <v>2109</v>
      </c>
      <c r="E1731" t="s">
        <v>110</v>
      </c>
      <c r="H1731" s="53">
        <f>DATE(K1731,1,1)</f>
        <v>78529</v>
      </c>
      <c r="I1731" s="54">
        <f t="shared" si="165"/>
        <v>78529</v>
      </c>
      <c r="J1731" t="s">
        <v>109</v>
      </c>
      <c r="K1731">
        <f>K1713+1</f>
        <v>2115</v>
      </c>
      <c r="L1731" t="s">
        <v>110</v>
      </c>
    </row>
    <row r="1732" spans="1:12" x14ac:dyDescent="0.3">
      <c r="A1732" s="53">
        <f>DATE(D1732,1,1)</f>
        <v>76703</v>
      </c>
      <c r="B1732" s="54">
        <f t="shared" si="171"/>
        <v>76703</v>
      </c>
      <c r="C1732" t="s">
        <v>109</v>
      </c>
      <c r="D1732">
        <f>D1713+1</f>
        <v>2110</v>
      </c>
      <c r="E1732" t="s">
        <v>110</v>
      </c>
      <c r="H1732" s="53">
        <f>H1735-48</f>
        <v>78584</v>
      </c>
      <c r="I1732" s="54">
        <f t="shared" si="165"/>
        <v>78584</v>
      </c>
      <c r="J1732" t="s">
        <v>111</v>
      </c>
      <c r="K1732">
        <f t="shared" ref="K1732:K1748" si="172">K1714+1</f>
        <v>2115</v>
      </c>
      <c r="L1732" t="s">
        <v>110</v>
      </c>
    </row>
    <row r="1733" spans="1:12" x14ac:dyDescent="0.3">
      <c r="A1733" s="53">
        <f>A1736-48</f>
        <v>76750</v>
      </c>
      <c r="B1733" s="54">
        <f t="shared" si="171"/>
        <v>76750</v>
      </c>
      <c r="C1733" t="s">
        <v>111</v>
      </c>
      <c r="D1733">
        <f t="shared" ref="D1733:D1796" si="173">D1714+1</f>
        <v>2110</v>
      </c>
      <c r="E1733" t="s">
        <v>110</v>
      </c>
      <c r="H1733" s="53">
        <f>H1735-47</f>
        <v>78585</v>
      </c>
      <c r="I1733" s="54">
        <f t="shared" si="165"/>
        <v>78585</v>
      </c>
      <c r="J1733" t="s">
        <v>111</v>
      </c>
      <c r="K1733">
        <f t="shared" si="172"/>
        <v>2115</v>
      </c>
      <c r="L1733" t="s">
        <v>110</v>
      </c>
    </row>
    <row r="1734" spans="1:12" x14ac:dyDescent="0.3">
      <c r="A1734" s="53">
        <f>A1736-47</f>
        <v>76751</v>
      </c>
      <c r="B1734" s="54">
        <f t="shared" si="171"/>
        <v>76751</v>
      </c>
      <c r="C1734" t="s">
        <v>111</v>
      </c>
      <c r="D1734">
        <f t="shared" si="173"/>
        <v>2110</v>
      </c>
      <c r="E1734" t="s">
        <v>110</v>
      </c>
      <c r="H1734" s="53">
        <f>H1735-2</f>
        <v>78630</v>
      </c>
      <c r="I1734" s="54">
        <f t="shared" si="165"/>
        <v>78630</v>
      </c>
      <c r="J1734" t="s">
        <v>112</v>
      </c>
      <c r="K1734">
        <f t="shared" si="172"/>
        <v>2115</v>
      </c>
      <c r="L1734" t="s">
        <v>110</v>
      </c>
    </row>
    <row r="1735" spans="1:12" x14ac:dyDescent="0.3">
      <c r="A1735" s="53">
        <f>A1736-2</f>
        <v>76796</v>
      </c>
      <c r="B1735" s="54">
        <f t="shared" si="171"/>
        <v>76796</v>
      </c>
      <c r="C1735" t="s">
        <v>112</v>
      </c>
      <c r="D1735">
        <f t="shared" si="173"/>
        <v>2110</v>
      </c>
      <c r="E1735" t="s">
        <v>110</v>
      </c>
      <c r="H1735" s="53">
        <f>FLOOR(DAY(MINUTE(K1735/38)/2+56)&amp;"/5"&amp;"/"&amp;K1735,7)-34</f>
        <v>78632</v>
      </c>
      <c r="I1735" s="54">
        <f t="shared" si="165"/>
        <v>78632</v>
      </c>
      <c r="J1735" t="s">
        <v>113</v>
      </c>
      <c r="K1735">
        <f t="shared" si="172"/>
        <v>2115</v>
      </c>
      <c r="L1735" t="s">
        <v>110</v>
      </c>
    </row>
    <row r="1736" spans="1:12" x14ac:dyDescent="0.3">
      <c r="A1736" s="53">
        <f>FLOOR(DAY(MINUTE(D1736/38)/2+56)&amp;"/5"&amp;"/"&amp;D1736,7)-34</f>
        <v>76798</v>
      </c>
      <c r="B1736" s="54">
        <f t="shared" si="171"/>
        <v>76798</v>
      </c>
      <c r="C1736" t="s">
        <v>113</v>
      </c>
      <c r="D1736">
        <f t="shared" si="173"/>
        <v>2110</v>
      </c>
      <c r="E1736" t="s">
        <v>110</v>
      </c>
      <c r="H1736" s="53">
        <f>DATE(K1736,4,21)</f>
        <v>78639</v>
      </c>
      <c r="I1736" s="54">
        <f t="shared" ref="I1736:I1748" si="174">H1736</f>
        <v>78639</v>
      </c>
      <c r="J1736" t="s">
        <v>116</v>
      </c>
      <c r="K1736">
        <f t="shared" si="172"/>
        <v>2115</v>
      </c>
      <c r="L1736" t="s">
        <v>110</v>
      </c>
    </row>
    <row r="1737" spans="1:12" x14ac:dyDescent="0.3">
      <c r="A1737" s="53">
        <f>DATE(D1737,4,14)</f>
        <v>76806</v>
      </c>
      <c r="B1737" s="54">
        <f t="shared" si="171"/>
        <v>76806</v>
      </c>
      <c r="C1737" t="s">
        <v>114</v>
      </c>
      <c r="D1737">
        <f t="shared" si="173"/>
        <v>2110</v>
      </c>
      <c r="E1737" t="s">
        <v>115</v>
      </c>
      <c r="H1737" s="53">
        <f>DATE(K1737,5,1)</f>
        <v>78649</v>
      </c>
      <c r="I1737" s="54">
        <f t="shared" si="174"/>
        <v>78649</v>
      </c>
      <c r="J1737" t="s">
        <v>117</v>
      </c>
      <c r="K1737">
        <f t="shared" si="172"/>
        <v>2115</v>
      </c>
      <c r="L1737" t="s">
        <v>110</v>
      </c>
    </row>
    <row r="1738" spans="1:12" x14ac:dyDescent="0.3">
      <c r="A1738" s="53">
        <f>DATE(D1738,4,21)</f>
        <v>76813</v>
      </c>
      <c r="B1738" s="54">
        <f t="shared" si="171"/>
        <v>76813</v>
      </c>
      <c r="C1738" t="s">
        <v>116</v>
      </c>
      <c r="D1738">
        <f t="shared" si="173"/>
        <v>2110</v>
      </c>
      <c r="E1738" t="s">
        <v>110</v>
      </c>
      <c r="H1738" s="53">
        <f>DATE(K1738,5,1)+(14-WEEKDAY(DATE(K1738,5,1),2))</f>
        <v>78660</v>
      </c>
      <c r="I1738" s="54">
        <f t="shared" si="174"/>
        <v>78660</v>
      </c>
      <c r="J1738" t="s">
        <v>118</v>
      </c>
      <c r="K1738">
        <f t="shared" si="172"/>
        <v>2115</v>
      </c>
      <c r="L1738" t="s">
        <v>110</v>
      </c>
    </row>
    <row r="1739" spans="1:12" x14ac:dyDescent="0.3">
      <c r="A1739" s="53">
        <f>DATE(D1739,5,1)</f>
        <v>76823</v>
      </c>
      <c r="B1739" s="54">
        <f t="shared" si="171"/>
        <v>76823</v>
      </c>
      <c r="C1739" t="s">
        <v>117</v>
      </c>
      <c r="D1739">
        <f t="shared" si="173"/>
        <v>2110</v>
      </c>
      <c r="E1739" t="s">
        <v>110</v>
      </c>
      <c r="H1739" s="53">
        <f>H1735+60</f>
        <v>78692</v>
      </c>
      <c r="I1739" s="54">
        <f t="shared" si="174"/>
        <v>78692</v>
      </c>
      <c r="J1739" t="s">
        <v>119</v>
      </c>
      <c r="K1739">
        <f t="shared" si="172"/>
        <v>2115</v>
      </c>
      <c r="L1739" t="s">
        <v>110</v>
      </c>
    </row>
    <row r="1740" spans="1:12" x14ac:dyDescent="0.3">
      <c r="A1740" s="53">
        <f>DATE(D1740,5,1)+(14-WEEKDAY(DATE(D1740,5,1),2))</f>
        <v>76833</v>
      </c>
      <c r="B1740" s="54">
        <f t="shared" si="171"/>
        <v>76833</v>
      </c>
      <c r="C1740" t="s">
        <v>118</v>
      </c>
      <c r="D1740">
        <f t="shared" si="173"/>
        <v>2110</v>
      </c>
      <c r="E1740" t="s">
        <v>110</v>
      </c>
      <c r="H1740" s="53">
        <f>DATE(K1740,6,19)</f>
        <v>78698</v>
      </c>
      <c r="I1740" s="54">
        <f t="shared" si="174"/>
        <v>78698</v>
      </c>
      <c r="J1740" t="s">
        <v>114</v>
      </c>
      <c r="K1740">
        <f t="shared" si="172"/>
        <v>2115</v>
      </c>
      <c r="L1740" t="s">
        <v>115</v>
      </c>
    </row>
    <row r="1741" spans="1:12" x14ac:dyDescent="0.3">
      <c r="A1741" s="53">
        <f>A1736+60</f>
        <v>76858</v>
      </c>
      <c r="B1741" s="54">
        <f t="shared" si="171"/>
        <v>76858</v>
      </c>
      <c r="C1741" t="s">
        <v>119</v>
      </c>
      <c r="D1741">
        <f t="shared" si="173"/>
        <v>2110</v>
      </c>
      <c r="E1741" t="s">
        <v>110</v>
      </c>
      <c r="H1741" s="53">
        <f>DATE(K1741,7,9)</f>
        <v>78718</v>
      </c>
      <c r="I1741" s="54">
        <f t="shared" si="174"/>
        <v>78718</v>
      </c>
      <c r="J1741" t="s">
        <v>120</v>
      </c>
      <c r="K1741">
        <f t="shared" si="172"/>
        <v>2115</v>
      </c>
      <c r="L1741" t="s">
        <v>121</v>
      </c>
    </row>
    <row r="1742" spans="1:12" x14ac:dyDescent="0.3">
      <c r="A1742" s="53">
        <f>DATE(D1742,7,9)</f>
        <v>76892</v>
      </c>
      <c r="B1742" s="54">
        <f t="shared" si="171"/>
        <v>76892</v>
      </c>
      <c r="C1742" t="s">
        <v>120</v>
      </c>
      <c r="D1742">
        <f t="shared" si="173"/>
        <v>2110</v>
      </c>
      <c r="E1742" t="s">
        <v>121</v>
      </c>
      <c r="H1742" s="53">
        <f>DATE(K1742,8,1)+(14-WEEKDAY(DATE(K1742,8,1),2))</f>
        <v>78751</v>
      </c>
      <c r="I1742" s="54">
        <f t="shared" si="174"/>
        <v>78751</v>
      </c>
      <c r="J1742" t="s">
        <v>123</v>
      </c>
      <c r="K1742">
        <f t="shared" si="172"/>
        <v>2115</v>
      </c>
      <c r="L1742" t="s">
        <v>110</v>
      </c>
    </row>
    <row r="1743" spans="1:12" x14ac:dyDescent="0.3">
      <c r="A1743" s="53">
        <f>DATE(D1743,8,8)</f>
        <v>76922</v>
      </c>
      <c r="B1743" s="54">
        <f t="shared" si="171"/>
        <v>76922</v>
      </c>
      <c r="C1743" t="s">
        <v>122</v>
      </c>
      <c r="D1743">
        <f t="shared" si="173"/>
        <v>2110</v>
      </c>
      <c r="E1743" t="s">
        <v>115</v>
      </c>
      <c r="H1743" s="53">
        <f>DATE(K1743,9,7)</f>
        <v>78778</v>
      </c>
      <c r="I1743" s="54">
        <f t="shared" si="174"/>
        <v>78778</v>
      </c>
      <c r="J1743" t="s">
        <v>124</v>
      </c>
      <c r="K1743">
        <f t="shared" si="172"/>
        <v>2115</v>
      </c>
      <c r="L1743" t="s">
        <v>110</v>
      </c>
    </row>
    <row r="1744" spans="1:12" x14ac:dyDescent="0.3">
      <c r="A1744" s="53">
        <f>DATE(D1744,8,1)+(14-WEEKDAY(DATE(D1744,8,1),2))</f>
        <v>76924</v>
      </c>
      <c r="B1744" s="54">
        <f t="shared" si="171"/>
        <v>76924</v>
      </c>
      <c r="C1744" t="s">
        <v>123</v>
      </c>
      <c r="D1744">
        <f t="shared" si="173"/>
        <v>2110</v>
      </c>
      <c r="E1744" t="s">
        <v>110</v>
      </c>
      <c r="H1744" s="53">
        <f>DATE(K1744,10,12)</f>
        <v>78813</v>
      </c>
      <c r="I1744" s="54">
        <f t="shared" si="174"/>
        <v>78813</v>
      </c>
      <c r="J1744" t="s">
        <v>125</v>
      </c>
      <c r="K1744">
        <f t="shared" si="172"/>
        <v>2115</v>
      </c>
      <c r="L1744" t="s">
        <v>110</v>
      </c>
    </row>
    <row r="1745" spans="1:12" x14ac:dyDescent="0.3">
      <c r="A1745" s="53">
        <f>DATE(D1745,9,7)</f>
        <v>76952</v>
      </c>
      <c r="B1745" s="54">
        <f t="shared" si="171"/>
        <v>76952</v>
      </c>
      <c r="C1745" t="s">
        <v>124</v>
      </c>
      <c r="D1745">
        <f t="shared" si="173"/>
        <v>2110</v>
      </c>
      <c r="E1745" t="s">
        <v>110</v>
      </c>
      <c r="H1745" s="53">
        <f>DATE(K1745,11,2)</f>
        <v>78834</v>
      </c>
      <c r="I1745" s="54">
        <f t="shared" si="174"/>
        <v>78834</v>
      </c>
      <c r="J1745" t="s">
        <v>126</v>
      </c>
      <c r="K1745">
        <f t="shared" si="172"/>
        <v>2115</v>
      </c>
      <c r="L1745" t="s">
        <v>110</v>
      </c>
    </row>
    <row r="1746" spans="1:12" x14ac:dyDescent="0.3">
      <c r="A1746" s="53">
        <f>DATE(D1746,10,12)</f>
        <v>76987</v>
      </c>
      <c r="B1746" s="54">
        <f t="shared" si="171"/>
        <v>76987</v>
      </c>
      <c r="C1746" t="s">
        <v>125</v>
      </c>
      <c r="D1746">
        <f t="shared" si="173"/>
        <v>2110</v>
      </c>
      <c r="E1746" t="s">
        <v>110</v>
      </c>
      <c r="H1746" s="53">
        <f>DATE(K1746,11,15)</f>
        <v>78847</v>
      </c>
      <c r="I1746" s="54">
        <f t="shared" si="174"/>
        <v>78847</v>
      </c>
      <c r="J1746" t="s">
        <v>127</v>
      </c>
      <c r="K1746">
        <f t="shared" si="172"/>
        <v>2115</v>
      </c>
      <c r="L1746" t="s">
        <v>110</v>
      </c>
    </row>
    <row r="1747" spans="1:12" x14ac:dyDescent="0.3">
      <c r="A1747" s="53">
        <f>DATE(D1747,11,2)</f>
        <v>77008</v>
      </c>
      <c r="B1747" s="54">
        <f t="shared" si="171"/>
        <v>77008</v>
      </c>
      <c r="C1747" t="s">
        <v>126</v>
      </c>
      <c r="D1747">
        <f t="shared" si="173"/>
        <v>2110</v>
      </c>
      <c r="E1747" t="s">
        <v>110</v>
      </c>
      <c r="H1747" s="53">
        <f>DATE(K1747,11,20)</f>
        <v>78852</v>
      </c>
      <c r="I1747" s="54">
        <f t="shared" si="174"/>
        <v>78852</v>
      </c>
      <c r="J1747" t="s">
        <v>128</v>
      </c>
      <c r="K1747">
        <f t="shared" si="172"/>
        <v>2115</v>
      </c>
      <c r="L1747" t="s">
        <v>110</v>
      </c>
    </row>
    <row r="1748" spans="1:12" x14ac:dyDescent="0.3">
      <c r="A1748" s="53">
        <f>DATE(D1748,11,15)</f>
        <v>77021</v>
      </c>
      <c r="B1748" s="54">
        <f t="shared" si="171"/>
        <v>77021</v>
      </c>
      <c r="C1748" t="s">
        <v>127</v>
      </c>
      <c r="D1748">
        <f t="shared" si="173"/>
        <v>2110</v>
      </c>
      <c r="E1748" t="s">
        <v>110</v>
      </c>
      <c r="H1748" s="53">
        <f>DATE(K1748,12,25)</f>
        <v>78887</v>
      </c>
      <c r="I1748" s="54">
        <f t="shared" si="174"/>
        <v>78887</v>
      </c>
      <c r="J1748" t="s">
        <v>129</v>
      </c>
      <c r="K1748">
        <f t="shared" si="172"/>
        <v>2115</v>
      </c>
      <c r="L1748" t="s">
        <v>110</v>
      </c>
    </row>
    <row r="1749" spans="1:12" x14ac:dyDescent="0.3">
      <c r="A1749" s="53">
        <f>DATE(D1749,11,20)</f>
        <v>77026</v>
      </c>
      <c r="B1749" s="54">
        <f t="shared" si="171"/>
        <v>77026</v>
      </c>
      <c r="C1749" t="s">
        <v>128</v>
      </c>
      <c r="D1749">
        <f t="shared" si="173"/>
        <v>2110</v>
      </c>
      <c r="E1749" t="s">
        <v>110</v>
      </c>
      <c r="H1749" s="53"/>
      <c r="I1749" s="54"/>
    </row>
    <row r="1750" spans="1:12" x14ac:dyDescent="0.3">
      <c r="A1750" s="53">
        <f>DATE(D1750,12,25)</f>
        <v>77061</v>
      </c>
      <c r="B1750" s="54">
        <f t="shared" si="171"/>
        <v>77061</v>
      </c>
      <c r="C1750" t="s">
        <v>129</v>
      </c>
      <c r="D1750">
        <f t="shared" si="173"/>
        <v>2110</v>
      </c>
      <c r="E1750" t="s">
        <v>110</v>
      </c>
      <c r="H1750" s="53"/>
      <c r="I1750" s="54"/>
    </row>
    <row r="1751" spans="1:12" x14ac:dyDescent="0.3">
      <c r="A1751" s="53">
        <f>DATE(D1751,1,1)</f>
        <v>77068</v>
      </c>
      <c r="B1751" s="54">
        <f t="shared" si="171"/>
        <v>77068</v>
      </c>
      <c r="C1751" t="s">
        <v>109</v>
      </c>
      <c r="D1751">
        <f>D1732+1</f>
        <v>2111</v>
      </c>
      <c r="E1751" t="s">
        <v>110</v>
      </c>
      <c r="H1751" s="53"/>
      <c r="I1751" s="54"/>
    </row>
    <row r="1752" spans="1:12" x14ac:dyDescent="0.3">
      <c r="A1752" s="53">
        <f>A1755-48</f>
        <v>77107</v>
      </c>
      <c r="B1752" s="54">
        <f t="shared" si="171"/>
        <v>77107</v>
      </c>
      <c r="C1752" t="s">
        <v>111</v>
      </c>
      <c r="D1752">
        <f t="shared" si="173"/>
        <v>2111</v>
      </c>
      <c r="E1752" t="s">
        <v>110</v>
      </c>
      <c r="H1752" s="53"/>
      <c r="I1752" s="54"/>
    </row>
    <row r="1753" spans="1:12" x14ac:dyDescent="0.3">
      <c r="A1753" s="53">
        <f>A1755-47</f>
        <v>77108</v>
      </c>
      <c r="B1753" s="54">
        <f t="shared" si="171"/>
        <v>77108</v>
      </c>
      <c r="C1753" t="s">
        <v>111</v>
      </c>
      <c r="D1753">
        <f t="shared" si="173"/>
        <v>2111</v>
      </c>
      <c r="E1753" t="s">
        <v>110</v>
      </c>
      <c r="H1753" s="53"/>
      <c r="I1753" s="54"/>
    </row>
    <row r="1754" spans="1:12" x14ac:dyDescent="0.3">
      <c r="A1754" s="53">
        <f>A1755-2</f>
        <v>77153</v>
      </c>
      <c r="B1754" s="54">
        <f t="shared" si="171"/>
        <v>77153</v>
      </c>
      <c r="C1754" t="s">
        <v>112</v>
      </c>
      <c r="D1754">
        <f t="shared" si="173"/>
        <v>2111</v>
      </c>
      <c r="E1754" t="s">
        <v>110</v>
      </c>
      <c r="H1754" s="53"/>
      <c r="I1754" s="54"/>
    </row>
    <row r="1755" spans="1:12" x14ac:dyDescent="0.3">
      <c r="A1755" s="53">
        <f>FLOOR(DAY(MINUTE(D1755/38)/2+56)&amp;"/5"&amp;"/"&amp;D1755,7)-34</f>
        <v>77155</v>
      </c>
      <c r="B1755" s="54">
        <f t="shared" si="171"/>
        <v>77155</v>
      </c>
      <c r="C1755" t="s">
        <v>113</v>
      </c>
      <c r="D1755">
        <f t="shared" si="173"/>
        <v>2111</v>
      </c>
      <c r="E1755" t="s">
        <v>110</v>
      </c>
      <c r="H1755" s="53"/>
      <c r="I1755" s="54"/>
    </row>
    <row r="1756" spans="1:12" x14ac:dyDescent="0.3">
      <c r="A1756" s="53">
        <f>DATE(D1756,4,14)</f>
        <v>77171</v>
      </c>
      <c r="B1756" s="54">
        <f t="shared" si="171"/>
        <v>77171</v>
      </c>
      <c r="C1756" t="s">
        <v>114</v>
      </c>
      <c r="D1756">
        <f t="shared" si="173"/>
        <v>2111</v>
      </c>
      <c r="E1756" t="s">
        <v>115</v>
      </c>
      <c r="H1756" s="53"/>
      <c r="I1756" s="54"/>
    </row>
    <row r="1757" spans="1:12" x14ac:dyDescent="0.3">
      <c r="A1757" s="53">
        <f>DATE(D1757,4,21)</f>
        <v>77178</v>
      </c>
      <c r="B1757" s="54">
        <f t="shared" si="171"/>
        <v>77178</v>
      </c>
      <c r="C1757" t="s">
        <v>116</v>
      </c>
      <c r="D1757">
        <f t="shared" si="173"/>
        <v>2111</v>
      </c>
      <c r="E1757" t="s">
        <v>110</v>
      </c>
      <c r="H1757" s="53"/>
      <c r="I1757" s="54"/>
    </row>
    <row r="1758" spans="1:12" x14ac:dyDescent="0.3">
      <c r="A1758" s="53">
        <f>DATE(D1758,5,1)</f>
        <v>77188</v>
      </c>
      <c r="B1758" s="54">
        <f t="shared" si="171"/>
        <v>77188</v>
      </c>
      <c r="C1758" t="s">
        <v>117</v>
      </c>
      <c r="D1758">
        <f t="shared" si="173"/>
        <v>2111</v>
      </c>
      <c r="E1758" t="s">
        <v>110</v>
      </c>
      <c r="H1758" s="53"/>
      <c r="I1758" s="54"/>
    </row>
    <row r="1759" spans="1:12" x14ac:dyDescent="0.3">
      <c r="A1759" s="53">
        <f>DATE(D1759,5,1)+(14-WEEKDAY(DATE(D1759,5,1),2))</f>
        <v>77197</v>
      </c>
      <c r="B1759" s="54">
        <f t="shared" si="171"/>
        <v>77197</v>
      </c>
      <c r="C1759" t="s">
        <v>118</v>
      </c>
      <c r="D1759">
        <f t="shared" si="173"/>
        <v>2111</v>
      </c>
      <c r="E1759" t="s">
        <v>110</v>
      </c>
      <c r="H1759" s="53"/>
      <c r="I1759" s="54"/>
    </row>
    <row r="1760" spans="1:12" x14ac:dyDescent="0.3">
      <c r="A1760" s="53">
        <f>A1755+60</f>
        <v>77215</v>
      </c>
      <c r="B1760" s="54">
        <f t="shared" si="171"/>
        <v>77215</v>
      </c>
      <c r="C1760" t="s">
        <v>119</v>
      </c>
      <c r="D1760">
        <f t="shared" si="173"/>
        <v>2111</v>
      </c>
      <c r="E1760" t="s">
        <v>110</v>
      </c>
      <c r="H1760" s="53"/>
      <c r="I1760" s="54"/>
    </row>
    <row r="1761" spans="1:9" x14ac:dyDescent="0.3">
      <c r="A1761" s="53">
        <f>DATE(D1761,7,9)</f>
        <v>77257</v>
      </c>
      <c r="B1761" s="54">
        <f t="shared" si="171"/>
        <v>77257</v>
      </c>
      <c r="C1761" t="s">
        <v>120</v>
      </c>
      <c r="D1761">
        <f t="shared" si="173"/>
        <v>2111</v>
      </c>
      <c r="E1761" t="s">
        <v>121</v>
      </c>
      <c r="H1761" s="53"/>
      <c r="I1761" s="54"/>
    </row>
    <row r="1762" spans="1:9" x14ac:dyDescent="0.3">
      <c r="A1762" s="53">
        <f>DATE(D1762,8,8)</f>
        <v>77287</v>
      </c>
      <c r="B1762" s="54">
        <f t="shared" si="171"/>
        <v>77287</v>
      </c>
      <c r="C1762" t="s">
        <v>122</v>
      </c>
      <c r="D1762">
        <f t="shared" si="173"/>
        <v>2111</v>
      </c>
      <c r="E1762" t="s">
        <v>115</v>
      </c>
      <c r="H1762" s="53"/>
      <c r="I1762" s="54"/>
    </row>
    <row r="1763" spans="1:9" x14ac:dyDescent="0.3">
      <c r="A1763" s="53">
        <f>DATE(D1763,8,1)+(14-WEEKDAY(DATE(D1763,8,1),2))</f>
        <v>77288</v>
      </c>
      <c r="B1763" s="54">
        <f t="shared" si="171"/>
        <v>77288</v>
      </c>
      <c r="C1763" t="s">
        <v>123</v>
      </c>
      <c r="D1763">
        <f t="shared" si="173"/>
        <v>2111</v>
      </c>
      <c r="E1763" t="s">
        <v>110</v>
      </c>
      <c r="H1763" s="53"/>
      <c r="I1763" s="54"/>
    </row>
    <row r="1764" spans="1:9" x14ac:dyDescent="0.3">
      <c r="A1764" s="53">
        <f>DATE(D1764,9,7)</f>
        <v>77317</v>
      </c>
      <c r="B1764" s="54">
        <f t="shared" si="171"/>
        <v>77317</v>
      </c>
      <c r="C1764" t="s">
        <v>124</v>
      </c>
      <c r="D1764">
        <f t="shared" si="173"/>
        <v>2111</v>
      </c>
      <c r="E1764" t="s">
        <v>110</v>
      </c>
      <c r="H1764" s="53"/>
      <c r="I1764" s="54"/>
    </row>
    <row r="1765" spans="1:9" x14ac:dyDescent="0.3">
      <c r="A1765" s="53">
        <f>DATE(D1765,10,12)</f>
        <v>77352</v>
      </c>
      <c r="B1765" s="54">
        <f t="shared" si="171"/>
        <v>77352</v>
      </c>
      <c r="C1765" t="s">
        <v>125</v>
      </c>
      <c r="D1765">
        <f t="shared" si="173"/>
        <v>2111</v>
      </c>
      <c r="E1765" t="s">
        <v>110</v>
      </c>
      <c r="H1765" s="53"/>
      <c r="I1765" s="54"/>
    </row>
    <row r="1766" spans="1:9" x14ac:dyDescent="0.3">
      <c r="A1766" s="53">
        <f>DATE(D1766,11,2)</f>
        <v>77373</v>
      </c>
      <c r="B1766" s="54">
        <f t="shared" si="171"/>
        <v>77373</v>
      </c>
      <c r="C1766" t="s">
        <v>126</v>
      </c>
      <c r="D1766">
        <f t="shared" si="173"/>
        <v>2111</v>
      </c>
      <c r="E1766" t="s">
        <v>110</v>
      </c>
      <c r="H1766" s="53"/>
      <c r="I1766" s="54"/>
    </row>
    <row r="1767" spans="1:9" x14ac:dyDescent="0.3">
      <c r="A1767" s="53">
        <f>DATE(D1767,11,15)</f>
        <v>77386</v>
      </c>
      <c r="B1767" s="54">
        <f t="shared" si="171"/>
        <v>77386</v>
      </c>
      <c r="C1767" t="s">
        <v>127</v>
      </c>
      <c r="D1767">
        <f t="shared" si="173"/>
        <v>2111</v>
      </c>
      <c r="E1767" t="s">
        <v>110</v>
      </c>
      <c r="H1767" s="53"/>
      <c r="I1767" s="54"/>
    </row>
    <row r="1768" spans="1:9" x14ac:dyDescent="0.3">
      <c r="A1768" s="53">
        <f>DATE(D1768,11,20)</f>
        <v>77391</v>
      </c>
      <c r="B1768" s="54">
        <f t="shared" si="171"/>
        <v>77391</v>
      </c>
      <c r="C1768" t="s">
        <v>128</v>
      </c>
      <c r="D1768">
        <f t="shared" si="173"/>
        <v>2111</v>
      </c>
      <c r="E1768" t="s">
        <v>110</v>
      </c>
      <c r="H1768" s="53"/>
      <c r="I1768" s="54"/>
    </row>
    <row r="1769" spans="1:9" x14ac:dyDescent="0.3">
      <c r="A1769" s="53">
        <f>DATE(D1769,12,25)</f>
        <v>77426</v>
      </c>
      <c r="B1769" s="54">
        <f t="shared" si="171"/>
        <v>77426</v>
      </c>
      <c r="C1769" t="s">
        <v>129</v>
      </c>
      <c r="D1769">
        <f t="shared" si="173"/>
        <v>2111</v>
      </c>
      <c r="E1769" t="s">
        <v>110</v>
      </c>
      <c r="H1769" s="53"/>
      <c r="I1769" s="54"/>
    </row>
    <row r="1770" spans="1:9" x14ac:dyDescent="0.3">
      <c r="A1770" s="53">
        <f>DATE(D1770,1,1)</f>
        <v>77433</v>
      </c>
      <c r="B1770" s="54">
        <f t="shared" si="171"/>
        <v>77433</v>
      </c>
      <c r="C1770" t="s">
        <v>109</v>
      </c>
      <c r="D1770">
        <f>D1751+1</f>
        <v>2112</v>
      </c>
      <c r="E1770" t="s">
        <v>110</v>
      </c>
      <c r="H1770" s="53"/>
      <c r="I1770" s="54"/>
    </row>
    <row r="1771" spans="1:9" x14ac:dyDescent="0.3">
      <c r="A1771" s="53">
        <f>A1774-48</f>
        <v>77492</v>
      </c>
      <c r="B1771" s="54">
        <f t="shared" si="171"/>
        <v>77492</v>
      </c>
      <c r="C1771" t="s">
        <v>111</v>
      </c>
      <c r="D1771">
        <f t="shared" si="173"/>
        <v>2112</v>
      </c>
      <c r="E1771" t="s">
        <v>110</v>
      </c>
      <c r="H1771" s="53"/>
      <c r="I1771" s="54"/>
    </row>
    <row r="1772" spans="1:9" x14ac:dyDescent="0.3">
      <c r="A1772" s="53">
        <f>A1774-47</f>
        <v>77493</v>
      </c>
      <c r="B1772" s="54">
        <f t="shared" si="171"/>
        <v>77493</v>
      </c>
      <c r="C1772" t="s">
        <v>111</v>
      </c>
      <c r="D1772">
        <f t="shared" si="173"/>
        <v>2112</v>
      </c>
      <c r="E1772" t="s">
        <v>110</v>
      </c>
      <c r="H1772" s="53"/>
      <c r="I1772" s="54"/>
    </row>
    <row r="1773" spans="1:9" x14ac:dyDescent="0.3">
      <c r="A1773" s="53">
        <f>A1774-2</f>
        <v>77538</v>
      </c>
      <c r="B1773" s="54">
        <f t="shared" si="171"/>
        <v>77538</v>
      </c>
      <c r="C1773" t="s">
        <v>112</v>
      </c>
      <c r="D1773">
        <f t="shared" si="173"/>
        <v>2112</v>
      </c>
      <c r="E1773" t="s">
        <v>110</v>
      </c>
      <c r="H1773" s="53"/>
      <c r="I1773" s="54"/>
    </row>
    <row r="1774" spans="1:9" x14ac:dyDescent="0.3">
      <c r="A1774" s="53">
        <f>FLOOR(DAY(MINUTE(D1774/38)/2+56)&amp;"/5"&amp;"/"&amp;D1774,7)-34</f>
        <v>77540</v>
      </c>
      <c r="B1774" s="54">
        <f t="shared" si="171"/>
        <v>77540</v>
      </c>
      <c r="C1774" t="s">
        <v>113</v>
      </c>
      <c r="D1774">
        <f t="shared" si="173"/>
        <v>2112</v>
      </c>
      <c r="E1774" t="s">
        <v>110</v>
      </c>
      <c r="H1774" s="53"/>
      <c r="I1774" s="54"/>
    </row>
    <row r="1775" spans="1:9" x14ac:dyDescent="0.3">
      <c r="A1775" s="53">
        <f>DATE(D1775,4,14)</f>
        <v>77537</v>
      </c>
      <c r="B1775" s="54">
        <f t="shared" si="171"/>
        <v>77537</v>
      </c>
      <c r="C1775" t="s">
        <v>114</v>
      </c>
      <c r="D1775">
        <f t="shared" si="173"/>
        <v>2112</v>
      </c>
      <c r="E1775" t="s">
        <v>115</v>
      </c>
      <c r="H1775" s="53"/>
      <c r="I1775" s="54"/>
    </row>
    <row r="1776" spans="1:9" x14ac:dyDescent="0.3">
      <c r="A1776" s="53">
        <f>DATE(D1776,4,21)</f>
        <v>77544</v>
      </c>
      <c r="B1776" s="54">
        <f t="shared" si="171"/>
        <v>77544</v>
      </c>
      <c r="C1776" t="s">
        <v>116</v>
      </c>
      <c r="D1776">
        <f t="shared" si="173"/>
        <v>2112</v>
      </c>
      <c r="E1776" t="s">
        <v>110</v>
      </c>
      <c r="H1776" s="53"/>
      <c r="I1776" s="54"/>
    </row>
    <row r="1777" spans="1:9" x14ac:dyDescent="0.3">
      <c r="A1777" s="53">
        <f>DATE(D1777,5,1)</f>
        <v>77554</v>
      </c>
      <c r="B1777" s="54">
        <f t="shared" si="171"/>
        <v>77554</v>
      </c>
      <c r="C1777" t="s">
        <v>117</v>
      </c>
      <c r="D1777">
        <f t="shared" si="173"/>
        <v>2112</v>
      </c>
      <c r="E1777" t="s">
        <v>110</v>
      </c>
      <c r="H1777" s="53"/>
      <c r="I1777" s="54"/>
    </row>
    <row r="1778" spans="1:9" x14ac:dyDescent="0.3">
      <c r="A1778" s="53">
        <f>DATE(D1778,5,1)+(14-WEEKDAY(DATE(D1778,5,1),2))</f>
        <v>77561</v>
      </c>
      <c r="B1778" s="54">
        <f t="shared" si="171"/>
        <v>77561</v>
      </c>
      <c r="C1778" t="s">
        <v>118</v>
      </c>
      <c r="D1778">
        <f t="shared" si="173"/>
        <v>2112</v>
      </c>
      <c r="E1778" t="s">
        <v>110</v>
      </c>
      <c r="H1778" s="53"/>
      <c r="I1778" s="54"/>
    </row>
    <row r="1779" spans="1:9" x14ac:dyDescent="0.3">
      <c r="A1779" s="53">
        <f>A1774+60</f>
        <v>77600</v>
      </c>
      <c r="B1779" s="54">
        <f t="shared" si="171"/>
        <v>77600</v>
      </c>
      <c r="C1779" t="s">
        <v>119</v>
      </c>
      <c r="D1779">
        <f t="shared" si="173"/>
        <v>2112</v>
      </c>
      <c r="E1779" t="s">
        <v>110</v>
      </c>
      <c r="H1779" s="53"/>
      <c r="I1779" s="54"/>
    </row>
    <row r="1780" spans="1:9" x14ac:dyDescent="0.3">
      <c r="A1780" s="53">
        <f>DATE(D1780,7,9)</f>
        <v>77623</v>
      </c>
      <c r="B1780" s="54">
        <f t="shared" si="171"/>
        <v>77623</v>
      </c>
      <c r="C1780" t="s">
        <v>120</v>
      </c>
      <c r="D1780">
        <f t="shared" si="173"/>
        <v>2112</v>
      </c>
      <c r="E1780" t="s">
        <v>121</v>
      </c>
      <c r="H1780" s="53"/>
      <c r="I1780" s="54"/>
    </row>
    <row r="1781" spans="1:9" x14ac:dyDescent="0.3">
      <c r="A1781" s="53">
        <f>DATE(D1781,8,8)</f>
        <v>77653</v>
      </c>
      <c r="B1781" s="54">
        <f t="shared" si="171"/>
        <v>77653</v>
      </c>
      <c r="C1781" t="s">
        <v>122</v>
      </c>
      <c r="D1781">
        <f t="shared" si="173"/>
        <v>2112</v>
      </c>
      <c r="E1781" t="s">
        <v>115</v>
      </c>
      <c r="H1781" s="53"/>
      <c r="I1781" s="54"/>
    </row>
    <row r="1782" spans="1:9" x14ac:dyDescent="0.3">
      <c r="A1782" s="53">
        <f>DATE(D1782,8,1)+(14-WEEKDAY(DATE(D1782,8,1),2))</f>
        <v>77659</v>
      </c>
      <c r="B1782" s="54">
        <f t="shared" si="171"/>
        <v>77659</v>
      </c>
      <c r="C1782" t="s">
        <v>123</v>
      </c>
      <c r="D1782">
        <f t="shared" si="173"/>
        <v>2112</v>
      </c>
      <c r="E1782" t="s">
        <v>110</v>
      </c>
      <c r="H1782" s="53"/>
      <c r="I1782" s="54"/>
    </row>
    <row r="1783" spans="1:9" x14ac:dyDescent="0.3">
      <c r="A1783" s="53">
        <f>DATE(D1783,9,7)</f>
        <v>77683</v>
      </c>
      <c r="B1783" s="54">
        <f t="shared" si="171"/>
        <v>77683</v>
      </c>
      <c r="C1783" t="s">
        <v>124</v>
      </c>
      <c r="D1783">
        <f t="shared" si="173"/>
        <v>2112</v>
      </c>
      <c r="E1783" t="s">
        <v>110</v>
      </c>
      <c r="H1783" s="53"/>
      <c r="I1783" s="54"/>
    </row>
    <row r="1784" spans="1:9" x14ac:dyDescent="0.3">
      <c r="A1784" s="53">
        <f>DATE(D1784,10,12)</f>
        <v>77718</v>
      </c>
      <c r="B1784" s="54">
        <f t="shared" si="171"/>
        <v>77718</v>
      </c>
      <c r="C1784" t="s">
        <v>125</v>
      </c>
      <c r="D1784">
        <f t="shared" si="173"/>
        <v>2112</v>
      </c>
      <c r="E1784" t="s">
        <v>110</v>
      </c>
      <c r="H1784" s="53"/>
      <c r="I1784" s="54"/>
    </row>
    <row r="1785" spans="1:9" x14ac:dyDescent="0.3">
      <c r="A1785" s="53">
        <f>DATE(D1785,11,2)</f>
        <v>77739</v>
      </c>
      <c r="B1785" s="54">
        <f t="shared" si="171"/>
        <v>77739</v>
      </c>
      <c r="C1785" t="s">
        <v>126</v>
      </c>
      <c r="D1785">
        <f t="shared" si="173"/>
        <v>2112</v>
      </c>
      <c r="E1785" t="s">
        <v>110</v>
      </c>
      <c r="H1785" s="53"/>
      <c r="I1785" s="54"/>
    </row>
    <row r="1786" spans="1:9" x14ac:dyDescent="0.3">
      <c r="A1786" s="53">
        <f>DATE(D1786,11,15)</f>
        <v>77752</v>
      </c>
      <c r="B1786" s="54">
        <f t="shared" si="171"/>
        <v>77752</v>
      </c>
      <c r="C1786" t="s">
        <v>127</v>
      </c>
      <c r="D1786">
        <f t="shared" si="173"/>
        <v>2112</v>
      </c>
      <c r="E1786" t="s">
        <v>110</v>
      </c>
      <c r="H1786" s="53"/>
      <c r="I1786" s="54"/>
    </row>
    <row r="1787" spans="1:9" x14ac:dyDescent="0.3">
      <c r="A1787" s="53">
        <f>DATE(D1787,11,20)</f>
        <v>77757</v>
      </c>
      <c r="B1787" s="54">
        <f t="shared" si="171"/>
        <v>77757</v>
      </c>
      <c r="C1787" t="s">
        <v>128</v>
      </c>
      <c r="D1787">
        <f t="shared" si="173"/>
        <v>2112</v>
      </c>
      <c r="E1787" t="s">
        <v>110</v>
      </c>
      <c r="H1787" s="53"/>
      <c r="I1787" s="54"/>
    </row>
    <row r="1788" spans="1:9" x14ac:dyDescent="0.3">
      <c r="A1788" s="53">
        <f>DATE(D1788,12,25)</f>
        <v>77792</v>
      </c>
      <c r="B1788" s="54">
        <f t="shared" si="171"/>
        <v>77792</v>
      </c>
      <c r="C1788" t="s">
        <v>129</v>
      </c>
      <c r="D1788">
        <f t="shared" si="173"/>
        <v>2112</v>
      </c>
      <c r="E1788" t="s">
        <v>110</v>
      </c>
      <c r="H1788" s="53"/>
      <c r="I1788" s="54"/>
    </row>
    <row r="1789" spans="1:9" x14ac:dyDescent="0.3">
      <c r="A1789" s="53">
        <f>DATE(D1789,1,1)</f>
        <v>77799</v>
      </c>
      <c r="B1789" s="54">
        <f t="shared" si="171"/>
        <v>77799</v>
      </c>
      <c r="C1789" t="s">
        <v>109</v>
      </c>
      <c r="D1789">
        <f>D1770+1</f>
        <v>2113</v>
      </c>
      <c r="E1789" t="s">
        <v>110</v>
      </c>
      <c r="H1789" s="53"/>
      <c r="I1789" s="54"/>
    </row>
    <row r="1790" spans="1:9" x14ac:dyDescent="0.3">
      <c r="A1790" s="53">
        <f>A1793-48</f>
        <v>77842</v>
      </c>
      <c r="B1790" s="54">
        <f t="shared" si="171"/>
        <v>77842</v>
      </c>
      <c r="C1790" t="s">
        <v>111</v>
      </c>
      <c r="D1790">
        <f t="shared" si="173"/>
        <v>2113</v>
      </c>
      <c r="E1790" t="s">
        <v>110</v>
      </c>
      <c r="H1790" s="53"/>
      <c r="I1790" s="54"/>
    </row>
    <row r="1791" spans="1:9" x14ac:dyDescent="0.3">
      <c r="A1791" s="53">
        <f>A1793-47</f>
        <v>77843</v>
      </c>
      <c r="B1791" s="54">
        <f t="shared" si="171"/>
        <v>77843</v>
      </c>
      <c r="C1791" t="s">
        <v>111</v>
      </c>
      <c r="D1791">
        <f t="shared" si="173"/>
        <v>2113</v>
      </c>
      <c r="E1791" t="s">
        <v>110</v>
      </c>
      <c r="H1791" s="53"/>
      <c r="I1791" s="54"/>
    </row>
    <row r="1792" spans="1:9" x14ac:dyDescent="0.3">
      <c r="A1792" s="53">
        <f>A1793-2</f>
        <v>77888</v>
      </c>
      <c r="B1792" s="54">
        <f t="shared" si="171"/>
        <v>77888</v>
      </c>
      <c r="C1792" t="s">
        <v>112</v>
      </c>
      <c r="D1792">
        <f t="shared" si="173"/>
        <v>2113</v>
      </c>
      <c r="E1792" t="s">
        <v>110</v>
      </c>
      <c r="H1792" s="53"/>
      <c r="I1792" s="54"/>
    </row>
    <row r="1793" spans="1:9" x14ac:dyDescent="0.3">
      <c r="A1793" s="53">
        <f>FLOOR(DAY(MINUTE(D1793/38)/2+56)&amp;"/5"&amp;"/"&amp;D1793,7)-34</f>
        <v>77890</v>
      </c>
      <c r="B1793" s="54">
        <f t="shared" si="171"/>
        <v>77890</v>
      </c>
      <c r="C1793" t="s">
        <v>113</v>
      </c>
      <c r="D1793">
        <f t="shared" si="173"/>
        <v>2113</v>
      </c>
      <c r="E1793" t="s">
        <v>110</v>
      </c>
      <c r="H1793" s="53"/>
      <c r="I1793" s="54"/>
    </row>
    <row r="1794" spans="1:9" x14ac:dyDescent="0.3">
      <c r="A1794" s="53">
        <f>DATE(D1794,4,14)</f>
        <v>77902</v>
      </c>
      <c r="B1794" s="54">
        <f t="shared" si="171"/>
        <v>77902</v>
      </c>
      <c r="C1794" t="s">
        <v>114</v>
      </c>
      <c r="D1794">
        <f t="shared" si="173"/>
        <v>2113</v>
      </c>
      <c r="E1794" t="s">
        <v>115</v>
      </c>
      <c r="H1794" s="53"/>
      <c r="I1794" s="54"/>
    </row>
    <row r="1795" spans="1:9" x14ac:dyDescent="0.3">
      <c r="A1795" s="53">
        <f>DATE(D1795,4,21)</f>
        <v>77909</v>
      </c>
      <c r="B1795" s="54">
        <f t="shared" ref="B1795:B1845" si="175">A1795</f>
        <v>77909</v>
      </c>
      <c r="C1795" t="s">
        <v>116</v>
      </c>
      <c r="D1795">
        <f t="shared" si="173"/>
        <v>2113</v>
      </c>
      <c r="E1795" t="s">
        <v>110</v>
      </c>
      <c r="H1795" s="53"/>
      <c r="I1795" s="54"/>
    </row>
    <row r="1796" spans="1:9" x14ac:dyDescent="0.3">
      <c r="A1796" s="53">
        <f>DATE(D1796,5,1)</f>
        <v>77919</v>
      </c>
      <c r="B1796" s="54">
        <f t="shared" si="175"/>
        <v>77919</v>
      </c>
      <c r="C1796" t="s">
        <v>117</v>
      </c>
      <c r="D1796">
        <f t="shared" si="173"/>
        <v>2113</v>
      </c>
      <c r="E1796" t="s">
        <v>110</v>
      </c>
      <c r="H1796" s="53"/>
      <c r="I1796" s="54"/>
    </row>
    <row r="1797" spans="1:9" x14ac:dyDescent="0.3">
      <c r="A1797" s="53">
        <f>DATE(D1797,5,1)+(14-WEEKDAY(DATE(D1797,5,1),2))</f>
        <v>77932</v>
      </c>
      <c r="B1797" s="54">
        <f t="shared" si="175"/>
        <v>77932</v>
      </c>
      <c r="C1797" t="s">
        <v>118</v>
      </c>
      <c r="D1797">
        <f t="shared" ref="D1797:D1807" si="176">D1778+1</f>
        <v>2113</v>
      </c>
      <c r="E1797" t="s">
        <v>110</v>
      </c>
      <c r="H1797" s="53"/>
      <c r="I1797" s="54"/>
    </row>
    <row r="1798" spans="1:9" x14ac:dyDescent="0.3">
      <c r="A1798" s="53">
        <f>A1793+60</f>
        <v>77950</v>
      </c>
      <c r="B1798" s="54">
        <f t="shared" si="175"/>
        <v>77950</v>
      </c>
      <c r="C1798" t="s">
        <v>119</v>
      </c>
      <c r="D1798">
        <f t="shared" si="176"/>
        <v>2113</v>
      </c>
      <c r="E1798" t="s">
        <v>110</v>
      </c>
      <c r="H1798" s="53"/>
      <c r="I1798" s="54"/>
    </row>
    <row r="1799" spans="1:9" x14ac:dyDescent="0.3">
      <c r="A1799" s="53">
        <f>DATE(D1799,7,9)</f>
        <v>77988</v>
      </c>
      <c r="B1799" s="54">
        <f t="shared" si="175"/>
        <v>77988</v>
      </c>
      <c r="C1799" t="s">
        <v>120</v>
      </c>
      <c r="D1799">
        <f t="shared" si="176"/>
        <v>2113</v>
      </c>
      <c r="E1799" t="s">
        <v>121</v>
      </c>
      <c r="H1799" s="53"/>
      <c r="I1799" s="54"/>
    </row>
    <row r="1800" spans="1:9" x14ac:dyDescent="0.3">
      <c r="A1800" s="53">
        <f>DATE(D1800,8,8)</f>
        <v>78018</v>
      </c>
      <c r="B1800" s="54">
        <f t="shared" si="175"/>
        <v>78018</v>
      </c>
      <c r="C1800" t="s">
        <v>122</v>
      </c>
      <c r="D1800">
        <f t="shared" si="176"/>
        <v>2113</v>
      </c>
      <c r="E1800" t="s">
        <v>115</v>
      </c>
      <c r="H1800" s="53"/>
      <c r="I1800" s="54"/>
    </row>
    <row r="1801" spans="1:9" x14ac:dyDescent="0.3">
      <c r="A1801" s="53">
        <f>DATE(D1801,8,1)+(14-WEEKDAY(DATE(D1801,8,1),2))</f>
        <v>78023</v>
      </c>
      <c r="B1801" s="54">
        <f t="shared" si="175"/>
        <v>78023</v>
      </c>
      <c r="C1801" t="s">
        <v>123</v>
      </c>
      <c r="D1801">
        <f t="shared" si="176"/>
        <v>2113</v>
      </c>
      <c r="E1801" t="s">
        <v>110</v>
      </c>
      <c r="H1801" s="53"/>
      <c r="I1801" s="54"/>
    </row>
    <row r="1802" spans="1:9" x14ac:dyDescent="0.3">
      <c r="A1802" s="53">
        <f>DATE(D1802,9,7)</f>
        <v>78048</v>
      </c>
      <c r="B1802" s="54">
        <f t="shared" si="175"/>
        <v>78048</v>
      </c>
      <c r="C1802" t="s">
        <v>124</v>
      </c>
      <c r="D1802">
        <f t="shared" si="176"/>
        <v>2113</v>
      </c>
      <c r="E1802" t="s">
        <v>110</v>
      </c>
      <c r="H1802" s="53"/>
      <c r="I1802" s="54"/>
    </row>
    <row r="1803" spans="1:9" x14ac:dyDescent="0.3">
      <c r="A1803" s="53">
        <f>DATE(D1803,10,12)</f>
        <v>78083</v>
      </c>
      <c r="B1803" s="54">
        <f t="shared" si="175"/>
        <v>78083</v>
      </c>
      <c r="C1803" t="s">
        <v>125</v>
      </c>
      <c r="D1803">
        <f t="shared" si="176"/>
        <v>2113</v>
      </c>
      <c r="E1803" t="s">
        <v>110</v>
      </c>
      <c r="H1803" s="53"/>
      <c r="I1803" s="54"/>
    </row>
    <row r="1804" spans="1:9" x14ac:dyDescent="0.3">
      <c r="A1804" s="53">
        <f>DATE(D1804,11,2)</f>
        <v>78104</v>
      </c>
      <c r="B1804" s="54">
        <f t="shared" si="175"/>
        <v>78104</v>
      </c>
      <c r="C1804" t="s">
        <v>126</v>
      </c>
      <c r="D1804">
        <f t="shared" si="176"/>
        <v>2113</v>
      </c>
      <c r="E1804" t="s">
        <v>110</v>
      </c>
      <c r="H1804" s="53"/>
      <c r="I1804" s="54"/>
    </row>
    <row r="1805" spans="1:9" x14ac:dyDescent="0.3">
      <c r="A1805" s="53">
        <f>DATE(D1805,11,15)</f>
        <v>78117</v>
      </c>
      <c r="B1805" s="54">
        <f t="shared" si="175"/>
        <v>78117</v>
      </c>
      <c r="C1805" t="s">
        <v>127</v>
      </c>
      <c r="D1805">
        <f t="shared" si="176"/>
        <v>2113</v>
      </c>
      <c r="E1805" t="s">
        <v>110</v>
      </c>
      <c r="H1805" s="53"/>
      <c r="I1805" s="54"/>
    </row>
    <row r="1806" spans="1:9" x14ac:dyDescent="0.3">
      <c r="A1806" s="53">
        <f>DATE(D1806,11,20)</f>
        <v>78122</v>
      </c>
      <c r="B1806" s="54">
        <f t="shared" si="175"/>
        <v>78122</v>
      </c>
      <c r="C1806" t="s">
        <v>128</v>
      </c>
      <c r="D1806">
        <f t="shared" si="176"/>
        <v>2113</v>
      </c>
      <c r="E1806" t="s">
        <v>110</v>
      </c>
      <c r="H1806" s="53"/>
      <c r="I1806" s="54"/>
    </row>
    <row r="1807" spans="1:9" x14ac:dyDescent="0.3">
      <c r="A1807" s="53">
        <f>DATE(D1807,12,25)</f>
        <v>78157</v>
      </c>
      <c r="B1807" s="54">
        <f t="shared" si="175"/>
        <v>78157</v>
      </c>
      <c r="C1807" t="s">
        <v>129</v>
      </c>
      <c r="D1807">
        <f t="shared" si="176"/>
        <v>2113</v>
      </c>
      <c r="E1807" t="s">
        <v>110</v>
      </c>
      <c r="H1807" s="53"/>
      <c r="I1807" s="54"/>
    </row>
    <row r="1808" spans="1:9" x14ac:dyDescent="0.3">
      <c r="A1808" s="53">
        <f>DATE(D1808,1,1)</f>
        <v>78164</v>
      </c>
      <c r="B1808" s="54">
        <f t="shared" si="175"/>
        <v>78164</v>
      </c>
      <c r="C1808" t="s">
        <v>109</v>
      </c>
      <c r="D1808">
        <f>D1789+1</f>
        <v>2114</v>
      </c>
      <c r="E1808" t="s">
        <v>110</v>
      </c>
      <c r="H1808" s="53"/>
      <c r="I1808" s="54"/>
    </row>
    <row r="1809" spans="1:9" x14ac:dyDescent="0.3">
      <c r="A1809" s="53">
        <f>A1812-48</f>
        <v>78227</v>
      </c>
      <c r="B1809" s="54">
        <f t="shared" si="175"/>
        <v>78227</v>
      </c>
      <c r="C1809" t="s">
        <v>111</v>
      </c>
      <c r="D1809">
        <f t="shared" ref="D1809:D1826" si="177">D1790+1</f>
        <v>2114</v>
      </c>
      <c r="E1809" t="s">
        <v>110</v>
      </c>
      <c r="H1809" s="53"/>
      <c r="I1809" s="54"/>
    </row>
    <row r="1810" spans="1:9" x14ac:dyDescent="0.3">
      <c r="A1810" s="53">
        <f>A1812-47</f>
        <v>78228</v>
      </c>
      <c r="B1810" s="54">
        <f t="shared" si="175"/>
        <v>78228</v>
      </c>
      <c r="C1810" t="s">
        <v>111</v>
      </c>
      <c r="D1810">
        <f t="shared" si="177"/>
        <v>2114</v>
      </c>
      <c r="E1810" t="s">
        <v>110</v>
      </c>
      <c r="H1810" s="53"/>
      <c r="I1810" s="54"/>
    </row>
    <row r="1811" spans="1:9" x14ac:dyDescent="0.3">
      <c r="A1811" s="53">
        <f>A1812-2</f>
        <v>78273</v>
      </c>
      <c r="B1811" s="54">
        <f t="shared" si="175"/>
        <v>78273</v>
      </c>
      <c r="C1811" t="s">
        <v>112</v>
      </c>
      <c r="D1811">
        <f t="shared" si="177"/>
        <v>2114</v>
      </c>
      <c r="E1811" t="s">
        <v>110</v>
      </c>
      <c r="H1811" s="53"/>
      <c r="I1811" s="54"/>
    </row>
    <row r="1812" spans="1:9" x14ac:dyDescent="0.3">
      <c r="A1812" s="53">
        <f>FLOOR(DAY(MINUTE(D1812/38)/2+56)&amp;"/5"&amp;"/"&amp;D1812,7)-34</f>
        <v>78275</v>
      </c>
      <c r="B1812" s="54">
        <f t="shared" si="175"/>
        <v>78275</v>
      </c>
      <c r="C1812" t="s">
        <v>113</v>
      </c>
      <c r="D1812">
        <f t="shared" si="177"/>
        <v>2114</v>
      </c>
      <c r="E1812" t="s">
        <v>110</v>
      </c>
      <c r="H1812" s="53"/>
      <c r="I1812" s="54"/>
    </row>
    <row r="1813" spans="1:9" x14ac:dyDescent="0.3">
      <c r="A1813" s="53">
        <f>DATE(D1813,4,14)</f>
        <v>78267</v>
      </c>
      <c r="B1813" s="54">
        <f t="shared" si="175"/>
        <v>78267</v>
      </c>
      <c r="C1813" t="s">
        <v>114</v>
      </c>
      <c r="D1813">
        <f t="shared" si="177"/>
        <v>2114</v>
      </c>
      <c r="E1813" t="s">
        <v>115</v>
      </c>
      <c r="H1813" s="53"/>
      <c r="I1813" s="54"/>
    </row>
    <row r="1814" spans="1:9" x14ac:dyDescent="0.3">
      <c r="A1814" s="53">
        <f>DATE(D1814,4,21)</f>
        <v>78274</v>
      </c>
      <c r="B1814" s="54">
        <f t="shared" si="175"/>
        <v>78274</v>
      </c>
      <c r="C1814" t="s">
        <v>116</v>
      </c>
      <c r="D1814">
        <f t="shared" si="177"/>
        <v>2114</v>
      </c>
      <c r="E1814" t="s">
        <v>110</v>
      </c>
      <c r="H1814" s="53"/>
      <c r="I1814" s="54"/>
    </row>
    <row r="1815" spans="1:9" x14ac:dyDescent="0.3">
      <c r="A1815" s="53">
        <f>DATE(D1815,5,1)</f>
        <v>78284</v>
      </c>
      <c r="B1815" s="54">
        <f t="shared" si="175"/>
        <v>78284</v>
      </c>
      <c r="C1815" t="s">
        <v>117</v>
      </c>
      <c r="D1815">
        <f t="shared" si="177"/>
        <v>2114</v>
      </c>
      <c r="E1815" t="s">
        <v>110</v>
      </c>
      <c r="H1815" s="53"/>
      <c r="I1815" s="54"/>
    </row>
    <row r="1816" spans="1:9" x14ac:dyDescent="0.3">
      <c r="A1816" s="53">
        <f>DATE(D1816,5,1)+(14-WEEKDAY(DATE(D1816,5,1),2))</f>
        <v>78296</v>
      </c>
      <c r="B1816" s="54">
        <f t="shared" si="175"/>
        <v>78296</v>
      </c>
      <c r="C1816" t="s">
        <v>118</v>
      </c>
      <c r="D1816">
        <f t="shared" si="177"/>
        <v>2114</v>
      </c>
      <c r="E1816" t="s">
        <v>110</v>
      </c>
      <c r="H1816" s="53"/>
      <c r="I1816" s="54"/>
    </row>
    <row r="1817" spans="1:9" x14ac:dyDescent="0.3">
      <c r="A1817" s="53">
        <f>A1812+60</f>
        <v>78335</v>
      </c>
      <c r="B1817" s="54">
        <f t="shared" si="175"/>
        <v>78335</v>
      </c>
      <c r="C1817" t="s">
        <v>119</v>
      </c>
      <c r="D1817">
        <f t="shared" si="177"/>
        <v>2114</v>
      </c>
      <c r="E1817" t="s">
        <v>110</v>
      </c>
      <c r="H1817" s="53"/>
      <c r="I1817" s="54"/>
    </row>
    <row r="1818" spans="1:9" x14ac:dyDescent="0.3">
      <c r="A1818" s="53">
        <f>DATE(D1818,7,9)</f>
        <v>78353</v>
      </c>
      <c r="B1818" s="54">
        <f t="shared" si="175"/>
        <v>78353</v>
      </c>
      <c r="C1818" t="s">
        <v>120</v>
      </c>
      <c r="D1818">
        <f t="shared" si="177"/>
        <v>2114</v>
      </c>
      <c r="E1818" t="s">
        <v>121</v>
      </c>
      <c r="H1818" s="53"/>
      <c r="I1818" s="54"/>
    </row>
    <row r="1819" spans="1:9" x14ac:dyDescent="0.3">
      <c r="A1819" s="53">
        <f>DATE(D1819,8,8)</f>
        <v>78383</v>
      </c>
      <c r="B1819" s="54">
        <f t="shared" si="175"/>
        <v>78383</v>
      </c>
      <c r="C1819" t="s">
        <v>122</v>
      </c>
      <c r="D1819">
        <f t="shared" si="177"/>
        <v>2114</v>
      </c>
      <c r="E1819" t="s">
        <v>115</v>
      </c>
      <c r="H1819" s="53"/>
      <c r="I1819" s="54"/>
    </row>
    <row r="1820" spans="1:9" x14ac:dyDescent="0.3">
      <c r="A1820" s="53">
        <f>DATE(D1820,8,1)+(14-WEEKDAY(DATE(D1820,8,1),2))</f>
        <v>78387</v>
      </c>
      <c r="B1820" s="54">
        <f t="shared" si="175"/>
        <v>78387</v>
      </c>
      <c r="C1820" t="s">
        <v>123</v>
      </c>
      <c r="D1820">
        <f t="shared" si="177"/>
        <v>2114</v>
      </c>
      <c r="E1820" t="s">
        <v>110</v>
      </c>
      <c r="H1820" s="53"/>
      <c r="I1820" s="54"/>
    </row>
    <row r="1821" spans="1:9" x14ac:dyDescent="0.3">
      <c r="A1821" s="53">
        <f>DATE(D1821,9,7)</f>
        <v>78413</v>
      </c>
      <c r="B1821" s="54">
        <f t="shared" si="175"/>
        <v>78413</v>
      </c>
      <c r="C1821" t="s">
        <v>124</v>
      </c>
      <c r="D1821">
        <f t="shared" si="177"/>
        <v>2114</v>
      </c>
      <c r="E1821" t="s">
        <v>110</v>
      </c>
    </row>
    <row r="1822" spans="1:9" x14ac:dyDescent="0.3">
      <c r="A1822" s="53">
        <f>DATE(D1822,10,12)</f>
        <v>78448</v>
      </c>
      <c r="B1822" s="54">
        <f t="shared" si="175"/>
        <v>78448</v>
      </c>
      <c r="C1822" t="s">
        <v>125</v>
      </c>
      <c r="D1822">
        <f t="shared" si="177"/>
        <v>2114</v>
      </c>
      <c r="E1822" t="s">
        <v>110</v>
      </c>
    </row>
    <row r="1823" spans="1:9" x14ac:dyDescent="0.3">
      <c r="A1823" s="53">
        <f>DATE(D1823,11,2)</f>
        <v>78469</v>
      </c>
      <c r="B1823" s="54">
        <f t="shared" si="175"/>
        <v>78469</v>
      </c>
      <c r="C1823" t="s">
        <v>126</v>
      </c>
      <c r="D1823">
        <f t="shared" si="177"/>
        <v>2114</v>
      </c>
      <c r="E1823" t="s">
        <v>110</v>
      </c>
    </row>
    <row r="1824" spans="1:9" x14ac:dyDescent="0.3">
      <c r="A1824" s="53">
        <f>DATE(D1824,11,15)</f>
        <v>78482</v>
      </c>
      <c r="B1824" s="54">
        <f t="shared" si="175"/>
        <v>78482</v>
      </c>
      <c r="C1824" t="s">
        <v>127</v>
      </c>
      <c r="D1824">
        <f t="shared" si="177"/>
        <v>2114</v>
      </c>
      <c r="E1824" t="s">
        <v>110</v>
      </c>
    </row>
    <row r="1825" spans="1:5" x14ac:dyDescent="0.3">
      <c r="A1825" s="53">
        <f>DATE(D1825,11,20)</f>
        <v>78487</v>
      </c>
      <c r="B1825" s="54">
        <f t="shared" si="175"/>
        <v>78487</v>
      </c>
      <c r="C1825" t="s">
        <v>128</v>
      </c>
      <c r="D1825">
        <f t="shared" si="177"/>
        <v>2114</v>
      </c>
      <c r="E1825" t="s">
        <v>110</v>
      </c>
    </row>
    <row r="1826" spans="1:5" x14ac:dyDescent="0.3">
      <c r="A1826" s="53">
        <f>DATE(D1826,12,25)</f>
        <v>78522</v>
      </c>
      <c r="B1826" s="54">
        <f t="shared" si="175"/>
        <v>78522</v>
      </c>
      <c r="C1826" t="s">
        <v>129</v>
      </c>
      <c r="D1826">
        <f t="shared" si="177"/>
        <v>2114</v>
      </c>
      <c r="E1826" t="s">
        <v>110</v>
      </c>
    </row>
    <row r="1827" spans="1:5" x14ac:dyDescent="0.3">
      <c r="A1827" s="53">
        <f>DATE(D1827,1,1)</f>
        <v>78529</v>
      </c>
      <c r="B1827" s="54">
        <f t="shared" si="175"/>
        <v>78529</v>
      </c>
      <c r="C1827" t="s">
        <v>109</v>
      </c>
      <c r="D1827">
        <f>D1808+1</f>
        <v>2115</v>
      </c>
      <c r="E1827" t="s">
        <v>110</v>
      </c>
    </row>
    <row r="1828" spans="1:5" x14ac:dyDescent="0.3">
      <c r="A1828" s="53">
        <f>A1831-48</f>
        <v>78584</v>
      </c>
      <c r="B1828" s="54">
        <f t="shared" si="175"/>
        <v>78584</v>
      </c>
      <c r="C1828" t="s">
        <v>111</v>
      </c>
      <c r="D1828">
        <f t="shared" ref="D1828:D1845" si="178">D1809+1</f>
        <v>2115</v>
      </c>
      <c r="E1828" t="s">
        <v>110</v>
      </c>
    </row>
    <row r="1829" spans="1:5" x14ac:dyDescent="0.3">
      <c r="A1829" s="53">
        <f>A1831-47</f>
        <v>78585</v>
      </c>
      <c r="B1829" s="54">
        <f t="shared" si="175"/>
        <v>78585</v>
      </c>
      <c r="C1829" t="s">
        <v>111</v>
      </c>
      <c r="D1829">
        <f t="shared" si="178"/>
        <v>2115</v>
      </c>
      <c r="E1829" t="s">
        <v>110</v>
      </c>
    </row>
    <row r="1830" spans="1:5" x14ac:dyDescent="0.3">
      <c r="A1830" s="53">
        <f>A1831-2</f>
        <v>78630</v>
      </c>
      <c r="B1830" s="54">
        <f t="shared" si="175"/>
        <v>78630</v>
      </c>
      <c r="C1830" t="s">
        <v>112</v>
      </c>
      <c r="D1830">
        <f t="shared" si="178"/>
        <v>2115</v>
      </c>
      <c r="E1830" t="s">
        <v>110</v>
      </c>
    </row>
    <row r="1831" spans="1:5" x14ac:dyDescent="0.3">
      <c r="A1831" s="53">
        <f>FLOOR(DAY(MINUTE(D1831/38)/2+56)&amp;"/5"&amp;"/"&amp;D1831,7)-34</f>
        <v>78632</v>
      </c>
      <c r="B1831" s="54">
        <f t="shared" si="175"/>
        <v>78632</v>
      </c>
      <c r="C1831" t="s">
        <v>113</v>
      </c>
      <c r="D1831">
        <f t="shared" si="178"/>
        <v>2115</v>
      </c>
      <c r="E1831" t="s">
        <v>110</v>
      </c>
    </row>
    <row r="1832" spans="1:5" x14ac:dyDescent="0.3">
      <c r="A1832" s="53">
        <f>DATE(D1832,4,14)</f>
        <v>78632</v>
      </c>
      <c r="B1832" s="54">
        <f t="shared" si="175"/>
        <v>78632</v>
      </c>
      <c r="C1832" t="s">
        <v>114</v>
      </c>
      <c r="D1832">
        <f t="shared" si="178"/>
        <v>2115</v>
      </c>
      <c r="E1832" t="s">
        <v>115</v>
      </c>
    </row>
    <row r="1833" spans="1:5" x14ac:dyDescent="0.3">
      <c r="A1833" s="53">
        <f>DATE(D1833,4,21)</f>
        <v>78639</v>
      </c>
      <c r="B1833" s="54">
        <f t="shared" si="175"/>
        <v>78639</v>
      </c>
      <c r="C1833" t="s">
        <v>116</v>
      </c>
      <c r="D1833">
        <f t="shared" si="178"/>
        <v>2115</v>
      </c>
      <c r="E1833" t="s">
        <v>110</v>
      </c>
    </row>
    <row r="1834" spans="1:5" x14ac:dyDescent="0.3">
      <c r="A1834" s="53">
        <f>DATE(D1834,5,1)</f>
        <v>78649</v>
      </c>
      <c r="B1834" s="54">
        <f t="shared" si="175"/>
        <v>78649</v>
      </c>
      <c r="C1834" t="s">
        <v>117</v>
      </c>
      <c r="D1834">
        <f t="shared" si="178"/>
        <v>2115</v>
      </c>
      <c r="E1834" t="s">
        <v>110</v>
      </c>
    </row>
    <row r="1835" spans="1:5" x14ac:dyDescent="0.3">
      <c r="A1835" s="53">
        <f>DATE(D1835,5,1)+(14-WEEKDAY(DATE(D1835,5,1),2))</f>
        <v>78660</v>
      </c>
      <c r="B1835" s="54">
        <f t="shared" si="175"/>
        <v>78660</v>
      </c>
      <c r="C1835" t="s">
        <v>118</v>
      </c>
      <c r="D1835">
        <f t="shared" si="178"/>
        <v>2115</v>
      </c>
      <c r="E1835" t="s">
        <v>110</v>
      </c>
    </row>
    <row r="1836" spans="1:5" x14ac:dyDescent="0.3">
      <c r="A1836" s="53">
        <f>A1831+60</f>
        <v>78692</v>
      </c>
      <c r="B1836" s="54">
        <f t="shared" si="175"/>
        <v>78692</v>
      </c>
      <c r="C1836" t="s">
        <v>119</v>
      </c>
      <c r="D1836">
        <f t="shared" si="178"/>
        <v>2115</v>
      </c>
      <c r="E1836" t="s">
        <v>110</v>
      </c>
    </row>
    <row r="1837" spans="1:5" x14ac:dyDescent="0.3">
      <c r="A1837" s="53">
        <f>DATE(D1837,7,9)</f>
        <v>78718</v>
      </c>
      <c r="B1837" s="54">
        <f t="shared" si="175"/>
        <v>78718</v>
      </c>
      <c r="C1837" t="s">
        <v>120</v>
      </c>
      <c r="D1837">
        <f t="shared" si="178"/>
        <v>2115</v>
      </c>
      <c r="E1837" t="s">
        <v>121</v>
      </c>
    </row>
    <row r="1838" spans="1:5" x14ac:dyDescent="0.3">
      <c r="A1838" s="53">
        <f>DATE(D1838,8,8)</f>
        <v>78748</v>
      </c>
      <c r="B1838" s="54">
        <f t="shared" si="175"/>
        <v>78748</v>
      </c>
      <c r="C1838" t="s">
        <v>122</v>
      </c>
      <c r="D1838">
        <f t="shared" si="178"/>
        <v>2115</v>
      </c>
      <c r="E1838" t="s">
        <v>115</v>
      </c>
    </row>
    <row r="1839" spans="1:5" x14ac:dyDescent="0.3">
      <c r="A1839" s="53">
        <f>DATE(D1839,8,1)+(14-WEEKDAY(DATE(D1839,8,1),2))</f>
        <v>78751</v>
      </c>
      <c r="B1839" s="54">
        <f t="shared" si="175"/>
        <v>78751</v>
      </c>
      <c r="C1839" t="s">
        <v>123</v>
      </c>
      <c r="D1839">
        <f t="shared" si="178"/>
        <v>2115</v>
      </c>
      <c r="E1839" t="s">
        <v>110</v>
      </c>
    </row>
    <row r="1840" spans="1:5" x14ac:dyDescent="0.3">
      <c r="A1840" s="53">
        <f>DATE(D1840,9,7)</f>
        <v>78778</v>
      </c>
      <c r="B1840" s="54">
        <f t="shared" si="175"/>
        <v>78778</v>
      </c>
      <c r="C1840" t="s">
        <v>124</v>
      </c>
      <c r="D1840">
        <f t="shared" si="178"/>
        <v>2115</v>
      </c>
      <c r="E1840" t="s">
        <v>110</v>
      </c>
    </row>
    <row r="1841" spans="1:5" x14ac:dyDescent="0.3">
      <c r="A1841" s="53">
        <f>DATE(D1841,10,12)</f>
        <v>78813</v>
      </c>
      <c r="B1841" s="54">
        <f t="shared" si="175"/>
        <v>78813</v>
      </c>
      <c r="C1841" t="s">
        <v>125</v>
      </c>
      <c r="D1841">
        <f t="shared" si="178"/>
        <v>2115</v>
      </c>
      <c r="E1841" t="s">
        <v>110</v>
      </c>
    </row>
    <row r="1842" spans="1:5" x14ac:dyDescent="0.3">
      <c r="A1842" s="53">
        <f>DATE(D1842,11,2)</f>
        <v>78834</v>
      </c>
      <c r="B1842" s="54">
        <f t="shared" si="175"/>
        <v>78834</v>
      </c>
      <c r="C1842" t="s">
        <v>126</v>
      </c>
      <c r="D1842">
        <f t="shared" si="178"/>
        <v>2115</v>
      </c>
      <c r="E1842" t="s">
        <v>110</v>
      </c>
    </row>
    <row r="1843" spans="1:5" x14ac:dyDescent="0.3">
      <c r="A1843" s="53">
        <f>DATE(D1843,11,15)</f>
        <v>78847</v>
      </c>
      <c r="B1843" s="54">
        <f t="shared" si="175"/>
        <v>78847</v>
      </c>
      <c r="C1843" t="s">
        <v>127</v>
      </c>
      <c r="D1843">
        <f t="shared" si="178"/>
        <v>2115</v>
      </c>
      <c r="E1843" t="s">
        <v>110</v>
      </c>
    </row>
    <row r="1844" spans="1:5" x14ac:dyDescent="0.3">
      <c r="A1844" s="53">
        <f>DATE(D1844,11,20)</f>
        <v>78852</v>
      </c>
      <c r="B1844" s="54">
        <f t="shared" si="175"/>
        <v>78852</v>
      </c>
      <c r="C1844" t="s">
        <v>128</v>
      </c>
      <c r="D1844">
        <f t="shared" si="178"/>
        <v>2115</v>
      </c>
      <c r="E1844" t="s">
        <v>110</v>
      </c>
    </row>
    <row r="1845" spans="1:5" x14ac:dyDescent="0.3">
      <c r="A1845" s="53">
        <f>DATE(D1845,12,25)</f>
        <v>78887</v>
      </c>
      <c r="B1845" s="54">
        <f t="shared" si="175"/>
        <v>78887</v>
      </c>
      <c r="C1845" t="s">
        <v>129</v>
      </c>
      <c r="D1845">
        <f t="shared" si="178"/>
        <v>2115</v>
      </c>
      <c r="E1845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E296-C1E7-455D-B216-D98C9A3D1CC1}">
  <dimension ref="A1:AK21"/>
  <sheetViews>
    <sheetView workbookViewId="0">
      <selection activeCell="A23" sqref="A23:A29"/>
    </sheetView>
  </sheetViews>
  <sheetFormatPr defaultRowHeight="14.4" x14ac:dyDescent="0.3"/>
  <cols>
    <col min="1" max="1" width="10.33203125" bestFit="1" customWidth="1"/>
    <col min="2" max="3" width="8.88671875" style="1"/>
    <col min="4" max="4" width="13.77734375" style="1" bestFit="1" customWidth="1"/>
    <col min="5" max="6" width="13.77734375" style="1" customWidth="1"/>
    <col min="7" max="7" width="17.109375" style="1" bestFit="1" customWidth="1"/>
    <col min="8" max="8" width="17.109375" style="1" customWidth="1"/>
    <col min="9" max="9" width="9.33203125" bestFit="1" customWidth="1"/>
    <col min="12" max="12" width="12.109375" bestFit="1" customWidth="1"/>
    <col min="13" max="13" width="40.5546875" bestFit="1" customWidth="1"/>
    <col min="14" max="15" width="5.109375" customWidth="1"/>
    <col min="16" max="16" width="10.88671875" customWidth="1"/>
    <col min="17" max="18" width="5.33203125" customWidth="1"/>
    <col min="19" max="19" width="13.21875" customWidth="1"/>
    <col min="27" max="32" width="9.5546875" customWidth="1"/>
    <col min="33" max="33" width="5.109375" customWidth="1"/>
    <col min="34" max="39" width="9.5546875" customWidth="1"/>
  </cols>
  <sheetData>
    <row r="1" spans="1:37" x14ac:dyDescent="0.3">
      <c r="A1" t="s">
        <v>130</v>
      </c>
      <c r="B1" s="1" t="s">
        <v>18</v>
      </c>
      <c r="D1" s="1" t="s">
        <v>19</v>
      </c>
      <c r="F1" s="1" t="s">
        <v>84</v>
      </c>
      <c r="G1" s="57" t="s">
        <v>100</v>
      </c>
      <c r="H1" s="57"/>
      <c r="I1" t="s">
        <v>38</v>
      </c>
      <c r="J1" t="s">
        <v>43</v>
      </c>
      <c r="K1" t="s">
        <v>266</v>
      </c>
      <c r="L1" t="s">
        <v>135</v>
      </c>
      <c r="M1" t="s">
        <v>139</v>
      </c>
      <c r="N1" t="s">
        <v>164</v>
      </c>
      <c r="Q1" t="s">
        <v>200</v>
      </c>
      <c r="T1" t="s">
        <v>201</v>
      </c>
      <c r="X1" t="s">
        <v>264</v>
      </c>
      <c r="AA1" t="s">
        <v>255</v>
      </c>
      <c r="AB1" t="s">
        <v>256</v>
      </c>
      <c r="AC1" t="s">
        <v>202</v>
      </c>
      <c r="AD1" t="s">
        <v>256</v>
      </c>
      <c r="AE1" t="s">
        <v>257</v>
      </c>
      <c r="AG1" t="s">
        <v>258</v>
      </c>
      <c r="AH1" t="s">
        <v>206</v>
      </c>
      <c r="AI1" t="s">
        <v>207</v>
      </c>
      <c r="AJ1" t="s">
        <v>208</v>
      </c>
      <c r="AK1" t="s">
        <v>209</v>
      </c>
    </row>
    <row r="2" spans="1:37" x14ac:dyDescent="0.3">
      <c r="A2" s="53">
        <f ca="1">TODAY()</f>
        <v>46252</v>
      </c>
      <c r="B2" s="1">
        <v>2026</v>
      </c>
      <c r="C2" s="1">
        <v>1</v>
      </c>
      <c r="D2" s="1">
        <v>1</v>
      </c>
      <c r="E2" s="101">
        <v>1</v>
      </c>
      <c r="F2" s="1" t="s">
        <v>85</v>
      </c>
      <c r="G2" s="1" t="s">
        <v>131</v>
      </c>
      <c r="H2" s="1">
        <v>0</v>
      </c>
      <c r="I2" s="1" t="s">
        <v>39</v>
      </c>
      <c r="J2" s="1" t="s">
        <v>44</v>
      </c>
      <c r="K2" s="1" t="s">
        <v>59</v>
      </c>
      <c r="L2" s="1" t="s">
        <v>133</v>
      </c>
      <c r="M2" s="74" t="s">
        <v>30</v>
      </c>
      <c r="N2" s="141">
        <v>0.6</v>
      </c>
      <c r="O2">
        <v>1</v>
      </c>
      <c r="P2" t="s">
        <v>247</v>
      </c>
      <c r="Q2" s="141">
        <v>0.6</v>
      </c>
      <c r="R2">
        <v>1</v>
      </c>
      <c r="S2" t="s">
        <v>250</v>
      </c>
      <c r="T2" s="141">
        <v>0.6</v>
      </c>
      <c r="U2">
        <v>1</v>
      </c>
      <c r="V2" t="s">
        <v>246</v>
      </c>
      <c r="W2" t="s">
        <v>205</v>
      </c>
      <c r="X2" s="141">
        <v>0.6</v>
      </c>
      <c r="Y2">
        <v>1</v>
      </c>
      <c r="Z2" t="s">
        <v>261</v>
      </c>
      <c r="AA2" t="s">
        <v>203</v>
      </c>
      <c r="AB2" t="e">
        <f>VLOOKUP(AA2,$R$13:$S$15,2,0)</f>
        <v>#N/A</v>
      </c>
      <c r="AC2" t="s">
        <v>203</v>
      </c>
      <c r="AD2" t="e">
        <f>VLOOKUP(AC2,$R$13:$S$15,2,0)</f>
        <v>#N/A</v>
      </c>
      <c r="AE2" s="154" t="e">
        <f t="shared" ref="AE2:AE10" si="0">IF(AB2&gt;AD2,AD2/AB2,AB2/AD2)</f>
        <v>#N/A</v>
      </c>
      <c r="AF2" s="154" t="str">
        <f>_xlfn.CONCAT(AA2,AC2)</f>
        <v>VERDEVERDE</v>
      </c>
      <c r="AG2">
        <v>1</v>
      </c>
      <c r="AH2" t="s">
        <v>210</v>
      </c>
      <c r="AI2" t="s">
        <v>211</v>
      </c>
      <c r="AJ2" t="s">
        <v>212</v>
      </c>
      <c r="AK2" t="s">
        <v>236</v>
      </c>
    </row>
    <row r="3" spans="1:37" x14ac:dyDescent="0.3">
      <c r="A3" t="s">
        <v>253</v>
      </c>
      <c r="B3" s="1">
        <f>B2+1</f>
        <v>2027</v>
      </c>
      <c r="C3" s="1">
        <v>2</v>
      </c>
      <c r="D3" s="1">
        <v>2</v>
      </c>
      <c r="E3" s="101">
        <v>2</v>
      </c>
      <c r="F3" s="1" t="s">
        <v>86</v>
      </c>
      <c r="G3" s="1" t="s">
        <v>102</v>
      </c>
      <c r="H3" s="1">
        <v>0.25</v>
      </c>
      <c r="I3" s="1" t="s">
        <v>40</v>
      </c>
      <c r="J3" s="1" t="s">
        <v>45</v>
      </c>
      <c r="K3" s="1" t="s">
        <v>60</v>
      </c>
      <c r="L3" s="1" t="s">
        <v>101</v>
      </c>
      <c r="M3" s="74" t="s">
        <v>37</v>
      </c>
      <c r="N3" s="141">
        <v>0.79</v>
      </c>
      <c r="O3">
        <v>2</v>
      </c>
      <c r="P3" t="s">
        <v>248</v>
      </c>
      <c r="Q3" s="141">
        <v>0.79</v>
      </c>
      <c r="R3">
        <v>2</v>
      </c>
      <c r="S3" t="s">
        <v>251</v>
      </c>
      <c r="T3" s="141">
        <v>0.79</v>
      </c>
      <c r="U3">
        <v>2</v>
      </c>
      <c r="V3" t="s">
        <v>245</v>
      </c>
      <c r="W3" t="s">
        <v>204</v>
      </c>
      <c r="X3" s="141">
        <v>0.79</v>
      </c>
      <c r="Y3">
        <v>2</v>
      </c>
      <c r="Z3" t="s">
        <v>262</v>
      </c>
      <c r="AA3" t="s">
        <v>204</v>
      </c>
      <c r="AB3" t="e">
        <f t="shared" ref="AB3:AD10" si="1">VLOOKUP(AA3,$R$13:$S$15,2,0)</f>
        <v>#N/A</v>
      </c>
      <c r="AC3" t="s">
        <v>203</v>
      </c>
      <c r="AD3" t="e">
        <f t="shared" si="1"/>
        <v>#N/A</v>
      </c>
      <c r="AE3" s="154" t="e">
        <f t="shared" si="0"/>
        <v>#N/A</v>
      </c>
      <c r="AF3" s="154" t="str">
        <f t="shared" ref="AF3:AF10" si="2">_xlfn.CONCAT(AA3,AC3)</f>
        <v>AMARELO VERDE</v>
      </c>
      <c r="AG3">
        <v>2</v>
      </c>
      <c r="AH3" t="s">
        <v>213</v>
      </c>
      <c r="AI3" t="s">
        <v>214</v>
      </c>
      <c r="AJ3" t="s">
        <v>215</v>
      </c>
      <c r="AK3" t="s">
        <v>237</v>
      </c>
    </row>
    <row r="4" spans="1:37" x14ac:dyDescent="0.3">
      <c r="B4" s="1">
        <f t="shared" ref="B4:B21" si="3">B3+1</f>
        <v>2028</v>
      </c>
      <c r="C4" s="1">
        <v>3</v>
      </c>
      <c r="D4" s="1">
        <v>5</v>
      </c>
      <c r="E4" s="101">
        <v>3</v>
      </c>
      <c r="F4" s="1" t="s">
        <v>87</v>
      </c>
      <c r="G4" s="1" t="s">
        <v>137</v>
      </c>
      <c r="H4" s="1">
        <v>0.7</v>
      </c>
      <c r="I4" s="1"/>
      <c r="J4" s="1" t="s">
        <v>46</v>
      </c>
      <c r="K4" s="1"/>
      <c r="L4" s="1" t="s">
        <v>136</v>
      </c>
      <c r="M4" s="74" t="s">
        <v>36</v>
      </c>
      <c r="N4" s="141">
        <v>1</v>
      </c>
      <c r="O4">
        <v>3</v>
      </c>
      <c r="P4" t="s">
        <v>249</v>
      </c>
      <c r="Q4" s="141">
        <v>1</v>
      </c>
      <c r="R4">
        <v>3</v>
      </c>
      <c r="S4" t="s">
        <v>252</v>
      </c>
      <c r="T4" s="141">
        <v>1</v>
      </c>
      <c r="U4">
        <v>3</v>
      </c>
      <c r="V4" t="s">
        <v>244</v>
      </c>
      <c r="W4" t="s">
        <v>203</v>
      </c>
      <c r="X4" s="141">
        <v>1</v>
      </c>
      <c r="Y4">
        <v>3</v>
      </c>
      <c r="Z4" t="s">
        <v>263</v>
      </c>
      <c r="AA4" t="s">
        <v>205</v>
      </c>
      <c r="AB4" t="e">
        <f t="shared" si="1"/>
        <v>#N/A</v>
      </c>
      <c r="AC4" t="s">
        <v>203</v>
      </c>
      <c r="AD4" t="e">
        <f t="shared" si="1"/>
        <v>#N/A</v>
      </c>
      <c r="AE4" s="154" t="e">
        <f t="shared" si="0"/>
        <v>#N/A</v>
      </c>
      <c r="AF4" s="154" t="str">
        <f t="shared" si="2"/>
        <v>VERMELHOVERDE</v>
      </c>
      <c r="AG4">
        <v>3</v>
      </c>
      <c r="AH4" t="s">
        <v>216</v>
      </c>
      <c r="AI4" t="s">
        <v>217</v>
      </c>
      <c r="AJ4" t="s">
        <v>218</v>
      </c>
      <c r="AK4" t="s">
        <v>238</v>
      </c>
    </row>
    <row r="5" spans="1:37" x14ac:dyDescent="0.3">
      <c r="B5" s="1">
        <f t="shared" si="3"/>
        <v>2029</v>
      </c>
      <c r="C5" s="1">
        <v>4</v>
      </c>
      <c r="E5" s="101">
        <v>4</v>
      </c>
      <c r="F5" s="1" t="s">
        <v>88</v>
      </c>
      <c r="G5" s="1" t="s">
        <v>132</v>
      </c>
      <c r="H5" s="1">
        <v>1</v>
      </c>
      <c r="I5" s="1"/>
      <c r="J5" s="1"/>
      <c r="K5" s="1"/>
      <c r="L5" s="1" t="s">
        <v>151</v>
      </c>
      <c r="M5" s="74" t="s">
        <v>35</v>
      </c>
      <c r="T5" s="147"/>
      <c r="AA5" t="s">
        <v>203</v>
      </c>
      <c r="AB5" t="e">
        <f t="shared" si="1"/>
        <v>#N/A</v>
      </c>
      <c r="AC5" t="s">
        <v>204</v>
      </c>
      <c r="AD5" t="e">
        <f t="shared" si="1"/>
        <v>#N/A</v>
      </c>
      <c r="AE5" s="154" t="e">
        <f t="shared" si="0"/>
        <v>#N/A</v>
      </c>
      <c r="AF5" s="154" t="str">
        <f t="shared" si="2"/>
        <v xml:space="preserve">VERDEAMARELO </v>
      </c>
      <c r="AG5">
        <v>4</v>
      </c>
      <c r="AH5" t="s">
        <v>219</v>
      </c>
      <c r="AI5" t="s">
        <v>220</v>
      </c>
      <c r="AJ5" t="s">
        <v>221</v>
      </c>
      <c r="AK5" t="s">
        <v>239</v>
      </c>
    </row>
    <row r="6" spans="1:37" x14ac:dyDescent="0.3">
      <c r="B6" s="1">
        <f t="shared" si="3"/>
        <v>2030</v>
      </c>
      <c r="C6" s="1">
        <v>5</v>
      </c>
      <c r="E6" s="101">
        <v>5</v>
      </c>
      <c r="F6" s="1" t="s">
        <v>89</v>
      </c>
      <c r="AA6" t="s">
        <v>204</v>
      </c>
      <c r="AB6" t="e">
        <f t="shared" si="1"/>
        <v>#N/A</v>
      </c>
      <c r="AC6" t="s">
        <v>204</v>
      </c>
      <c r="AD6" t="e">
        <f t="shared" si="1"/>
        <v>#N/A</v>
      </c>
      <c r="AE6" s="154" t="e">
        <f t="shared" si="0"/>
        <v>#N/A</v>
      </c>
      <c r="AF6" s="154" t="str">
        <f t="shared" si="2"/>
        <v xml:space="preserve">AMARELO AMARELO </v>
      </c>
      <c r="AG6">
        <v>5</v>
      </c>
      <c r="AH6" t="s">
        <v>222</v>
      </c>
      <c r="AI6" t="s">
        <v>223</v>
      </c>
      <c r="AJ6" t="s">
        <v>224</v>
      </c>
      <c r="AK6" t="s">
        <v>240</v>
      </c>
    </row>
    <row r="7" spans="1:37" x14ac:dyDescent="0.3">
      <c r="B7" s="1">
        <f t="shared" si="3"/>
        <v>2031</v>
      </c>
      <c r="C7" s="1">
        <v>6</v>
      </c>
      <c r="E7" s="101">
        <v>6</v>
      </c>
      <c r="F7" s="1" t="s">
        <v>90</v>
      </c>
      <c r="AA7" t="s">
        <v>205</v>
      </c>
      <c r="AB7" t="e">
        <f t="shared" si="1"/>
        <v>#N/A</v>
      </c>
      <c r="AC7" t="s">
        <v>205</v>
      </c>
      <c r="AD7" t="e">
        <f t="shared" si="1"/>
        <v>#N/A</v>
      </c>
      <c r="AE7" s="154" t="e">
        <f t="shared" si="0"/>
        <v>#N/A</v>
      </c>
      <c r="AF7" s="154" t="str">
        <f t="shared" si="2"/>
        <v>VERMELHOVERMELHO</v>
      </c>
      <c r="AG7">
        <v>6</v>
      </c>
      <c r="AH7" t="s">
        <v>225</v>
      </c>
      <c r="AI7" t="s">
        <v>226</v>
      </c>
      <c r="AJ7" t="s">
        <v>227</v>
      </c>
      <c r="AK7" t="s">
        <v>241</v>
      </c>
    </row>
    <row r="8" spans="1:37" x14ac:dyDescent="0.3">
      <c r="B8" s="1">
        <f t="shared" si="3"/>
        <v>2032</v>
      </c>
      <c r="C8" s="1">
        <v>7</v>
      </c>
      <c r="E8" s="101">
        <v>7</v>
      </c>
      <c r="F8" s="1" t="s">
        <v>91</v>
      </c>
      <c r="AA8" t="s">
        <v>203</v>
      </c>
      <c r="AB8" t="e">
        <f t="shared" si="1"/>
        <v>#N/A</v>
      </c>
      <c r="AC8" t="s">
        <v>205</v>
      </c>
      <c r="AD8" t="e">
        <f t="shared" si="1"/>
        <v>#N/A</v>
      </c>
      <c r="AE8" s="154" t="e">
        <f t="shared" si="0"/>
        <v>#N/A</v>
      </c>
      <c r="AF8" s="154" t="str">
        <f t="shared" si="2"/>
        <v>VERDEVERMELHO</v>
      </c>
      <c r="AG8">
        <v>7</v>
      </c>
      <c r="AH8" t="s">
        <v>228</v>
      </c>
      <c r="AI8" t="s">
        <v>229</v>
      </c>
      <c r="AJ8" t="s">
        <v>230</v>
      </c>
      <c r="AK8" t="s">
        <v>242</v>
      </c>
    </row>
    <row r="9" spans="1:37" x14ac:dyDescent="0.3">
      <c r="B9" s="1">
        <f t="shared" si="3"/>
        <v>2033</v>
      </c>
      <c r="C9" s="1">
        <v>8</v>
      </c>
      <c r="E9" s="101">
        <v>8</v>
      </c>
      <c r="F9" s="1" t="s">
        <v>92</v>
      </c>
      <c r="AA9" t="s">
        <v>204</v>
      </c>
      <c r="AB9" t="e">
        <f t="shared" si="1"/>
        <v>#N/A</v>
      </c>
      <c r="AC9" t="s">
        <v>205</v>
      </c>
      <c r="AD9" t="e">
        <f t="shared" si="1"/>
        <v>#N/A</v>
      </c>
      <c r="AE9" s="154" t="e">
        <f t="shared" si="0"/>
        <v>#N/A</v>
      </c>
      <c r="AF9" s="154" t="str">
        <f t="shared" si="2"/>
        <v>AMARELO VERMELHO</v>
      </c>
      <c r="AG9">
        <v>8</v>
      </c>
      <c r="AH9" t="s">
        <v>231</v>
      </c>
      <c r="AI9" t="s">
        <v>232</v>
      </c>
      <c r="AJ9" t="s">
        <v>233</v>
      </c>
      <c r="AK9" t="s">
        <v>243</v>
      </c>
    </row>
    <row r="10" spans="1:37" x14ac:dyDescent="0.3">
      <c r="B10" s="1">
        <f t="shared" si="3"/>
        <v>2034</v>
      </c>
      <c r="C10" s="1">
        <v>9</v>
      </c>
      <c r="E10" s="101">
        <v>9</v>
      </c>
      <c r="F10" s="1" t="s">
        <v>93</v>
      </c>
      <c r="AA10" t="s">
        <v>205</v>
      </c>
      <c r="AB10" t="e">
        <f t="shared" si="1"/>
        <v>#N/A</v>
      </c>
      <c r="AC10" t="s">
        <v>205</v>
      </c>
      <c r="AD10" t="e">
        <f t="shared" si="1"/>
        <v>#N/A</v>
      </c>
      <c r="AE10" s="154" t="e">
        <f t="shared" si="0"/>
        <v>#N/A</v>
      </c>
      <c r="AF10" s="154" t="str">
        <f t="shared" si="2"/>
        <v>VERMELHOVERMELHO</v>
      </c>
      <c r="AG10">
        <v>9</v>
      </c>
      <c r="AH10" t="s">
        <v>234</v>
      </c>
      <c r="AI10" t="s">
        <v>235</v>
      </c>
    </row>
    <row r="11" spans="1:37" x14ac:dyDescent="0.3">
      <c r="B11" s="1">
        <f t="shared" si="3"/>
        <v>2035</v>
      </c>
      <c r="C11" s="1">
        <v>10</v>
      </c>
      <c r="E11" s="101">
        <v>10</v>
      </c>
      <c r="F11" s="1" t="s">
        <v>94</v>
      </c>
    </row>
    <row r="12" spans="1:37" x14ac:dyDescent="0.3">
      <c r="B12" s="1">
        <f t="shared" si="3"/>
        <v>2036</v>
      </c>
      <c r="C12" s="1">
        <v>11</v>
      </c>
      <c r="E12" s="101">
        <v>11</v>
      </c>
      <c r="F12" s="1" t="s">
        <v>95</v>
      </c>
      <c r="Q12" s="148"/>
    </row>
    <row r="13" spans="1:37" x14ac:dyDescent="0.3">
      <c r="B13" s="1">
        <f t="shared" si="3"/>
        <v>2037</v>
      </c>
      <c r="C13" s="1">
        <v>12</v>
      </c>
      <c r="E13" s="101">
        <v>12</v>
      </c>
      <c r="F13" s="1" t="s">
        <v>96</v>
      </c>
      <c r="S13" s="141"/>
    </row>
    <row r="14" spans="1:37" x14ac:dyDescent="0.3">
      <c r="B14" s="1">
        <f t="shared" si="3"/>
        <v>2038</v>
      </c>
      <c r="C14" s="1">
        <v>13</v>
      </c>
      <c r="S14" s="141"/>
    </row>
    <row r="15" spans="1:37" x14ac:dyDescent="0.3">
      <c r="B15" s="1">
        <f t="shared" si="3"/>
        <v>2039</v>
      </c>
      <c r="C15" s="1">
        <v>14</v>
      </c>
      <c r="S15" s="141"/>
    </row>
    <row r="16" spans="1:37" x14ac:dyDescent="0.3">
      <c r="B16" s="1">
        <f t="shared" si="3"/>
        <v>2040</v>
      </c>
      <c r="C16" s="1">
        <v>15</v>
      </c>
    </row>
    <row r="17" spans="2:7" x14ac:dyDescent="0.3">
      <c r="B17" s="1">
        <f t="shared" si="3"/>
        <v>2041</v>
      </c>
      <c r="C17" s="1">
        <v>16</v>
      </c>
      <c r="F17" s="240"/>
      <c r="G17" s="240"/>
    </row>
    <row r="18" spans="2:7" x14ac:dyDescent="0.3">
      <c r="B18" s="1">
        <f t="shared" si="3"/>
        <v>2042</v>
      </c>
      <c r="C18" s="1">
        <v>17</v>
      </c>
      <c r="F18" s="240"/>
    </row>
    <row r="19" spans="2:7" x14ac:dyDescent="0.3">
      <c r="B19" s="1">
        <f t="shared" si="3"/>
        <v>2043</v>
      </c>
      <c r="C19" s="1">
        <v>18</v>
      </c>
      <c r="F19" s="240"/>
    </row>
    <row r="20" spans="2:7" x14ac:dyDescent="0.3">
      <c r="B20" s="1">
        <f t="shared" si="3"/>
        <v>2044</v>
      </c>
      <c r="C20" s="1">
        <v>19</v>
      </c>
      <c r="F20" s="240"/>
    </row>
    <row r="21" spans="2:7" x14ac:dyDescent="0.3">
      <c r="B21" s="1">
        <f t="shared" si="3"/>
        <v>2045</v>
      </c>
      <c r="C21" s="1">
        <v>20</v>
      </c>
    </row>
  </sheetData>
  <sortState xmlns:xlrd2="http://schemas.microsoft.com/office/spreadsheetml/2017/richdata2" ref="L3:L4">
    <sortCondition ref="L3:L4"/>
  </sortState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643E-D75E-4E5E-A6B8-865DF33FE6DB}">
  <dimension ref="C1:J40"/>
  <sheetViews>
    <sheetView showGridLines="0" tabSelected="1" zoomScale="107" zoomScaleNormal="107" workbookViewId="0">
      <selection activeCell="N7" sqref="N7"/>
    </sheetView>
  </sheetViews>
  <sheetFormatPr defaultRowHeight="13.2" x14ac:dyDescent="0.4"/>
  <cols>
    <col min="1" max="2" width="2.21875" style="7" customWidth="1"/>
    <col min="3" max="3" width="21.77734375" style="7" customWidth="1"/>
    <col min="4" max="6" width="8.44140625" style="7" customWidth="1"/>
    <col min="7" max="7" width="21.77734375" style="7" customWidth="1"/>
    <col min="8" max="9" width="8.44140625" style="7" customWidth="1"/>
    <col min="10" max="16384" width="8.88671875" style="7"/>
  </cols>
  <sheetData>
    <row r="1" spans="3:9" s="3" customFormat="1" ht="27.6" customHeight="1" x14ac:dyDescent="0.4">
      <c r="E1" s="4"/>
    </row>
    <row r="2" spans="3:9" s="5" customFormat="1" ht="21.6" customHeight="1" x14ac:dyDescent="0.4"/>
    <row r="3" spans="3:9" ht="6" customHeight="1" x14ac:dyDescent="0.4"/>
    <row r="4" spans="3:9" s="2" customFormat="1" ht="22.2" customHeight="1" x14ac:dyDescent="0.3">
      <c r="C4" s="8" t="s">
        <v>0</v>
      </c>
    </row>
    <row r="5" spans="3:9" ht="4.95" customHeight="1" x14ac:dyDescent="0.4"/>
    <row r="6" spans="3:9" s="2" customFormat="1" ht="22.2" customHeight="1" x14ac:dyDescent="0.3">
      <c r="C6" s="10" t="s">
        <v>7</v>
      </c>
    </row>
    <row r="7" spans="3:9" ht="4.95" customHeight="1" x14ac:dyDescent="0.4">
      <c r="C7" s="6"/>
    </row>
    <row r="8" spans="3:9" s="2" customFormat="1" ht="22.2" customHeight="1" x14ac:dyDescent="0.3">
      <c r="C8" s="11" t="s">
        <v>8</v>
      </c>
      <c r="D8" s="12"/>
      <c r="E8" s="12"/>
      <c r="F8" s="12"/>
      <c r="G8" s="12"/>
      <c r="H8" s="12"/>
      <c r="I8" s="13"/>
    </row>
    <row r="9" spans="3:9" x14ac:dyDescent="0.4">
      <c r="C9" s="14" t="s">
        <v>9</v>
      </c>
      <c r="D9" s="15"/>
      <c r="E9" s="15"/>
      <c r="F9" s="15"/>
      <c r="G9" s="15"/>
      <c r="H9" s="15"/>
      <c r="I9" s="16"/>
    </row>
    <row r="10" spans="3:9" x14ac:dyDescent="0.4">
      <c r="C10" s="14" t="s">
        <v>10</v>
      </c>
      <c r="E10" s="15"/>
      <c r="F10" s="15"/>
      <c r="G10" s="15"/>
      <c r="H10" s="15"/>
      <c r="I10" s="16"/>
    </row>
    <row r="11" spans="3:9" x14ac:dyDescent="0.4">
      <c r="C11" s="19" t="s">
        <v>11</v>
      </c>
      <c r="D11" s="20"/>
      <c r="E11" s="20"/>
      <c r="F11" s="20"/>
      <c r="G11" s="20"/>
      <c r="H11" s="20"/>
      <c r="I11" s="21"/>
    </row>
    <row r="12" spans="3:9" x14ac:dyDescent="0.4">
      <c r="C12" s="14" t="s">
        <v>12</v>
      </c>
      <c r="D12" s="15"/>
      <c r="E12" s="15"/>
      <c r="F12" s="15"/>
      <c r="G12" s="15"/>
      <c r="H12" s="15"/>
      <c r="I12" s="16"/>
    </row>
    <row r="13" spans="3:9" x14ac:dyDescent="0.4">
      <c r="C13" s="14" t="s">
        <v>13</v>
      </c>
      <c r="D13" s="15"/>
      <c r="E13" s="15"/>
      <c r="F13" s="15"/>
      <c r="G13" s="15"/>
      <c r="H13" s="15"/>
      <c r="I13" s="16"/>
    </row>
    <row r="14" spans="3:9" x14ac:dyDescent="0.4">
      <c r="C14" s="14" t="s">
        <v>14</v>
      </c>
      <c r="D14" s="245"/>
      <c r="E14" s="245"/>
      <c r="F14" s="15"/>
      <c r="G14" s="15"/>
      <c r="H14" s="15"/>
      <c r="I14" s="16"/>
    </row>
    <row r="15" spans="3:9" ht="4.95" customHeight="1" x14ac:dyDescent="0.4"/>
    <row r="16" spans="3:9" s="2" customFormat="1" ht="22.2" customHeight="1" x14ac:dyDescent="0.3">
      <c r="C16" s="17" t="s">
        <v>1</v>
      </c>
      <c r="D16" s="13">
        <v>2026</v>
      </c>
      <c r="G16" s="17" t="s">
        <v>2</v>
      </c>
      <c r="H16" s="13">
        <v>1</v>
      </c>
      <c r="I16" s="159"/>
    </row>
    <row r="17" spans="3:10" ht="4.95" customHeight="1" x14ac:dyDescent="0.4"/>
    <row r="18" spans="3:10" s="2" customFormat="1" ht="22.2" customHeight="1" x14ac:dyDescent="0.3">
      <c r="C18" s="10" t="s">
        <v>15</v>
      </c>
    </row>
    <row r="19" spans="3:10" ht="4.95" customHeight="1" x14ac:dyDescent="0.4"/>
    <row r="20" spans="3:10" s="2" customFormat="1" ht="24" customHeight="1" x14ac:dyDescent="0.3">
      <c r="C20" s="17" t="s">
        <v>3</v>
      </c>
      <c r="D20" s="246"/>
      <c r="E20" s="246"/>
      <c r="F20" s="246"/>
      <c r="G20" s="246"/>
      <c r="H20" s="246"/>
      <c r="I20" s="247"/>
    </row>
    <row r="21" spans="3:10" s="2" customFormat="1" ht="24" customHeight="1" x14ac:dyDescent="0.3">
      <c r="C21" s="17" t="s">
        <v>4</v>
      </c>
      <c r="D21" s="246"/>
      <c r="E21" s="246"/>
      <c r="F21" s="246"/>
      <c r="G21" s="246"/>
      <c r="H21" s="246"/>
      <c r="I21" s="247"/>
      <c r="J21" s="236"/>
    </row>
    <row r="22" spans="3:10" s="2" customFormat="1" ht="24" customHeight="1" x14ac:dyDescent="0.3">
      <c r="C22" s="17" t="s">
        <v>5</v>
      </c>
      <c r="D22" s="246"/>
      <c r="E22" s="246"/>
      <c r="F22" s="246"/>
      <c r="G22" s="246"/>
      <c r="H22" s="246"/>
      <c r="I22" s="247"/>
    </row>
    <row r="23" spans="3:10" ht="24" customHeight="1" x14ac:dyDescent="0.4">
      <c r="C23" s="17" t="s">
        <v>6</v>
      </c>
      <c r="D23" s="243"/>
      <c r="E23" s="243"/>
      <c r="F23" s="243"/>
      <c r="G23" s="243"/>
      <c r="H23" s="243"/>
      <c r="I23" s="244"/>
    </row>
    <row r="24" spans="3:10" ht="24" customHeight="1" x14ac:dyDescent="0.4">
      <c r="C24" s="14" t="s">
        <v>16</v>
      </c>
      <c r="D24" s="243"/>
      <c r="E24" s="243"/>
      <c r="F24" s="243"/>
      <c r="G24" s="243"/>
      <c r="H24" s="243"/>
      <c r="I24" s="244"/>
    </row>
    <row r="25" spans="3:10" ht="24" customHeight="1" x14ac:dyDescent="0.4">
      <c r="C25" s="14" t="s">
        <v>17</v>
      </c>
      <c r="D25" s="243"/>
      <c r="E25" s="243"/>
      <c r="F25" s="243"/>
      <c r="G25" s="243"/>
      <c r="H25" s="243"/>
      <c r="I25" s="244"/>
    </row>
    <row r="26" spans="3:10" ht="24" customHeight="1" x14ac:dyDescent="0.4">
      <c r="C26" s="14" t="s">
        <v>309</v>
      </c>
      <c r="D26" s="243"/>
      <c r="E26" s="243"/>
      <c r="F26" s="243"/>
      <c r="G26" s="243"/>
      <c r="H26" s="243"/>
      <c r="I26" s="244"/>
    </row>
    <row r="27" spans="3:10" ht="4.95" customHeight="1" x14ac:dyDescent="0.4"/>
    <row r="28" spans="3:10" ht="22.5" customHeight="1" x14ac:dyDescent="0.4">
      <c r="C28" s="160" t="s">
        <v>259</v>
      </c>
      <c r="G28" s="160" t="s">
        <v>171</v>
      </c>
    </row>
    <row r="29" spans="3:10" ht="22.5" customHeight="1" x14ac:dyDescent="0.4">
      <c r="C29" s="161"/>
      <c r="D29" s="195"/>
      <c r="G29" s="9"/>
      <c r="H29" s="195" t="s">
        <v>308</v>
      </c>
    </row>
    <row r="30" spans="3:10" ht="22.5" customHeight="1" x14ac:dyDescent="0.4">
      <c r="C30" s="9"/>
      <c r="D30" s="195"/>
      <c r="G30" s="9"/>
      <c r="H30" s="195" t="s">
        <v>308</v>
      </c>
    </row>
    <row r="31" spans="3:10" ht="22.5" customHeight="1" x14ac:dyDescent="0.4">
      <c r="C31" s="9"/>
      <c r="D31" s="195"/>
      <c r="G31" s="161"/>
      <c r="H31" s="195" t="s">
        <v>308</v>
      </c>
    </row>
    <row r="32" spans="3:10" ht="22.5" customHeight="1" x14ac:dyDescent="0.4">
      <c r="C32" s="9"/>
      <c r="D32" s="195"/>
      <c r="G32" s="9"/>
      <c r="H32" s="195" t="s">
        <v>308</v>
      </c>
    </row>
    <row r="33" spans="3:8" ht="22.5" customHeight="1" x14ac:dyDescent="0.4">
      <c r="C33" s="9"/>
      <c r="D33" s="195"/>
      <c r="G33" s="161"/>
      <c r="H33" s="195" t="s">
        <v>308</v>
      </c>
    </row>
    <row r="34" spans="3:8" ht="4.95" customHeight="1" x14ac:dyDescent="0.4">
      <c r="D34" s="195" t="s">
        <v>308</v>
      </c>
      <c r="H34" s="195" t="s">
        <v>308</v>
      </c>
    </row>
    <row r="35" spans="3:8" ht="22.5" customHeight="1" x14ac:dyDescent="0.4">
      <c r="C35" s="160" t="s">
        <v>260</v>
      </c>
      <c r="D35" s="195" t="s">
        <v>308</v>
      </c>
      <c r="G35" s="160" t="s">
        <v>172</v>
      </c>
      <c r="H35" s="195" t="s">
        <v>308</v>
      </c>
    </row>
    <row r="36" spans="3:8" ht="22.5" customHeight="1" x14ac:dyDescent="0.4">
      <c r="C36" s="161"/>
      <c r="D36" s="195"/>
      <c r="G36" s="9"/>
      <c r="H36" s="195"/>
    </row>
    <row r="37" spans="3:8" ht="22.5" customHeight="1" x14ac:dyDescent="0.4">
      <c r="C37" s="9"/>
      <c r="D37" s="195"/>
      <c r="G37" s="161"/>
      <c r="H37" s="195"/>
    </row>
    <row r="38" spans="3:8" ht="22.5" customHeight="1" x14ac:dyDescent="0.4">
      <c r="C38" s="9"/>
      <c r="D38" s="195"/>
      <c r="G38" s="9"/>
      <c r="H38" s="195"/>
    </row>
    <row r="39" spans="3:8" ht="22.5" customHeight="1" x14ac:dyDescent="0.4">
      <c r="C39" s="9"/>
      <c r="D39" s="195"/>
      <c r="G39" s="161"/>
      <c r="H39" s="195"/>
    </row>
    <row r="40" spans="3:8" ht="22.5" customHeight="1" x14ac:dyDescent="0.4">
      <c r="C40" s="9"/>
      <c r="D40" s="195"/>
      <c r="G40" s="9"/>
      <c r="H40" s="195"/>
    </row>
  </sheetData>
  <mergeCells count="8">
    <mergeCell ref="D26:I26"/>
    <mergeCell ref="D25:I25"/>
    <mergeCell ref="D14:E14"/>
    <mergeCell ref="D23:I23"/>
    <mergeCell ref="D20:I20"/>
    <mergeCell ref="D21:I21"/>
    <mergeCell ref="D22:I22"/>
    <mergeCell ref="D24:I24"/>
  </mergeCells>
  <dataValidations count="2">
    <dataValidation type="list" allowBlank="1" showInputMessage="1" showErrorMessage="1" sqref="H16" xr:uid="{406E641D-C1DA-4095-9BE6-E500873F63B1}">
      <formula1>params_qtda_anos</formula1>
    </dataValidation>
    <dataValidation type="list" allowBlank="1" showInputMessage="1" showErrorMessage="1" sqref="D16" xr:uid="{BD33FC8F-E0FE-4AC8-9B62-9999B28532C1}">
      <formula1>params_ano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EBF4-05C5-402B-BA12-6DD9BD5DC3A1}">
  <dimension ref="C1:E11"/>
  <sheetViews>
    <sheetView zoomScale="107" zoomScaleNormal="107" workbookViewId="0">
      <selection activeCell="C6" sqref="C6:C11"/>
    </sheetView>
  </sheetViews>
  <sheetFormatPr defaultRowHeight="13.2" x14ac:dyDescent="0.4"/>
  <cols>
    <col min="1" max="2" width="2.21875" style="7" customWidth="1"/>
    <col min="3" max="3" width="21.77734375" style="7" customWidth="1"/>
    <col min="4" max="7" width="8.88671875" style="7"/>
    <col min="8" max="8" width="13.44140625" style="7" customWidth="1"/>
    <col min="9" max="16384" width="8.88671875" style="7"/>
  </cols>
  <sheetData>
    <row r="1" spans="3:5" s="3" customFormat="1" ht="27.6" customHeight="1" x14ac:dyDescent="0.4">
      <c r="E1" s="4"/>
    </row>
    <row r="2" spans="3:5" s="5" customFormat="1" ht="21.6" customHeight="1" x14ac:dyDescent="0.4"/>
    <row r="5" spans="3:5" s="2" customFormat="1" ht="22.2" customHeight="1" x14ac:dyDescent="0.3">
      <c r="C5" s="8" t="s">
        <v>20</v>
      </c>
    </row>
    <row r="6" spans="3:5" x14ac:dyDescent="0.4">
      <c r="C6" s="9" t="s">
        <v>21</v>
      </c>
    </row>
    <row r="7" spans="3:5" x14ac:dyDescent="0.4">
      <c r="C7" s="9" t="s">
        <v>22</v>
      </c>
    </row>
    <row r="8" spans="3:5" x14ac:dyDescent="0.4">
      <c r="C8" s="9" t="s">
        <v>23</v>
      </c>
    </row>
    <row r="9" spans="3:5" x14ac:dyDescent="0.4">
      <c r="C9" s="9" t="s">
        <v>24</v>
      </c>
    </row>
    <row r="10" spans="3:5" x14ac:dyDescent="0.4">
      <c r="C10" s="9" t="s">
        <v>25</v>
      </c>
    </row>
    <row r="11" spans="3:5" x14ac:dyDescent="0.4">
      <c r="C11" s="9" t="s">
        <v>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268F-B7B1-4437-BBB7-51CD976C16B7}">
  <dimension ref="C1:E11"/>
  <sheetViews>
    <sheetView zoomScale="107" zoomScaleNormal="107" workbookViewId="0">
      <selection activeCell="D6" sqref="D6:D12"/>
    </sheetView>
  </sheetViews>
  <sheetFormatPr defaultRowHeight="13.2" x14ac:dyDescent="0.4"/>
  <cols>
    <col min="1" max="2" width="2.21875" style="7" customWidth="1"/>
    <col min="3" max="3" width="21.77734375" style="7" customWidth="1"/>
    <col min="4" max="4" width="26.77734375" style="7" customWidth="1"/>
    <col min="5" max="7" width="8.88671875" style="7"/>
    <col min="8" max="8" width="13.44140625" style="7" customWidth="1"/>
    <col min="9" max="16384" width="8.88671875" style="7"/>
  </cols>
  <sheetData>
    <row r="1" spans="3:5" s="3" customFormat="1" ht="28.5" customHeight="1" x14ac:dyDescent="0.4">
      <c r="E1" s="4"/>
    </row>
    <row r="2" spans="3:5" s="5" customFormat="1" ht="21.6" customHeight="1" x14ac:dyDescent="0.4"/>
    <row r="5" spans="3:5" s="2" customFormat="1" ht="22.2" customHeight="1" x14ac:dyDescent="0.3">
      <c r="C5" s="8" t="s">
        <v>20</v>
      </c>
      <c r="D5" s="8" t="s">
        <v>27</v>
      </c>
    </row>
    <row r="6" spans="3:5" x14ac:dyDescent="0.4">
      <c r="C6" s="9" t="s">
        <v>21</v>
      </c>
      <c r="D6" s="9" t="s">
        <v>312</v>
      </c>
    </row>
    <row r="7" spans="3:5" x14ac:dyDescent="0.4">
      <c r="C7" s="9" t="s">
        <v>22</v>
      </c>
      <c r="D7" s="9" t="s">
        <v>311</v>
      </c>
    </row>
    <row r="8" spans="3:5" x14ac:dyDescent="0.4">
      <c r="C8" s="9" t="s">
        <v>23</v>
      </c>
      <c r="D8" s="9"/>
    </row>
    <row r="9" spans="3:5" x14ac:dyDescent="0.4">
      <c r="C9" s="9" t="s">
        <v>24</v>
      </c>
      <c r="D9" s="9"/>
    </row>
    <row r="10" spans="3:5" x14ac:dyDescent="0.4">
      <c r="C10" s="9" t="s">
        <v>25</v>
      </c>
      <c r="D10" s="9"/>
    </row>
    <row r="11" spans="3:5" x14ac:dyDescent="0.4">
      <c r="C11" s="9" t="s">
        <v>26</v>
      </c>
      <c r="D11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B997-8B03-420D-89EE-4EC3F57DCE3A}">
  <dimension ref="C1:I25"/>
  <sheetViews>
    <sheetView showGridLines="0" zoomScale="107" zoomScaleNormal="107" workbookViewId="0">
      <selection activeCell="C9" sqref="C9"/>
    </sheetView>
  </sheetViews>
  <sheetFormatPr defaultRowHeight="13.2" x14ac:dyDescent="0.4"/>
  <cols>
    <col min="1" max="2" width="2.21875" style="7" customWidth="1"/>
    <col min="3" max="3" width="15.44140625" style="7" customWidth="1"/>
    <col min="4" max="5" width="31" style="7" customWidth="1"/>
    <col min="6" max="6" width="0.77734375" style="7" customWidth="1"/>
    <col min="7" max="7" width="15.44140625" style="7" customWidth="1"/>
    <col min="8" max="9" width="31" style="7" customWidth="1"/>
    <col min="10" max="16384" width="8.88671875" style="7"/>
  </cols>
  <sheetData>
    <row r="1" spans="3:9" s="3" customFormat="1" ht="29.4" customHeight="1" x14ac:dyDescent="0.4">
      <c r="E1" s="4"/>
    </row>
    <row r="2" spans="3:9" s="5" customFormat="1" ht="21.6" customHeight="1" x14ac:dyDescent="0.4"/>
    <row r="3" spans="3:9" ht="4.95" customHeight="1" thickBot="1" x14ac:dyDescent="0.45"/>
    <row r="4" spans="3:9" ht="22.2" customHeight="1" thickBot="1" x14ac:dyDescent="0.45">
      <c r="C4" s="241" t="s">
        <v>29</v>
      </c>
      <c r="D4" s="30" t="s">
        <v>30</v>
      </c>
      <c r="E4" s="31"/>
      <c r="G4" s="241" t="s">
        <v>29</v>
      </c>
      <c r="H4" s="30" t="s">
        <v>37</v>
      </c>
      <c r="I4" s="31"/>
    </row>
    <row r="5" spans="3:9" ht="22.2" customHeight="1" x14ac:dyDescent="0.4">
      <c r="C5" s="242"/>
      <c r="D5" s="22" t="s">
        <v>31</v>
      </c>
      <c r="E5" s="32" t="s">
        <v>32</v>
      </c>
      <c r="G5" s="242"/>
      <c r="H5" s="22" t="s">
        <v>31</v>
      </c>
      <c r="I5" s="32" t="s">
        <v>32</v>
      </c>
    </row>
    <row r="6" spans="3:9" ht="22.2" customHeight="1" x14ac:dyDescent="0.4">
      <c r="C6" s="23" t="s">
        <v>39</v>
      </c>
      <c r="D6" s="18" t="s">
        <v>310</v>
      </c>
      <c r="E6" s="24" t="s">
        <v>313</v>
      </c>
      <c r="G6" s="23" t="s">
        <v>39</v>
      </c>
      <c r="H6" s="18" t="s">
        <v>315</v>
      </c>
      <c r="I6" s="26" t="s">
        <v>313</v>
      </c>
    </row>
    <row r="7" spans="3:9" ht="22.2" customHeight="1" x14ac:dyDescent="0.4">
      <c r="C7" s="25" t="s">
        <v>39</v>
      </c>
      <c r="D7" s="18" t="s">
        <v>314</v>
      </c>
      <c r="E7" s="26" t="s">
        <v>313</v>
      </c>
      <c r="G7" s="25" t="s">
        <v>39</v>
      </c>
      <c r="H7" s="18" t="s">
        <v>316</v>
      </c>
      <c r="I7" s="26" t="s">
        <v>313</v>
      </c>
    </row>
    <row r="8" spans="3:9" ht="22.2" customHeight="1" x14ac:dyDescent="0.4">
      <c r="C8" s="25"/>
      <c r="D8" s="18"/>
      <c r="E8" s="26"/>
      <c r="G8" s="25" t="s">
        <v>39</v>
      </c>
      <c r="H8" s="18" t="s">
        <v>318</v>
      </c>
      <c r="I8" s="26" t="s">
        <v>313</v>
      </c>
    </row>
    <row r="9" spans="3:9" ht="22.2" customHeight="1" x14ac:dyDescent="0.4">
      <c r="C9" s="25"/>
      <c r="D9" s="18"/>
      <c r="E9" s="26"/>
      <c r="G9" s="25" t="s">
        <v>39</v>
      </c>
      <c r="H9" s="18" t="s">
        <v>319</v>
      </c>
      <c r="I9" s="26" t="s">
        <v>313</v>
      </c>
    </row>
    <row r="10" spans="3:9" ht="22.2" customHeight="1" x14ac:dyDescent="0.4">
      <c r="C10" s="25"/>
      <c r="D10" s="18"/>
      <c r="E10" s="26"/>
      <c r="G10" s="25"/>
      <c r="H10" s="18"/>
      <c r="I10" s="26"/>
    </row>
    <row r="11" spans="3:9" ht="22.2" customHeight="1" x14ac:dyDescent="0.4">
      <c r="C11" s="25"/>
      <c r="D11" s="18"/>
      <c r="E11" s="26"/>
      <c r="G11" s="25"/>
      <c r="H11" s="18"/>
      <c r="I11" s="26"/>
    </row>
    <row r="12" spans="3:9" ht="22.2" customHeight="1" x14ac:dyDescent="0.4">
      <c r="C12" s="25"/>
      <c r="D12" s="18"/>
      <c r="E12" s="26"/>
      <c r="G12" s="25"/>
      <c r="H12" s="18"/>
      <c r="I12" s="26"/>
    </row>
    <row r="13" spans="3:9" ht="22.2" customHeight="1" thickBot="1" x14ac:dyDescent="0.45">
      <c r="C13" s="27"/>
      <c r="D13" s="28"/>
      <c r="E13" s="29"/>
      <c r="G13" s="27"/>
      <c r="H13" s="28"/>
      <c r="I13" s="29"/>
    </row>
    <row r="14" spans="3:9" ht="4.95" customHeight="1" thickTop="1" thickBot="1" x14ac:dyDescent="0.45"/>
    <row r="15" spans="3:9" ht="22.2" customHeight="1" thickBot="1" x14ac:dyDescent="0.45">
      <c r="C15" s="241" t="s">
        <v>29</v>
      </c>
      <c r="D15" s="30" t="s">
        <v>36</v>
      </c>
      <c r="E15" s="31"/>
      <c r="G15" s="241" t="s">
        <v>29</v>
      </c>
      <c r="H15" s="30" t="s">
        <v>35</v>
      </c>
      <c r="I15" s="31"/>
    </row>
    <row r="16" spans="3:9" ht="22.2" customHeight="1" x14ac:dyDescent="0.4">
      <c r="C16" s="242"/>
      <c r="D16" s="22" t="s">
        <v>31</v>
      </c>
      <c r="E16" s="32" t="s">
        <v>32</v>
      </c>
      <c r="G16" s="242"/>
      <c r="H16" s="22" t="s">
        <v>31</v>
      </c>
      <c r="I16" s="32" t="s">
        <v>32</v>
      </c>
    </row>
    <row r="17" spans="3:9" ht="22.2" customHeight="1" x14ac:dyDescent="0.4">
      <c r="C17" s="23" t="s">
        <v>39</v>
      </c>
      <c r="D17" s="18" t="s">
        <v>317</v>
      </c>
      <c r="E17" s="24" t="s">
        <v>313</v>
      </c>
      <c r="G17" s="23"/>
      <c r="H17" s="18"/>
      <c r="I17" s="24"/>
    </row>
    <row r="18" spans="3:9" ht="22.2" customHeight="1" x14ac:dyDescent="0.4">
      <c r="C18" s="25"/>
      <c r="D18" s="18"/>
      <c r="E18" s="24"/>
      <c r="G18" s="25"/>
      <c r="H18" s="18"/>
      <c r="I18" s="26"/>
    </row>
    <row r="19" spans="3:9" ht="22.2" customHeight="1" x14ac:dyDescent="0.4">
      <c r="C19" s="25"/>
      <c r="D19" s="18"/>
      <c r="E19" s="24"/>
      <c r="G19" s="25"/>
      <c r="H19" s="18"/>
      <c r="I19" s="26"/>
    </row>
    <row r="20" spans="3:9" ht="22.2" customHeight="1" x14ac:dyDescent="0.4">
      <c r="C20" s="25"/>
      <c r="D20" s="18"/>
      <c r="E20" s="26"/>
      <c r="G20" s="25"/>
      <c r="H20" s="18"/>
      <c r="I20" s="26"/>
    </row>
    <row r="21" spans="3:9" ht="22.2" customHeight="1" x14ac:dyDescent="0.4">
      <c r="C21" s="25"/>
      <c r="D21" s="18"/>
      <c r="E21" s="26"/>
      <c r="G21" s="25"/>
      <c r="H21" s="18"/>
      <c r="I21" s="26"/>
    </row>
    <row r="22" spans="3:9" ht="22.2" customHeight="1" x14ac:dyDescent="0.4">
      <c r="C22" s="25"/>
      <c r="D22" s="18"/>
      <c r="E22" s="26"/>
      <c r="G22" s="25"/>
      <c r="H22" s="18"/>
      <c r="I22" s="26"/>
    </row>
    <row r="23" spans="3:9" ht="22.2" customHeight="1" x14ac:dyDescent="0.4">
      <c r="C23" s="25"/>
      <c r="D23" s="18"/>
      <c r="E23" s="26"/>
      <c r="G23" s="25"/>
      <c r="H23" s="18"/>
      <c r="I23" s="26"/>
    </row>
    <row r="24" spans="3:9" ht="22.2" customHeight="1" thickBot="1" x14ac:dyDescent="0.45">
      <c r="C24" s="27"/>
      <c r="D24" s="28"/>
      <c r="E24" s="29"/>
      <c r="G24" s="27"/>
      <c r="H24" s="28"/>
      <c r="I24" s="29"/>
    </row>
    <row r="25" spans="3:9" ht="13.8" thickTop="1" x14ac:dyDescent="0.4"/>
  </sheetData>
  <mergeCells count="4">
    <mergeCell ref="C4:C5"/>
    <mergeCell ref="G4:G5"/>
    <mergeCell ref="G15:G16"/>
    <mergeCell ref="C15:C16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5C3EA65-DF1C-4E87-92C3-9123FACF5EC0}">
            <xm:f>parametros!$I$3</xm:f>
            <x14:dxf>
              <font>
                <color theme="0"/>
              </font>
              <fill>
                <patternFill>
                  <bgColor rgb="FFFB3F19"/>
                </patternFill>
              </fill>
            </x14:dxf>
          </x14:cfRule>
          <x14:cfRule type="cellIs" priority="2" operator="equal" id="{0CADB6B7-8779-4929-BC37-5B3188D1E560}">
            <xm:f>parametros!$I$2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C6:C13 G6:G13 C17:C24 G17:G24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6E8E89-7E8A-4806-861D-0AD0DA8CAB60}">
          <x14:formula1>
            <xm:f>parametros!$I$2:$I$3</xm:f>
          </x14:formula1>
          <xm:sqref>C6:C13 G6:G13 G17:G24 C17:C24</xm:sqref>
        </x14:dataValidation>
        <x14:dataValidation type="list" allowBlank="1" showInputMessage="1" showErrorMessage="1" xr:uid="{CE7CD4A4-B989-4F2D-9603-4D24EF242761}">
          <x14:formula1>
            <xm:f>mg!$C$6:$C$11</xm:f>
          </x14:formula1>
          <xm:sqref>E17:E24 E6:E13 I17:I24 I6:I13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7FA2-2ABF-4394-A489-D80F2EAC2264}">
  <dimension ref="C1:E13"/>
  <sheetViews>
    <sheetView showGridLines="0" zoomScale="107" zoomScaleNormal="107" workbookViewId="0">
      <selection activeCell="C7" sqref="C7"/>
    </sheetView>
  </sheetViews>
  <sheetFormatPr defaultRowHeight="13.2" x14ac:dyDescent="0.4"/>
  <cols>
    <col min="1" max="2" width="2.21875" style="7" customWidth="1"/>
    <col min="3" max="3" width="48.88671875" style="7" customWidth="1"/>
    <col min="4" max="4" width="105.6640625" style="7" customWidth="1"/>
    <col min="5" max="7" width="8.88671875" style="7"/>
    <col min="8" max="8" width="13.44140625" style="7" customWidth="1"/>
    <col min="9" max="16384" width="8.88671875" style="7"/>
  </cols>
  <sheetData>
    <row r="1" spans="3:5" s="3" customFormat="1" ht="28.5" customHeight="1" x14ac:dyDescent="0.4">
      <c r="E1" s="4"/>
    </row>
    <row r="2" spans="3:5" s="5" customFormat="1" ht="21.6" customHeight="1" x14ac:dyDescent="0.4"/>
    <row r="5" spans="3:5" s="2" customFormat="1" ht="22.2" customHeight="1" x14ac:dyDescent="0.3">
      <c r="C5" s="8" t="s">
        <v>28</v>
      </c>
      <c r="D5" s="8" t="s">
        <v>145</v>
      </c>
    </row>
    <row r="6" spans="3:5" ht="22.2" customHeight="1" x14ac:dyDescent="0.4">
      <c r="C6" s="9" t="s">
        <v>313</v>
      </c>
      <c r="D6" s="9"/>
    </row>
    <row r="7" spans="3:5" ht="22.2" customHeight="1" x14ac:dyDescent="0.4">
      <c r="C7" s="9"/>
      <c r="D7" s="9"/>
    </row>
    <row r="8" spans="3:5" ht="22.2" customHeight="1" x14ac:dyDescent="0.4">
      <c r="C8" s="9"/>
      <c r="D8" s="9"/>
    </row>
    <row r="9" spans="3:5" ht="22.2" customHeight="1" x14ac:dyDescent="0.4">
      <c r="C9" s="9"/>
      <c r="D9" s="9"/>
    </row>
    <row r="10" spans="3:5" ht="22.2" customHeight="1" x14ac:dyDescent="0.4">
      <c r="C10" s="9"/>
      <c r="D10" s="9"/>
    </row>
    <row r="11" spans="3:5" ht="22.2" customHeight="1" x14ac:dyDescent="0.4">
      <c r="C11" s="9"/>
      <c r="D11" s="9"/>
    </row>
    <row r="13" spans="3:5" x14ac:dyDescent="0.4">
      <c r="D13" s="52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9CAE-9BEF-4F53-9BE4-70B8753797B4}">
  <dimension ref="A1:BZ104"/>
  <sheetViews>
    <sheetView showGridLines="0" zoomScale="107" zoomScaleNormal="107" workbookViewId="0">
      <selection activeCell="E8" sqref="E8"/>
    </sheetView>
  </sheetViews>
  <sheetFormatPr defaultRowHeight="13.2" x14ac:dyDescent="0.4"/>
  <cols>
    <col min="1" max="2" width="2.21875" style="104" customWidth="1"/>
    <col min="3" max="3" width="16.6640625" style="7" customWidth="1"/>
    <col min="4" max="4" width="9.77734375" style="7" customWidth="1"/>
    <col min="5" max="18" width="12.77734375" style="7" customWidth="1"/>
    <col min="19" max="19" width="1.21875" style="7" customWidth="1"/>
    <col min="20" max="33" width="12.77734375" style="7" customWidth="1"/>
    <col min="34" max="34" width="1.21875" style="7" customWidth="1"/>
    <col min="35" max="48" width="12.77734375" style="7" customWidth="1"/>
    <col min="49" max="49" width="1.21875" style="7" customWidth="1"/>
    <col min="50" max="63" width="12.77734375" style="7" customWidth="1"/>
    <col min="64" max="64" width="1.21875" style="7" customWidth="1"/>
    <col min="65" max="78" width="12.77734375" style="7" customWidth="1"/>
    <col min="79" max="16384" width="8.88671875" style="7"/>
  </cols>
  <sheetData>
    <row r="1" spans="1:78" s="3" customFormat="1" ht="27.6" customHeight="1" x14ac:dyDescent="0.4">
      <c r="E1" s="4"/>
    </row>
    <row r="2" spans="1:78" s="5" customFormat="1" ht="21.6" customHeight="1" x14ac:dyDescent="0.4"/>
    <row r="3" spans="1:78" ht="4.95" customHeight="1" x14ac:dyDescent="0.4">
      <c r="A3" s="7"/>
      <c r="B3" s="7"/>
    </row>
    <row r="4" spans="1:78" ht="22.05" customHeight="1" x14ac:dyDescent="0.4">
      <c r="C4" s="76" t="s">
        <v>41</v>
      </c>
      <c r="D4" s="162" t="s">
        <v>30</v>
      </c>
      <c r="E4" s="15"/>
      <c r="F4" s="16"/>
    </row>
    <row r="5" spans="1:78" ht="4.95" customHeight="1" x14ac:dyDescent="0.4">
      <c r="D5" s="7">
        <v>1</v>
      </c>
      <c r="Q5" s="7" t="str">
        <f>_xlfn.CONCAT(Q7,D5)</f>
        <v>Parcial1</v>
      </c>
      <c r="R5" s="7" t="str">
        <f>_xlfn.CONCAT(R7,D5)</f>
        <v>Total1</v>
      </c>
      <c r="T5" s="7">
        <v>2</v>
      </c>
      <c r="AF5" s="7" t="str">
        <f>_xlfn.CONCAT(AF7,T5)</f>
        <v>Parcial2</v>
      </c>
      <c r="AG5" s="7" t="str">
        <f>_xlfn.CONCAT(AG7,T5)</f>
        <v>Total2</v>
      </c>
      <c r="AI5" s="7">
        <v>3</v>
      </c>
      <c r="AU5" s="7" t="str">
        <f>_xlfn.CONCAT(AU7,AI5)</f>
        <v>Parcial3</v>
      </c>
      <c r="AV5" s="7" t="str">
        <f>_xlfn.CONCAT(AV7,AI5)</f>
        <v>Total3</v>
      </c>
      <c r="AX5" s="7">
        <v>4</v>
      </c>
      <c r="BJ5" s="7" t="str">
        <f>_xlfn.CONCAT(BJ7,AX5)</f>
        <v>Parcial4</v>
      </c>
      <c r="BK5" s="7" t="str">
        <f>_xlfn.CONCAT(BK7,AX5)</f>
        <v>Total4</v>
      </c>
      <c r="BM5" s="7">
        <v>5</v>
      </c>
      <c r="BY5" s="7" t="str">
        <f>_xlfn.CONCAT(BY7,BM5)</f>
        <v>Parcial5</v>
      </c>
      <c r="BZ5" s="7" t="str">
        <f>_xlfn.CONCAT(BZ7,BM5)</f>
        <v>Total5</v>
      </c>
    </row>
    <row r="6" spans="1:78" ht="22.05" customHeight="1" x14ac:dyDescent="0.55000000000000004">
      <c r="D6" s="39" t="s">
        <v>64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T6" s="39" t="s">
        <v>72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I6" s="39" t="s">
        <v>73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X6" s="39" t="s">
        <v>74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M6" s="39" t="s">
        <v>75</v>
      </c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</row>
    <row r="7" spans="1:78" ht="22.05" customHeight="1" thickBot="1" x14ac:dyDescent="0.45">
      <c r="B7" s="104">
        <f>1</f>
        <v>1</v>
      </c>
      <c r="C7" s="33" t="s">
        <v>42</v>
      </c>
      <c r="D7" s="41" t="s">
        <v>46</v>
      </c>
      <c r="E7" s="34" t="s">
        <v>47</v>
      </c>
      <c r="F7" s="34" t="s">
        <v>48</v>
      </c>
      <c r="G7" s="34" t="s">
        <v>49</v>
      </c>
      <c r="H7" s="34" t="s">
        <v>50</v>
      </c>
      <c r="I7" s="34" t="s">
        <v>51</v>
      </c>
      <c r="J7" s="34" t="s">
        <v>52</v>
      </c>
      <c r="K7" s="34" t="s">
        <v>53</v>
      </c>
      <c r="L7" s="34" t="s">
        <v>54</v>
      </c>
      <c r="M7" s="34" t="s">
        <v>55</v>
      </c>
      <c r="N7" s="34" t="s">
        <v>56</v>
      </c>
      <c r="O7" s="34" t="s">
        <v>57</v>
      </c>
      <c r="P7" s="34" t="s">
        <v>58</v>
      </c>
      <c r="Q7" s="34" t="s">
        <v>59</v>
      </c>
      <c r="R7" s="35" t="s">
        <v>60</v>
      </c>
      <c r="T7" s="34" t="s">
        <v>47</v>
      </c>
      <c r="U7" s="34" t="s">
        <v>48</v>
      </c>
      <c r="V7" s="34" t="s">
        <v>49</v>
      </c>
      <c r="W7" s="34" t="s">
        <v>50</v>
      </c>
      <c r="X7" s="34" t="s">
        <v>51</v>
      </c>
      <c r="Y7" s="34" t="s">
        <v>52</v>
      </c>
      <c r="Z7" s="34" t="s">
        <v>53</v>
      </c>
      <c r="AA7" s="34" t="s">
        <v>54</v>
      </c>
      <c r="AB7" s="34" t="s">
        <v>55</v>
      </c>
      <c r="AC7" s="34" t="s">
        <v>56</v>
      </c>
      <c r="AD7" s="34" t="s">
        <v>57</v>
      </c>
      <c r="AE7" s="34" t="s">
        <v>58</v>
      </c>
      <c r="AF7" s="34" t="s">
        <v>59</v>
      </c>
      <c r="AG7" s="35" t="s">
        <v>60</v>
      </c>
      <c r="AI7" s="34" t="s">
        <v>47</v>
      </c>
      <c r="AJ7" s="34" t="s">
        <v>48</v>
      </c>
      <c r="AK7" s="34" t="s">
        <v>49</v>
      </c>
      <c r="AL7" s="34" t="s">
        <v>50</v>
      </c>
      <c r="AM7" s="34" t="s">
        <v>51</v>
      </c>
      <c r="AN7" s="34" t="s">
        <v>52</v>
      </c>
      <c r="AO7" s="34" t="s">
        <v>53</v>
      </c>
      <c r="AP7" s="34" t="s">
        <v>54</v>
      </c>
      <c r="AQ7" s="34" t="s">
        <v>55</v>
      </c>
      <c r="AR7" s="34" t="s">
        <v>56</v>
      </c>
      <c r="AS7" s="34" t="s">
        <v>57</v>
      </c>
      <c r="AT7" s="34" t="s">
        <v>58</v>
      </c>
      <c r="AU7" s="34" t="s">
        <v>59</v>
      </c>
      <c r="AV7" s="35" t="s">
        <v>60</v>
      </c>
      <c r="AX7" s="34" t="s">
        <v>47</v>
      </c>
      <c r="AY7" s="34" t="s">
        <v>48</v>
      </c>
      <c r="AZ7" s="34" t="s">
        <v>49</v>
      </c>
      <c r="BA7" s="34" t="s">
        <v>50</v>
      </c>
      <c r="BB7" s="34" t="s">
        <v>51</v>
      </c>
      <c r="BC7" s="34" t="s">
        <v>52</v>
      </c>
      <c r="BD7" s="34" t="s">
        <v>53</v>
      </c>
      <c r="BE7" s="34" t="s">
        <v>54</v>
      </c>
      <c r="BF7" s="34" t="s">
        <v>55</v>
      </c>
      <c r="BG7" s="34" t="s">
        <v>56</v>
      </c>
      <c r="BH7" s="34" t="s">
        <v>57</v>
      </c>
      <c r="BI7" s="34" t="s">
        <v>58</v>
      </c>
      <c r="BJ7" s="34" t="s">
        <v>59</v>
      </c>
      <c r="BK7" s="35" t="s">
        <v>60</v>
      </c>
      <c r="BM7" s="34" t="s">
        <v>47</v>
      </c>
      <c r="BN7" s="34" t="s">
        <v>48</v>
      </c>
      <c r="BO7" s="34" t="s">
        <v>49</v>
      </c>
      <c r="BP7" s="34" t="s">
        <v>50</v>
      </c>
      <c r="BQ7" s="34" t="s">
        <v>51</v>
      </c>
      <c r="BR7" s="34" t="s">
        <v>52</v>
      </c>
      <c r="BS7" s="34" t="s">
        <v>53</v>
      </c>
      <c r="BT7" s="34" t="s">
        <v>54</v>
      </c>
      <c r="BU7" s="34" t="s">
        <v>55</v>
      </c>
      <c r="BV7" s="34" t="s">
        <v>56</v>
      </c>
      <c r="BW7" s="34" t="s">
        <v>57</v>
      </c>
      <c r="BX7" s="34" t="s">
        <v>58</v>
      </c>
      <c r="BY7" s="34" t="s">
        <v>59</v>
      </c>
      <c r="BZ7" s="35" t="s">
        <v>60</v>
      </c>
    </row>
    <row r="8" spans="1:78" ht="22.05" customHeight="1" thickBot="1" x14ac:dyDescent="0.45">
      <c r="A8" s="104" t="str">
        <f>_xlfn.CONCAT(D8,B7)</f>
        <v>Planejado1</v>
      </c>
      <c r="C8" s="248" t="str">
        <f>C59</f>
        <v>Aumentar: Faturamento</v>
      </c>
      <c r="D8" s="42" t="s">
        <v>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5">
        <f>SUMIF(E86:P86,"=1",E8:P8)</f>
        <v>0</v>
      </c>
      <c r="R8" s="46">
        <f>SUM(E8:P8)</f>
        <v>0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45">
        <f>SUMIF(T86:AE86,"=1",T8:AE8)</f>
        <v>0</v>
      </c>
      <c r="AG8" s="46">
        <f>SUM(T8:AE8)</f>
        <v>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4"/>
      <c r="AU8" s="45">
        <f>SUMIF(AI86:AT86,"=1",AI8:AT8)</f>
        <v>0</v>
      </c>
      <c r="AV8" s="46">
        <f>SUM(AI8:AT8)</f>
        <v>0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4"/>
      <c r="BJ8" s="45">
        <f>SUMIF(AX86:BI86,"=1",AX8:BI8)</f>
        <v>0</v>
      </c>
      <c r="BK8" s="46">
        <f>SUM(AX8:BI8)</f>
        <v>0</v>
      </c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5">
        <f>SUMIF(BM86:BX86,"=1",BM8:BX8)</f>
        <v>0</v>
      </c>
      <c r="BZ8" s="46">
        <f>SUM(BM8:BX8)</f>
        <v>0</v>
      </c>
    </row>
    <row r="9" spans="1:78" ht="22.05" customHeight="1" thickBot="1" x14ac:dyDescent="0.45">
      <c r="A9" s="104" t="str">
        <f>_xlfn.CONCAT(D9,B7)</f>
        <v>Realizado1</v>
      </c>
      <c r="C9" s="249"/>
      <c r="D9" s="47" t="s">
        <v>62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5">
        <f>SUMIF(E86:P86,"=1",E9:P9)</f>
        <v>0</v>
      </c>
      <c r="R9" s="46">
        <f>SUM(E9:P9)</f>
        <v>0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9"/>
      <c r="AF9" s="45">
        <f>SUMIF(T86:AE86,"=1",T9:AE9)</f>
        <v>0</v>
      </c>
      <c r="AG9" s="46">
        <f>SUM(T9:AE9)</f>
        <v>0</v>
      </c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9"/>
      <c r="AU9" s="45">
        <f>SUMIF(AI86:AT86,"=1",AI9:AT9)</f>
        <v>0</v>
      </c>
      <c r="AV9" s="46">
        <f>SUM(AI9:AT9)</f>
        <v>0</v>
      </c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9"/>
      <c r="BJ9" s="45">
        <f>SUMIF(AX86:BI86,"=1",AX9:BI9)</f>
        <v>0</v>
      </c>
      <c r="BK9" s="46">
        <f>SUM(AX9:BI9)</f>
        <v>0</v>
      </c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9"/>
      <c r="BY9" s="45">
        <f>SUMIF(BM86:BX86,"=1",BM9:BX9)</f>
        <v>0</v>
      </c>
      <c r="BZ9" s="46">
        <f>SUM(BM9:BX9)</f>
        <v>0</v>
      </c>
    </row>
    <row r="10" spans="1:78" ht="22.05" customHeight="1" thickBot="1" x14ac:dyDescent="0.45">
      <c r="C10" s="249"/>
      <c r="D10" s="50" t="s">
        <v>63</v>
      </c>
      <c r="E10" s="51" t="str">
        <f>IF(OR(ISERR(E9/E8-1),E9=""),"",IF($A59=parametros!$I$3,E8/E9-1,E9/E8-1))</f>
        <v/>
      </c>
      <c r="F10" s="51" t="str">
        <f>IF(OR(ISERR(F9/F8-1),F9=""),"",IF($A59=parametros!$I$3,F8/F9-1,F9/F8-1))</f>
        <v/>
      </c>
      <c r="G10" s="51" t="str">
        <f>IF(OR(ISERR(G9/G8-1),G9=""),"",IF($A59=parametros!$I$3,G8/G9-1,G9/G8-1))</f>
        <v/>
      </c>
      <c r="H10" s="51" t="str">
        <f>IF(OR(ISERR(H9/H8-1),H9=""),"",IF($A59=parametros!$I$3,H8/H9-1,H9/H8-1))</f>
        <v/>
      </c>
      <c r="I10" s="51" t="str">
        <f>IF(OR(ISERR(I9/I8-1),I9=""),"",IF($A59=parametros!$I$3,I8/I9-1,I9/I8-1))</f>
        <v/>
      </c>
      <c r="J10" s="51" t="str">
        <f>IF(OR(ISERR(J9/J8-1),J9=""),"",IF($A59=parametros!$I$3,J8/J9-1,J9/J8-1))</f>
        <v/>
      </c>
      <c r="K10" s="51" t="str">
        <f>IF(OR(ISERR(K9/K8-1),K9=""),"",IF($A59=parametros!$I$3,K8/K9-1,K9/K8-1))</f>
        <v/>
      </c>
      <c r="L10" s="51" t="str">
        <f>IF(OR(ISERR(L9/L8-1),L9=""),"",IF($A59=parametros!$I$3,L8/L9-1,L9/L8-1))</f>
        <v/>
      </c>
      <c r="M10" s="51" t="str">
        <f>IF(OR(ISERR(M9/M8-1),M9=""),"",IF($A59=parametros!$I$3,M8/M9-1,M9/M8-1))</f>
        <v/>
      </c>
      <c r="N10" s="51" t="str">
        <f>IF(OR(ISERR(N9/N8-1),N9=""),"",IF($A59=parametros!$I$3,N8/N9-1,N9/N8-1))</f>
        <v/>
      </c>
      <c r="O10" s="51" t="str">
        <f>IF(OR(ISERR(O9/O8-1),O9=""),"",IF($A59=parametros!$I$3,O8/O9-1,O9/O8-1))</f>
        <v/>
      </c>
      <c r="P10" s="51" t="str">
        <f>IF(OR(ISERR(P9/P8-1),P9=""),"",IF($A59=parametros!$I$3,P8/P9-1,P9/P8-1))</f>
        <v/>
      </c>
      <c r="Q10" s="51" t="str">
        <f>IF(OR(ISERR(Q9/Q8-1),Q9=""),"",IF($A59=parametros!$I$3,Q8/Q9-1,Q9/Q8-1))</f>
        <v/>
      </c>
      <c r="R10" s="51" t="str">
        <f>IF(OR(ISERR(R9/R8-1),R9=""),"",IF($A59=parametros!$I$3,R8/R9-1,R9/R8-1))</f>
        <v/>
      </c>
      <c r="T10" s="51" t="str">
        <f>IF(OR(ISERR(T9/T8-1),T9=""),"",IF($A59=parametros!$I$3,T8/T9-1,T9/T8-1))</f>
        <v/>
      </c>
      <c r="U10" s="51" t="str">
        <f>IF(OR(ISERR(U9/U8-1),U9=""),"",IF($A59=parametros!$I$3,U8/U9-1,U9/U8-1))</f>
        <v/>
      </c>
      <c r="V10" s="51" t="str">
        <f>IF(OR(ISERR(V9/V8-1),V9=""),"",IF($A59=parametros!$I$3,V8/V9-1,V9/V8-1))</f>
        <v/>
      </c>
      <c r="W10" s="51" t="str">
        <f>IF(OR(ISERR(W9/W8-1),W9=""),"",IF($A59=parametros!$I$3,W8/W9-1,W9/W8-1))</f>
        <v/>
      </c>
      <c r="X10" s="51" t="str">
        <f>IF(OR(ISERR(X9/X8-1),X9=""),"",IF($A59=parametros!$I$3,X8/X9-1,X9/X8-1))</f>
        <v/>
      </c>
      <c r="Y10" s="51" t="str">
        <f>IF(OR(ISERR(Y9/Y8-1),Y9=""),"",IF($A59=parametros!$I$3,Y8/Y9-1,Y9/Y8-1))</f>
        <v/>
      </c>
      <c r="Z10" s="51" t="str">
        <f>IF(OR(ISERR(Z9/Z8-1),Z9=""),"",IF($A59=parametros!$I$3,Z8/Z9-1,Z9/Z8-1))</f>
        <v/>
      </c>
      <c r="AA10" s="51" t="str">
        <f>IF(OR(ISERR(AA9/AA8-1),AA9=""),"",IF($A59=parametros!$I$3,AA8/AA9-1,AA9/AA8-1))</f>
        <v/>
      </c>
      <c r="AB10" s="51" t="str">
        <f>IF(OR(ISERR(AB9/AB8-1),AB9=""),"",IF($A59=parametros!$I$3,AB8/AB9-1,AB9/AB8-1))</f>
        <v/>
      </c>
      <c r="AC10" s="51" t="str">
        <f>IF(OR(ISERR(AC9/AC8-1),AC9=""),"",IF($A59=parametros!$I$3,AC8/AC9-1,AC9/AC8-1))</f>
        <v/>
      </c>
      <c r="AD10" s="51" t="str">
        <f>IF(OR(ISERR(AD9/AD8-1),AD9=""),"",IF($A59=parametros!$I$3,AD8/AD9-1,AD9/AD8-1))</f>
        <v/>
      </c>
      <c r="AE10" s="51" t="str">
        <f>IF(OR(ISERR(AE9/AE8-1),AE9=""),"",IF($A59=parametros!$I$3,AE8/AE9-1,AE9/AE8-1))</f>
        <v/>
      </c>
      <c r="AF10" s="51" t="str">
        <f>IF(OR(ISERR(AF9/AF8-1),AF9=""),"",IF($A59=parametros!$I$3,AF8/AF9-1,AF9/AF8-1))</f>
        <v/>
      </c>
      <c r="AG10" s="51" t="str">
        <f>IF(OR(ISERR(AG9/AG8-1),AG9=""),"",IF($A59=parametros!$I$3,AG8/AG9-1,AG9/AG8-1))</f>
        <v/>
      </c>
      <c r="AI10" s="51" t="str">
        <f>IF(OR(ISERR(AI9/AI8-1),AI9=""),"",IF($A59=parametros!$I$3,AI8/AI9-1,AI9/AI8-1))</f>
        <v/>
      </c>
      <c r="AJ10" s="51" t="str">
        <f>IF(OR(ISERR(AJ9/AJ8-1),AJ9=""),"",IF($A59=parametros!$I$3,AJ8/AJ9-1,AJ9/AJ8-1))</f>
        <v/>
      </c>
      <c r="AK10" s="51" t="str">
        <f>IF(OR(ISERR(AK9/AK8-1),AK9=""),"",IF($A59=parametros!$I$3,AK8/AK9-1,AK9/AK8-1))</f>
        <v/>
      </c>
      <c r="AL10" s="51" t="str">
        <f>IF(OR(ISERR(AL9/AL8-1),AL9=""),"",IF($A59=parametros!$I$3,AL8/AL9-1,AL9/AL8-1))</f>
        <v/>
      </c>
      <c r="AM10" s="51" t="str">
        <f>IF(OR(ISERR(AM9/AM8-1),AM9=""),"",IF($A59=parametros!$I$3,AM8/AM9-1,AM9/AM8-1))</f>
        <v/>
      </c>
      <c r="AN10" s="51" t="str">
        <f>IF(OR(ISERR(AN9/AN8-1),AN9=""),"",IF($A59=parametros!$I$3,AN8/AN9-1,AN9/AN8-1))</f>
        <v/>
      </c>
      <c r="AO10" s="51" t="str">
        <f>IF(OR(ISERR(AO9/AO8-1),AO9=""),"",IF($A59=parametros!$I$3,AO8/AO9-1,AO9/AO8-1))</f>
        <v/>
      </c>
      <c r="AP10" s="51" t="str">
        <f>IF(OR(ISERR(AP9/AP8-1),AP9=""),"",IF($A59=parametros!$I$3,AP8/AP9-1,AP9/AP8-1))</f>
        <v/>
      </c>
      <c r="AQ10" s="51" t="str">
        <f>IF(OR(ISERR(AQ9/AQ8-1),AQ9=""),"",IF($A59=parametros!$I$3,AQ8/AQ9-1,AQ9/AQ8-1))</f>
        <v/>
      </c>
      <c r="AR10" s="51" t="str">
        <f>IF(OR(ISERR(AR9/AR8-1),AR9=""),"",IF($A59=parametros!$I$3,AR8/AR9-1,AR9/AR8-1))</f>
        <v/>
      </c>
      <c r="AS10" s="51" t="str">
        <f>IF(OR(ISERR(AS9/AS8-1),AS9=""),"",IF($A59=parametros!$I$3,AS8/AS9-1,AS9/AS8-1))</f>
        <v/>
      </c>
      <c r="AT10" s="51" t="str">
        <f>IF(OR(ISERR(AT9/AT8-1),AT9=""),"",IF($A59=parametros!$I$3,AT8/AT9-1,AT9/AT8-1))</f>
        <v/>
      </c>
      <c r="AU10" s="51" t="str">
        <f>IF(OR(ISERR(AU9/AU8-1),AU9=""),"",IF($A59=parametros!$I$3,AU8/AU9-1,AU9/AU8-1))</f>
        <v/>
      </c>
      <c r="AV10" s="51" t="str">
        <f>IF(OR(ISERR(AV9/AV8-1),AV9=""),"",IF($A59=parametros!$I$3,AV8/AV9-1,AV9/AV8-1))</f>
        <v/>
      </c>
      <c r="AX10" s="51" t="str">
        <f>IF(OR(ISERR(AX9/AX8-1),AX9=""),"",IF($A59=parametros!$I$3,AX8/AX9-1,AX9/AX8-1))</f>
        <v/>
      </c>
      <c r="AY10" s="51" t="str">
        <f>IF(OR(ISERR(AY9/AY8-1),AY9=""),"",IF($A59=parametros!$I$3,AY8/AY9-1,AY9/AY8-1))</f>
        <v/>
      </c>
      <c r="AZ10" s="51" t="str">
        <f>IF(OR(ISERR(AZ9/AZ8-1),AZ9=""),"",IF($A59=parametros!$I$3,AZ8/AZ9-1,AZ9/AZ8-1))</f>
        <v/>
      </c>
      <c r="BA10" s="51" t="str">
        <f>IF(OR(ISERR(BA9/BA8-1),BA9=""),"",IF($A59=parametros!$I$3,BA8/BA9-1,BA9/BA8-1))</f>
        <v/>
      </c>
      <c r="BB10" s="51" t="str">
        <f>IF(OR(ISERR(BB9/BB8-1),BB9=""),"",IF($A59=parametros!$I$3,BB8/BB9-1,BB9/BB8-1))</f>
        <v/>
      </c>
      <c r="BC10" s="51" t="str">
        <f>IF(OR(ISERR(BC9/BC8-1),BC9=""),"",IF($A59=parametros!$I$3,BC8/BC9-1,BC9/BC8-1))</f>
        <v/>
      </c>
      <c r="BD10" s="51" t="str">
        <f>IF(OR(ISERR(BD9/BD8-1),BD9=""),"",IF($A59=parametros!$I$3,BD8/BD9-1,BD9/BD8-1))</f>
        <v/>
      </c>
      <c r="BE10" s="51" t="str">
        <f>IF(OR(ISERR(BE9/BE8-1),BE9=""),"",IF($A59=parametros!$I$3,BE8/BE9-1,BE9/BE8-1))</f>
        <v/>
      </c>
      <c r="BF10" s="51" t="str">
        <f>IF(OR(ISERR(BF9/BF8-1),BF9=""),"",IF($A59=parametros!$I$3,BF8/BF9-1,BF9/BF8-1))</f>
        <v/>
      </c>
      <c r="BG10" s="51" t="str">
        <f>IF(OR(ISERR(BG9/BG8-1),BG9=""),"",IF($A59=parametros!$I$3,BG8/BG9-1,BG9/BG8-1))</f>
        <v/>
      </c>
      <c r="BH10" s="51" t="str">
        <f>IF(OR(ISERR(BH9/BH8-1),BH9=""),"",IF($A59=parametros!$I$3,BH8/BH9-1,BH9/BH8-1))</f>
        <v/>
      </c>
      <c r="BI10" s="51" t="str">
        <f>IF(OR(ISERR(BI9/BI8-1),BI9=""),"",IF($A59=parametros!$I$3,BI8/BI9-1,BI9/BI8-1))</f>
        <v/>
      </c>
      <c r="BJ10" s="51" t="str">
        <f>IF(OR(ISERR(BJ9/BJ8-1),BJ9=""),"",IF($A59=parametros!$I$3,BJ8/BJ9-1,BJ9/BJ8-1))</f>
        <v/>
      </c>
      <c r="BK10" s="51" t="str">
        <f>IF(OR(ISERR(BK9/BK8-1),BK9=""),"",IF($A59=parametros!$I$3,BK8/BK9-1,BK9/BK8-1))</f>
        <v/>
      </c>
      <c r="BM10" s="51" t="str">
        <f>IF(OR(ISERR(BM9/BM8-1),BM9=""),"",IF($A59=parametros!$I$3,BM8/BM9-1,BM9/BM8-1))</f>
        <v/>
      </c>
      <c r="BN10" s="51" t="str">
        <f>IF(OR(ISERR(BN9/BN8-1),BN9=""),"",IF($A59=parametros!$I$3,BN8/BN9-1,BN9/BN8-1))</f>
        <v/>
      </c>
      <c r="BO10" s="51" t="str">
        <f>IF(OR(ISERR(BO9/BO8-1),BO9=""),"",IF($A59=parametros!$I$3,BO8/BO9-1,BO9/BO8-1))</f>
        <v/>
      </c>
      <c r="BP10" s="51" t="str">
        <f>IF(OR(ISERR(BP9/BP8-1),BP9=""),"",IF($A59=parametros!$I$3,BP8/BP9-1,BP9/BP8-1))</f>
        <v/>
      </c>
      <c r="BQ10" s="51" t="str">
        <f>IF(OR(ISERR(BQ9/BQ8-1),BQ9=""),"",IF($A59=parametros!$I$3,BQ8/BQ9-1,BQ9/BQ8-1))</f>
        <v/>
      </c>
      <c r="BR10" s="51" t="str">
        <f>IF(OR(ISERR(BR9/BR8-1),BR9=""),"",IF($A59=parametros!$I$3,BR8/BR9-1,BR9/BR8-1))</f>
        <v/>
      </c>
      <c r="BS10" s="51" t="str">
        <f>IF(OR(ISERR(BS9/BS8-1),BS9=""),"",IF($A59=parametros!$I$3,BS8/BS9-1,BS9/BS8-1))</f>
        <v/>
      </c>
      <c r="BT10" s="51" t="str">
        <f>IF(OR(ISERR(BT9/BT8-1),BT9=""),"",IF($A59=parametros!$I$3,BT8/BT9-1,BT9/BT8-1))</f>
        <v/>
      </c>
      <c r="BU10" s="51" t="str">
        <f>IF(OR(ISERR(BU9/BU8-1),BU9=""),"",IF($A59=parametros!$I$3,BU8/BU9-1,BU9/BU8-1))</f>
        <v/>
      </c>
      <c r="BV10" s="51" t="str">
        <f>IF(OR(ISERR(BV9/BV8-1),BV9=""),"",IF($A59=parametros!$I$3,BV8/BV9-1,BV9/BV8-1))</f>
        <v/>
      </c>
      <c r="BW10" s="51" t="str">
        <f>IF(OR(ISERR(BW9/BW8-1),BW9=""),"",IF($A59=parametros!$I$3,BW8/BW9-1,BW9/BW8-1))</f>
        <v/>
      </c>
      <c r="BX10" s="51" t="str">
        <f>IF(OR(ISERR(BX9/BX8-1),BX9=""),"",IF($A59=parametros!$I$3,BX8/BX9-1,BX9/BX8-1))</f>
        <v/>
      </c>
      <c r="BY10" s="51" t="str">
        <f>IF(OR(ISERR(BY9/BY8-1),BY9=""),"",IF($A59=parametros!$I$3,BY8/BY9-1,BY9/BY8-1))</f>
        <v/>
      </c>
      <c r="BZ10" s="51" t="str">
        <f>IF(OR(ISERR(BZ9/BZ8-1),BZ9=""),"",IF($A59=parametros!$I$3,BZ8/BZ9-1,BZ9/BZ8-1))</f>
        <v/>
      </c>
    </row>
    <row r="11" spans="1:78" ht="4.95" customHeight="1" x14ac:dyDescent="0.4"/>
    <row r="12" spans="1:78" ht="22.05" customHeight="1" thickBot="1" x14ac:dyDescent="0.45">
      <c r="B12" s="104">
        <f>2</f>
        <v>2</v>
      </c>
      <c r="C12" s="33" t="s">
        <v>65</v>
      </c>
      <c r="D12" s="41" t="s">
        <v>44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  <c r="L12" s="34" t="s">
        <v>54</v>
      </c>
      <c r="M12" s="34" t="s">
        <v>55</v>
      </c>
      <c r="N12" s="34" t="s">
        <v>56</v>
      </c>
      <c r="O12" s="34" t="s">
        <v>57</v>
      </c>
      <c r="P12" s="34" t="s">
        <v>58</v>
      </c>
      <c r="Q12" s="34" t="s">
        <v>59</v>
      </c>
      <c r="R12" s="35" t="s">
        <v>60</v>
      </c>
      <c r="T12" s="34" t="s">
        <v>47</v>
      </c>
      <c r="U12" s="34" t="s">
        <v>48</v>
      </c>
      <c r="V12" s="34" t="s">
        <v>49</v>
      </c>
      <c r="W12" s="34" t="s">
        <v>50</v>
      </c>
      <c r="X12" s="34" t="s">
        <v>51</v>
      </c>
      <c r="Y12" s="34" t="s">
        <v>52</v>
      </c>
      <c r="Z12" s="34" t="s">
        <v>53</v>
      </c>
      <c r="AA12" s="34" t="s">
        <v>54</v>
      </c>
      <c r="AB12" s="34" t="s">
        <v>55</v>
      </c>
      <c r="AC12" s="34" t="s">
        <v>56</v>
      </c>
      <c r="AD12" s="34" t="s">
        <v>57</v>
      </c>
      <c r="AE12" s="34" t="s">
        <v>58</v>
      </c>
      <c r="AF12" s="34" t="s">
        <v>59</v>
      </c>
      <c r="AG12" s="35" t="s">
        <v>60</v>
      </c>
      <c r="AI12" s="34" t="s">
        <v>47</v>
      </c>
      <c r="AJ12" s="34" t="s">
        <v>48</v>
      </c>
      <c r="AK12" s="34" t="s">
        <v>49</v>
      </c>
      <c r="AL12" s="34" t="s">
        <v>50</v>
      </c>
      <c r="AM12" s="34" t="s">
        <v>51</v>
      </c>
      <c r="AN12" s="34" t="s">
        <v>52</v>
      </c>
      <c r="AO12" s="34" t="s">
        <v>53</v>
      </c>
      <c r="AP12" s="34" t="s">
        <v>54</v>
      </c>
      <c r="AQ12" s="34" t="s">
        <v>55</v>
      </c>
      <c r="AR12" s="34" t="s">
        <v>56</v>
      </c>
      <c r="AS12" s="34" t="s">
        <v>57</v>
      </c>
      <c r="AT12" s="34" t="s">
        <v>58</v>
      </c>
      <c r="AU12" s="34" t="s">
        <v>59</v>
      </c>
      <c r="AV12" s="35" t="s">
        <v>60</v>
      </c>
      <c r="AX12" s="34" t="s">
        <v>47</v>
      </c>
      <c r="AY12" s="34" t="s">
        <v>48</v>
      </c>
      <c r="AZ12" s="34" t="s">
        <v>49</v>
      </c>
      <c r="BA12" s="34" t="s">
        <v>50</v>
      </c>
      <c r="BB12" s="34" t="s">
        <v>51</v>
      </c>
      <c r="BC12" s="34" t="s">
        <v>52</v>
      </c>
      <c r="BD12" s="34" t="s">
        <v>53</v>
      </c>
      <c r="BE12" s="34" t="s">
        <v>54</v>
      </c>
      <c r="BF12" s="34" t="s">
        <v>55</v>
      </c>
      <c r="BG12" s="34" t="s">
        <v>56</v>
      </c>
      <c r="BH12" s="34" t="s">
        <v>57</v>
      </c>
      <c r="BI12" s="34" t="s">
        <v>58</v>
      </c>
      <c r="BJ12" s="34" t="s">
        <v>59</v>
      </c>
      <c r="BK12" s="35" t="s">
        <v>60</v>
      </c>
      <c r="BM12" s="34" t="s">
        <v>47</v>
      </c>
      <c r="BN12" s="34" t="s">
        <v>48</v>
      </c>
      <c r="BO12" s="34" t="s">
        <v>49</v>
      </c>
      <c r="BP12" s="34" t="s">
        <v>50</v>
      </c>
      <c r="BQ12" s="34" t="s">
        <v>51</v>
      </c>
      <c r="BR12" s="34" t="s">
        <v>52</v>
      </c>
      <c r="BS12" s="34" t="s">
        <v>53</v>
      </c>
      <c r="BT12" s="34" t="s">
        <v>54</v>
      </c>
      <c r="BU12" s="34" t="s">
        <v>55</v>
      </c>
      <c r="BV12" s="34" t="s">
        <v>56</v>
      </c>
      <c r="BW12" s="34" t="s">
        <v>57</v>
      </c>
      <c r="BX12" s="34" t="s">
        <v>58</v>
      </c>
      <c r="BY12" s="34" t="s">
        <v>59</v>
      </c>
      <c r="BZ12" s="35" t="s">
        <v>60</v>
      </c>
    </row>
    <row r="13" spans="1:78" ht="22.05" customHeight="1" thickBot="1" x14ac:dyDescent="0.45">
      <c r="A13" s="104" t="str">
        <f>_xlfn.CONCAT(D13,B12)</f>
        <v>Planejado2</v>
      </c>
      <c r="C13" s="248" t="str">
        <f>C60</f>
        <v>Aumentar: Tiket Médio</v>
      </c>
      <c r="D13" s="37" t="s">
        <v>61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5">
        <f>SUMIF(E88:P88,"=1",E13:P13)</f>
        <v>0</v>
      </c>
      <c r="R13" s="46">
        <f>SUM(E13:P13)</f>
        <v>0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/>
      <c r="AF13" s="45">
        <f>SUMIF(T88:AE88,"=1",T13:AE13)</f>
        <v>0</v>
      </c>
      <c r="AG13" s="46">
        <f>SUM(T13:AE13)</f>
        <v>0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4"/>
      <c r="AU13" s="45">
        <f>SUMIF(AI88:AT88,"=1",AI13:AT13)</f>
        <v>0</v>
      </c>
      <c r="AV13" s="46">
        <f>SUM(AI13:AT13)</f>
        <v>0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4"/>
      <c r="BJ13" s="45">
        <f>SUMIF(AX88:BI88,"=1",AX13:BI13)</f>
        <v>0</v>
      </c>
      <c r="BK13" s="46">
        <f>SUM(AX13:BI13)</f>
        <v>0</v>
      </c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4"/>
      <c r="BY13" s="45">
        <f>SUMIF(BM88:BX88,"=1",BM13:BX13)</f>
        <v>0</v>
      </c>
      <c r="BZ13" s="46">
        <f>SUM(BM13:BX13)</f>
        <v>0</v>
      </c>
    </row>
    <row r="14" spans="1:78" ht="22.05" customHeight="1" thickBot="1" x14ac:dyDescent="0.45">
      <c r="A14" s="104" t="str">
        <f>_xlfn.CONCAT(D14,B12)</f>
        <v>Realizado2</v>
      </c>
      <c r="C14" s="249"/>
      <c r="D14" s="38" t="s">
        <v>62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5">
        <f>SUMIF(E88:P88,"=1",E14:P14)</f>
        <v>0</v>
      </c>
      <c r="R14" s="46">
        <f>SUM(E14:P14)</f>
        <v>0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5">
        <f>SUMIF(T88:AE88,"=1",T14:AE14)</f>
        <v>0</v>
      </c>
      <c r="AG14" s="46">
        <f>SUM(T14:AE14)</f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  <c r="AU14" s="45">
        <f>SUMIF(AI88:AT88,"=1",AI14:AT14)</f>
        <v>0</v>
      </c>
      <c r="AV14" s="46">
        <f>SUM(AI14:AT14)</f>
        <v>0</v>
      </c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9"/>
      <c r="BJ14" s="45">
        <f>SUMIF(AX88:BI88,"=1",AX14:BI14)</f>
        <v>0</v>
      </c>
      <c r="BK14" s="46">
        <f>SUM(AX14:BI14)</f>
        <v>0</v>
      </c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9"/>
      <c r="BY14" s="45">
        <f>SUMIF(BM88:BX88,"=1",BM14:BX14)</f>
        <v>0</v>
      </c>
      <c r="BZ14" s="46">
        <f>SUM(BM14:BX14)</f>
        <v>0</v>
      </c>
    </row>
    <row r="15" spans="1:78" ht="22.05" customHeight="1" thickBot="1" x14ac:dyDescent="0.45">
      <c r="C15" s="249"/>
      <c r="D15" s="36" t="s">
        <v>63</v>
      </c>
      <c r="E15" s="51" t="str">
        <f>IF(OR(ISERR(E14/E13-1),E14=""),"",IF($A64=parametros!$I$3,E13/E14-1,E14/E13-1))</f>
        <v/>
      </c>
      <c r="F15" s="51" t="str">
        <f>IF(OR(ISERR(F14/F13-1),F14=""),"",IF($A64=parametros!$I$3,F13/F14-1,F14/F13-1))</f>
        <v/>
      </c>
      <c r="G15" s="51" t="str">
        <f>IF(OR(ISERR(G14/G13-1),G14=""),"",IF($A64=parametros!$I$3,G13/G14-1,G14/G13-1))</f>
        <v/>
      </c>
      <c r="H15" s="51" t="str">
        <f>IF(OR(ISERR(H14/H13-1),H14=""),"",IF($A64=parametros!$I$3,H13/H14-1,H14/H13-1))</f>
        <v/>
      </c>
      <c r="I15" s="51" t="str">
        <f>IF(OR(ISERR(I14/I13-1),I14=""),"",IF($A64=parametros!$I$3,I13/I14-1,I14/I13-1))</f>
        <v/>
      </c>
      <c r="J15" s="51" t="str">
        <f>IF(OR(ISERR(J14/J13-1),J14=""),"",IF($A64=parametros!$I$3,J13/J14-1,J14/J13-1))</f>
        <v/>
      </c>
      <c r="K15" s="51" t="str">
        <f>IF(OR(ISERR(K14/K13-1),K14=""),"",IF($A64=parametros!$I$3,K13/K14-1,K14/K13-1))</f>
        <v/>
      </c>
      <c r="L15" s="51" t="str">
        <f>IF(OR(ISERR(L14/L13-1),L14=""),"",IF($A64=parametros!$I$3,L13/L14-1,L14/L13-1))</f>
        <v/>
      </c>
      <c r="M15" s="51" t="str">
        <f>IF(OR(ISERR(M14/M13-1),M14=""),"",IF($A64=parametros!$I$3,M13/M14-1,M14/M13-1))</f>
        <v/>
      </c>
      <c r="N15" s="51" t="str">
        <f>IF(OR(ISERR(N14/N13-1),N14=""),"",IF($A64=parametros!$I$3,N13/N14-1,N14/N13-1))</f>
        <v/>
      </c>
      <c r="O15" s="51" t="str">
        <f>IF(OR(ISERR(O14/O13-1),O14=""),"",IF($A64=parametros!$I$3,O13/O14-1,O14/O13-1))</f>
        <v/>
      </c>
      <c r="P15" s="51" t="str">
        <f>IF(OR(ISERR(P14/P13-1),P14=""),"",IF($A64=parametros!$I$3,P13/P14-1,P14/P13-1))</f>
        <v/>
      </c>
      <c r="Q15" s="51" t="str">
        <f>IF(OR(ISERR(Q14/Q13-1),Q14=""),"",IF($A64=parametros!$I$3,Q13/Q14-1,Q14/Q13-1))</f>
        <v/>
      </c>
      <c r="R15" s="51" t="str">
        <f>IF(OR(ISERR(R14/R13-1),R14=""),"",IF($A64=parametros!$I$3,R13/R14-1,R14/R13-1))</f>
        <v/>
      </c>
      <c r="T15" s="51" t="str">
        <f>IF(OR(ISERR(T14/T13-1),T14=""),"",IF($A64=parametros!$I$3,T13/T14-1,T14/T13-1))</f>
        <v/>
      </c>
      <c r="U15" s="51" t="str">
        <f>IF(OR(ISERR(U14/U13-1),U14=""),"",IF($A64=parametros!$I$3,U13/U14-1,U14/U13-1))</f>
        <v/>
      </c>
      <c r="V15" s="51" t="str">
        <f>IF(OR(ISERR(V14/V13-1),V14=""),"",IF($A64=parametros!$I$3,V13/V14-1,V14/V13-1))</f>
        <v/>
      </c>
      <c r="W15" s="51" t="str">
        <f>IF(OR(ISERR(W14/W13-1),W14=""),"",IF($A64=parametros!$I$3,W13/W14-1,W14/W13-1))</f>
        <v/>
      </c>
      <c r="X15" s="51" t="str">
        <f>IF(OR(ISERR(X14/X13-1),X14=""),"",IF($A64=parametros!$I$3,X13/X14-1,X14/X13-1))</f>
        <v/>
      </c>
      <c r="Y15" s="51" t="str">
        <f>IF(OR(ISERR(Y14/Y13-1),Y14=""),"",IF($A64=parametros!$I$3,Y13/Y14-1,Y14/Y13-1))</f>
        <v/>
      </c>
      <c r="Z15" s="51" t="str">
        <f>IF(OR(ISERR(Z14/Z13-1),Z14=""),"",IF($A64=parametros!$I$3,Z13/Z14-1,Z14/Z13-1))</f>
        <v/>
      </c>
      <c r="AA15" s="51" t="str">
        <f>IF(OR(ISERR(AA14/AA13-1),AA14=""),"",IF($A64=parametros!$I$3,AA13/AA14-1,AA14/AA13-1))</f>
        <v/>
      </c>
      <c r="AB15" s="51" t="str">
        <f>IF(OR(ISERR(AB14/AB13-1),AB14=""),"",IF($A64=parametros!$I$3,AB13/AB14-1,AB14/AB13-1))</f>
        <v/>
      </c>
      <c r="AC15" s="51" t="str">
        <f>IF(OR(ISERR(AC14/AC13-1),AC14=""),"",IF($A64=parametros!$I$3,AC13/AC14-1,AC14/AC13-1))</f>
        <v/>
      </c>
      <c r="AD15" s="51" t="str">
        <f>IF(OR(ISERR(AD14/AD13-1),AD14=""),"",IF($A64=parametros!$I$3,AD13/AD14-1,AD14/AD13-1))</f>
        <v/>
      </c>
      <c r="AE15" s="51" t="str">
        <f>IF(OR(ISERR(AE14/AE13-1),AE14=""),"",IF($A64=parametros!$I$3,AE13/AE14-1,AE14/AE13-1))</f>
        <v/>
      </c>
      <c r="AF15" s="51" t="str">
        <f>IF(OR(ISERR(AF14/AF13-1),AF14=""),"",IF($A64=parametros!$I$3,AF13/AF14-1,AF14/AF13-1))</f>
        <v/>
      </c>
      <c r="AG15" s="51" t="str">
        <f>IF(OR(ISERR(AG14/AG13-1),AG14=""),"",IF($A64=parametros!$I$3,AG13/AG14-1,AG14/AG13-1))</f>
        <v/>
      </c>
      <c r="AI15" s="51" t="str">
        <f>IF(OR(ISERR(AI14/AI13-1),AI14=""),"",IF($A64=parametros!$I$3,AI13/AI14-1,AI14/AI13-1))</f>
        <v/>
      </c>
      <c r="AJ15" s="51" t="str">
        <f>IF(OR(ISERR(AJ14/AJ13-1),AJ14=""),"",IF($A64=parametros!$I$3,AJ13/AJ14-1,AJ14/AJ13-1))</f>
        <v/>
      </c>
      <c r="AK15" s="51" t="str">
        <f>IF(OR(ISERR(AK14/AK13-1),AK14=""),"",IF($A64=parametros!$I$3,AK13/AK14-1,AK14/AK13-1))</f>
        <v/>
      </c>
      <c r="AL15" s="51" t="str">
        <f>IF(OR(ISERR(AL14/AL13-1),AL14=""),"",IF($A64=parametros!$I$3,AL13/AL14-1,AL14/AL13-1))</f>
        <v/>
      </c>
      <c r="AM15" s="51" t="str">
        <f>IF(OR(ISERR(AM14/AM13-1),AM14=""),"",IF($A64=parametros!$I$3,AM13/AM14-1,AM14/AM13-1))</f>
        <v/>
      </c>
      <c r="AN15" s="51" t="str">
        <f>IF(OR(ISERR(AN14/AN13-1),AN14=""),"",IF($A64=parametros!$I$3,AN13/AN14-1,AN14/AN13-1))</f>
        <v/>
      </c>
      <c r="AO15" s="51" t="str">
        <f>IF(OR(ISERR(AO14/AO13-1),AO14=""),"",IF($A64=parametros!$I$3,AO13/AO14-1,AO14/AO13-1))</f>
        <v/>
      </c>
      <c r="AP15" s="51" t="str">
        <f>IF(OR(ISERR(AP14/AP13-1),AP14=""),"",IF($A64=parametros!$I$3,AP13/AP14-1,AP14/AP13-1))</f>
        <v/>
      </c>
      <c r="AQ15" s="51" t="str">
        <f>IF(OR(ISERR(AQ14/AQ13-1),AQ14=""),"",IF($A64=parametros!$I$3,AQ13/AQ14-1,AQ14/AQ13-1))</f>
        <v/>
      </c>
      <c r="AR15" s="51" t="str">
        <f>IF(OR(ISERR(AR14/AR13-1),AR14=""),"",IF($A64=parametros!$I$3,AR13/AR14-1,AR14/AR13-1))</f>
        <v/>
      </c>
      <c r="AS15" s="51" t="str">
        <f>IF(OR(ISERR(AS14/AS13-1),AS14=""),"",IF($A64=parametros!$I$3,AS13/AS14-1,AS14/AS13-1))</f>
        <v/>
      </c>
      <c r="AT15" s="51" t="str">
        <f>IF(OR(ISERR(AT14/AT13-1),AT14=""),"",IF($A64=parametros!$I$3,AT13/AT14-1,AT14/AT13-1))</f>
        <v/>
      </c>
      <c r="AU15" s="51" t="str">
        <f>IF(OR(ISERR(AU14/AU13-1),AU14=""),"",IF($A64=parametros!$I$3,AU13/AU14-1,AU14/AU13-1))</f>
        <v/>
      </c>
      <c r="AV15" s="51" t="str">
        <f>IF(OR(ISERR(AV14/AV13-1),AV14=""),"",IF($A64=parametros!$I$3,AV13/AV14-1,AV14/AV13-1))</f>
        <v/>
      </c>
      <c r="AX15" s="51" t="str">
        <f>IF(OR(ISERR(AX14/AX13-1),AX14=""),"",IF($A64=parametros!$I$3,AX13/AX14-1,AX14/AX13-1))</f>
        <v/>
      </c>
      <c r="AY15" s="51" t="str">
        <f>IF(OR(ISERR(AY14/AY13-1),AY14=""),"",IF($A64=parametros!$I$3,AY13/AY14-1,AY14/AY13-1))</f>
        <v/>
      </c>
      <c r="AZ15" s="51" t="str">
        <f>IF(OR(ISERR(AZ14/AZ13-1),AZ14=""),"",IF($A64=parametros!$I$3,AZ13/AZ14-1,AZ14/AZ13-1))</f>
        <v/>
      </c>
      <c r="BA15" s="51" t="str">
        <f>IF(OR(ISERR(BA14/BA13-1),BA14=""),"",IF($A64=parametros!$I$3,BA13/BA14-1,BA14/BA13-1))</f>
        <v/>
      </c>
      <c r="BB15" s="51" t="str">
        <f>IF(OR(ISERR(BB14/BB13-1),BB14=""),"",IF($A64=parametros!$I$3,BB13/BB14-1,BB14/BB13-1))</f>
        <v/>
      </c>
      <c r="BC15" s="51" t="str">
        <f>IF(OR(ISERR(BC14/BC13-1),BC14=""),"",IF($A64=parametros!$I$3,BC13/BC14-1,BC14/BC13-1))</f>
        <v/>
      </c>
      <c r="BD15" s="51" t="str">
        <f>IF(OR(ISERR(BD14/BD13-1),BD14=""),"",IF($A64=parametros!$I$3,BD13/BD14-1,BD14/BD13-1))</f>
        <v/>
      </c>
      <c r="BE15" s="51" t="str">
        <f>IF(OR(ISERR(BE14/BE13-1),BE14=""),"",IF($A64=parametros!$I$3,BE13/BE14-1,BE14/BE13-1))</f>
        <v/>
      </c>
      <c r="BF15" s="51" t="str">
        <f>IF(OR(ISERR(BF14/BF13-1),BF14=""),"",IF($A64=parametros!$I$3,BF13/BF14-1,BF14/BF13-1))</f>
        <v/>
      </c>
      <c r="BG15" s="51" t="str">
        <f>IF(OR(ISERR(BG14/BG13-1),BG14=""),"",IF($A64=parametros!$I$3,BG13/BG14-1,BG14/BG13-1))</f>
        <v/>
      </c>
      <c r="BH15" s="51" t="str">
        <f>IF(OR(ISERR(BH14/BH13-1),BH14=""),"",IF($A64=parametros!$I$3,BH13/BH14-1,BH14/BH13-1))</f>
        <v/>
      </c>
      <c r="BI15" s="51" t="str">
        <f>IF(OR(ISERR(BI14/BI13-1),BI14=""),"",IF($A64=parametros!$I$3,BI13/BI14-1,BI14/BI13-1))</f>
        <v/>
      </c>
      <c r="BJ15" s="51" t="str">
        <f>IF(OR(ISERR(BJ14/BJ13-1),BJ14=""),"",IF($A64=parametros!$I$3,BJ13/BJ14-1,BJ14/BJ13-1))</f>
        <v/>
      </c>
      <c r="BK15" s="51" t="str">
        <f>IF(OR(ISERR(BK14/BK13-1),BK14=""),"",IF($A64=parametros!$I$3,BK13/BK14-1,BK14/BK13-1))</f>
        <v/>
      </c>
      <c r="BM15" s="51" t="str">
        <f>IF(OR(ISERR(BM14/BM13-1),BM14=""),"",IF($A64=parametros!$I$3,BM13/BM14-1,BM14/BM13-1))</f>
        <v/>
      </c>
      <c r="BN15" s="51" t="str">
        <f>IF(OR(ISERR(BN14/BN13-1),BN14=""),"",IF($A64=parametros!$I$3,BN13/BN14-1,BN14/BN13-1))</f>
        <v/>
      </c>
      <c r="BO15" s="51" t="str">
        <f>IF(OR(ISERR(BO14/BO13-1),BO14=""),"",IF($A64=parametros!$I$3,BO13/BO14-1,BO14/BO13-1))</f>
        <v/>
      </c>
      <c r="BP15" s="51" t="str">
        <f>IF(OR(ISERR(BP14/BP13-1),BP14=""),"",IF($A64=parametros!$I$3,BP13/BP14-1,BP14/BP13-1))</f>
        <v/>
      </c>
      <c r="BQ15" s="51" t="str">
        <f>IF(OR(ISERR(BQ14/BQ13-1),BQ14=""),"",IF($A64=parametros!$I$3,BQ13/BQ14-1,BQ14/BQ13-1))</f>
        <v/>
      </c>
      <c r="BR15" s="51" t="str">
        <f>IF(OR(ISERR(BR14/BR13-1),BR14=""),"",IF($A64=parametros!$I$3,BR13/BR14-1,BR14/BR13-1))</f>
        <v/>
      </c>
      <c r="BS15" s="51" t="str">
        <f>IF(OR(ISERR(BS14/BS13-1),BS14=""),"",IF($A64=parametros!$I$3,BS13/BS14-1,BS14/BS13-1))</f>
        <v/>
      </c>
      <c r="BT15" s="51" t="str">
        <f>IF(OR(ISERR(BT14/BT13-1),BT14=""),"",IF($A64=parametros!$I$3,BT13/BT14-1,BT14/BT13-1))</f>
        <v/>
      </c>
      <c r="BU15" s="51" t="str">
        <f>IF(OR(ISERR(BU14/BU13-1),BU14=""),"",IF($A64=parametros!$I$3,BU13/BU14-1,BU14/BU13-1))</f>
        <v/>
      </c>
      <c r="BV15" s="51" t="str">
        <f>IF(OR(ISERR(BV14/BV13-1),BV14=""),"",IF($A64=parametros!$I$3,BV13/BV14-1,BV14/BV13-1))</f>
        <v/>
      </c>
      <c r="BW15" s="51" t="str">
        <f>IF(OR(ISERR(BW14/BW13-1),BW14=""),"",IF($A64=parametros!$I$3,BW13/BW14-1,BW14/BW13-1))</f>
        <v/>
      </c>
      <c r="BX15" s="51" t="str">
        <f>IF(OR(ISERR(BX14/BX13-1),BX14=""),"",IF($A64=parametros!$I$3,BX13/BX14-1,BX14/BX13-1))</f>
        <v/>
      </c>
      <c r="BY15" s="51" t="str">
        <f>IF(OR(ISERR(BY14/BY13-1),BY14=""),"",IF($A64=parametros!$I$3,BY13/BY14-1,BY14/BY13-1))</f>
        <v/>
      </c>
      <c r="BZ15" s="51" t="str">
        <f>IF(OR(ISERR(BZ14/BZ13-1),BZ14=""),"",IF($A64=parametros!$I$3,BZ13/BZ14-1,BZ14/BZ13-1))</f>
        <v/>
      </c>
    </row>
    <row r="16" spans="1:78" ht="4.95" customHeight="1" x14ac:dyDescent="0.4"/>
    <row r="17" spans="1:78" ht="22.05" customHeight="1" thickBot="1" x14ac:dyDescent="0.45">
      <c r="B17" s="104">
        <f>3</f>
        <v>3</v>
      </c>
      <c r="C17" s="33" t="s">
        <v>66</v>
      </c>
      <c r="D17" s="41" t="s">
        <v>44</v>
      </c>
      <c r="E17" s="34" t="s">
        <v>47</v>
      </c>
      <c r="F17" s="34" t="s">
        <v>48</v>
      </c>
      <c r="G17" s="34" t="s">
        <v>49</v>
      </c>
      <c r="H17" s="34" t="s">
        <v>50</v>
      </c>
      <c r="I17" s="34" t="s">
        <v>51</v>
      </c>
      <c r="J17" s="34" t="s">
        <v>52</v>
      </c>
      <c r="K17" s="34" t="s">
        <v>53</v>
      </c>
      <c r="L17" s="34" t="s">
        <v>54</v>
      </c>
      <c r="M17" s="34" t="s">
        <v>55</v>
      </c>
      <c r="N17" s="34" t="s">
        <v>56</v>
      </c>
      <c r="O17" s="34" t="s">
        <v>57</v>
      </c>
      <c r="P17" s="34" t="s">
        <v>58</v>
      </c>
      <c r="Q17" s="34" t="s">
        <v>59</v>
      </c>
      <c r="R17" s="35" t="s">
        <v>60</v>
      </c>
      <c r="T17" s="34" t="s">
        <v>47</v>
      </c>
      <c r="U17" s="34" t="s">
        <v>48</v>
      </c>
      <c r="V17" s="34" t="s">
        <v>49</v>
      </c>
      <c r="W17" s="34" t="s">
        <v>50</v>
      </c>
      <c r="X17" s="34" t="s">
        <v>51</v>
      </c>
      <c r="Y17" s="34" t="s">
        <v>52</v>
      </c>
      <c r="Z17" s="34" t="s">
        <v>53</v>
      </c>
      <c r="AA17" s="34" t="s">
        <v>54</v>
      </c>
      <c r="AB17" s="34" t="s">
        <v>55</v>
      </c>
      <c r="AC17" s="34" t="s">
        <v>56</v>
      </c>
      <c r="AD17" s="34" t="s">
        <v>57</v>
      </c>
      <c r="AE17" s="34" t="s">
        <v>58</v>
      </c>
      <c r="AF17" s="34" t="s">
        <v>59</v>
      </c>
      <c r="AG17" s="35" t="s">
        <v>60</v>
      </c>
      <c r="AI17" s="34" t="s">
        <v>47</v>
      </c>
      <c r="AJ17" s="34" t="s">
        <v>48</v>
      </c>
      <c r="AK17" s="34" t="s">
        <v>49</v>
      </c>
      <c r="AL17" s="34" t="s">
        <v>50</v>
      </c>
      <c r="AM17" s="34" t="s">
        <v>51</v>
      </c>
      <c r="AN17" s="34" t="s">
        <v>52</v>
      </c>
      <c r="AO17" s="34" t="s">
        <v>53</v>
      </c>
      <c r="AP17" s="34" t="s">
        <v>54</v>
      </c>
      <c r="AQ17" s="34" t="s">
        <v>55</v>
      </c>
      <c r="AR17" s="34" t="s">
        <v>56</v>
      </c>
      <c r="AS17" s="34" t="s">
        <v>57</v>
      </c>
      <c r="AT17" s="34" t="s">
        <v>58</v>
      </c>
      <c r="AU17" s="34" t="s">
        <v>59</v>
      </c>
      <c r="AV17" s="35" t="s">
        <v>60</v>
      </c>
      <c r="AX17" s="34" t="s">
        <v>47</v>
      </c>
      <c r="AY17" s="34" t="s">
        <v>48</v>
      </c>
      <c r="AZ17" s="34" t="s">
        <v>49</v>
      </c>
      <c r="BA17" s="34" t="s">
        <v>50</v>
      </c>
      <c r="BB17" s="34" t="s">
        <v>51</v>
      </c>
      <c r="BC17" s="34" t="s">
        <v>52</v>
      </c>
      <c r="BD17" s="34" t="s">
        <v>53</v>
      </c>
      <c r="BE17" s="34" t="s">
        <v>54</v>
      </c>
      <c r="BF17" s="34" t="s">
        <v>55</v>
      </c>
      <c r="BG17" s="34" t="s">
        <v>56</v>
      </c>
      <c r="BH17" s="34" t="s">
        <v>57</v>
      </c>
      <c r="BI17" s="34" t="s">
        <v>58</v>
      </c>
      <c r="BJ17" s="34" t="s">
        <v>59</v>
      </c>
      <c r="BK17" s="35" t="s">
        <v>60</v>
      </c>
      <c r="BM17" s="34" t="s">
        <v>47</v>
      </c>
      <c r="BN17" s="34" t="s">
        <v>48</v>
      </c>
      <c r="BO17" s="34" t="s">
        <v>49</v>
      </c>
      <c r="BP17" s="34" t="s">
        <v>50</v>
      </c>
      <c r="BQ17" s="34" t="s">
        <v>51</v>
      </c>
      <c r="BR17" s="34" t="s">
        <v>52</v>
      </c>
      <c r="BS17" s="34" t="s">
        <v>53</v>
      </c>
      <c r="BT17" s="34" t="s">
        <v>54</v>
      </c>
      <c r="BU17" s="34" t="s">
        <v>55</v>
      </c>
      <c r="BV17" s="34" t="s">
        <v>56</v>
      </c>
      <c r="BW17" s="34" t="s">
        <v>57</v>
      </c>
      <c r="BX17" s="34" t="s">
        <v>58</v>
      </c>
      <c r="BY17" s="34" t="s">
        <v>59</v>
      </c>
      <c r="BZ17" s="35" t="s">
        <v>60</v>
      </c>
    </row>
    <row r="18" spans="1:78" ht="22.05" customHeight="1" thickBot="1" x14ac:dyDescent="0.45">
      <c r="A18" s="104" t="str">
        <f>_xlfn.CONCAT(D18,B17)</f>
        <v>Planejado3</v>
      </c>
      <c r="C18" s="248" t="str">
        <f>C61</f>
        <v xml:space="preserve">: </v>
      </c>
      <c r="D18" s="37" t="s">
        <v>61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5">
        <f>SUMIF(E90:P90,"=1",E18:P18)</f>
        <v>0</v>
      </c>
      <c r="R18" s="46">
        <f>SUM(E18:P18)</f>
        <v>0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4"/>
      <c r="AF18" s="45">
        <f>SUMIF(T90:AE90,"=1",T18:AE18)</f>
        <v>0</v>
      </c>
      <c r="AG18" s="46">
        <f>SUM(T18:AE18)</f>
        <v>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4"/>
      <c r="AU18" s="45">
        <f>SUMIF(AI90:AT90,"=1",AI18:AT18)</f>
        <v>0</v>
      </c>
      <c r="AV18" s="46">
        <f>SUM(AI18:AT18)</f>
        <v>0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4"/>
      <c r="BJ18" s="45">
        <f>SUMIF(AX90:BI90,"=1",AX18:BI18)</f>
        <v>0</v>
      </c>
      <c r="BK18" s="46">
        <f>SUM(AX18:BI18)</f>
        <v>0</v>
      </c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4"/>
      <c r="BY18" s="45">
        <f>SUMIF(BM90:BX90,"=1",BM18:BX18)</f>
        <v>0</v>
      </c>
      <c r="BZ18" s="46">
        <f>SUM(BM18:BX18)</f>
        <v>0</v>
      </c>
    </row>
    <row r="19" spans="1:78" ht="22.05" customHeight="1" thickBot="1" x14ac:dyDescent="0.45">
      <c r="A19" s="104" t="str">
        <f>_xlfn.CONCAT(D19,B17)</f>
        <v>Realizado3</v>
      </c>
      <c r="C19" s="249"/>
      <c r="D19" s="38" t="s">
        <v>62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5">
        <f>SUMIF(E90:P90,"=1",E19:P19)</f>
        <v>0</v>
      </c>
      <c r="R19" s="46">
        <f>SUM(E19:P19)</f>
        <v>0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9"/>
      <c r="AF19" s="45">
        <f>SUMIF(T90:AE90,"=1",T19:AE19)</f>
        <v>0</v>
      </c>
      <c r="AG19" s="46">
        <f>SUM(T19:AE19)</f>
        <v>0</v>
      </c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  <c r="AU19" s="45">
        <f>SUMIF(AI90:AT90,"=1",AI19:AT19)</f>
        <v>0</v>
      </c>
      <c r="AV19" s="46">
        <f>SUM(AI19:AT19)</f>
        <v>0</v>
      </c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9"/>
      <c r="BJ19" s="45">
        <f>SUMIF(AX90:BI90,"=1",AX19:BI19)</f>
        <v>0</v>
      </c>
      <c r="BK19" s="46">
        <f>SUM(AX19:BI19)</f>
        <v>0</v>
      </c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9"/>
      <c r="BY19" s="45">
        <f>SUMIF(BM90:BX90,"=1",BM19:BX19)</f>
        <v>0</v>
      </c>
      <c r="BZ19" s="46">
        <f>SUM(BM19:BX19)</f>
        <v>0</v>
      </c>
    </row>
    <row r="20" spans="1:78" ht="22.05" customHeight="1" thickBot="1" x14ac:dyDescent="0.45">
      <c r="C20" s="249"/>
      <c r="D20" s="36" t="s">
        <v>63</v>
      </c>
      <c r="E20" s="51" t="str">
        <f>IF(OR(ISERR(E19/E18-1),E19=""),"",IF($B69=parametros!$I$3,E18/E19-1,E19/E18-1))</f>
        <v/>
      </c>
      <c r="F20" s="51" t="str">
        <f>IF(OR(ISERR(F19/F18-1),F19=""),"",IF($B69=parametros!$I$3,F18/F19-1,F19/F18-1))</f>
        <v/>
      </c>
      <c r="G20" s="51" t="str">
        <f>IF(OR(ISERR(G19/G18-1),G19=""),"",IF($B69=parametros!$I$3,G18/G19-1,G19/G18-1))</f>
        <v/>
      </c>
      <c r="H20" s="51" t="str">
        <f>IF(OR(ISERR(H19/H18-1),H19=""),"",IF($B69=parametros!$I$3,H18/H19-1,H19/H18-1))</f>
        <v/>
      </c>
      <c r="I20" s="51" t="str">
        <f>IF(OR(ISERR(I19/I18-1),I19=""),"",IF($B69=parametros!$I$3,I18/I19-1,I19/I18-1))</f>
        <v/>
      </c>
      <c r="J20" s="51" t="str">
        <f>IF(OR(ISERR(J19/J18-1),J19=""),"",IF($B69=parametros!$I$3,J18/J19-1,J19/J18-1))</f>
        <v/>
      </c>
      <c r="K20" s="51" t="str">
        <f>IF(OR(ISERR(K19/K18-1),K19=""),"",IF($B69=parametros!$I$3,K18/K19-1,K19/K18-1))</f>
        <v/>
      </c>
      <c r="L20" s="51" t="str">
        <f>IF(OR(ISERR(L19/L18-1),L19=""),"",IF($B69=parametros!$I$3,L18/L19-1,L19/L18-1))</f>
        <v/>
      </c>
      <c r="M20" s="51" t="str">
        <f>IF(OR(ISERR(M19/M18-1),M19=""),"",IF($B69=parametros!$I$3,M18/M19-1,M19/M18-1))</f>
        <v/>
      </c>
      <c r="N20" s="51" t="str">
        <f>IF(OR(ISERR(N19/N18-1),N19=""),"",IF($B69=parametros!$I$3,N18/N19-1,N19/N18-1))</f>
        <v/>
      </c>
      <c r="O20" s="51" t="str">
        <f>IF(OR(ISERR(O19/O18-1),O19=""),"",IF($B69=parametros!$I$3,O18/O19-1,O19/O18-1))</f>
        <v/>
      </c>
      <c r="P20" s="51" t="str">
        <f>IF(OR(ISERR(P19/P18-1),P19=""),"",IF($B69=parametros!$I$3,P18/P19-1,P19/P18-1))</f>
        <v/>
      </c>
      <c r="Q20" s="51" t="str">
        <f>IF(OR(ISERR(Q19/Q18-1),Q19=""),"",IF($B69=parametros!$I$3,Q18/Q19-1,Q19/Q18-1))</f>
        <v/>
      </c>
      <c r="R20" s="51" t="str">
        <f>IF(OR(ISERR(R19/R18-1),R19=""),"",IF($B69=parametros!$I$3,R18/R19-1,R19/R18-1))</f>
        <v/>
      </c>
      <c r="T20" s="51" t="str">
        <f>IF(OR(ISERR(T19/T18-1),T19=""),"",IF($B69=parametros!$I$3,T18/T19-1,T19/T18-1))</f>
        <v/>
      </c>
      <c r="U20" s="51" t="str">
        <f>IF(OR(ISERR(U19/U18-1),U19=""),"",IF($B69=parametros!$I$3,U18/U19-1,U19/U18-1))</f>
        <v/>
      </c>
      <c r="V20" s="51" t="str">
        <f>IF(OR(ISERR(V19/V18-1),V19=""),"",IF($B69=parametros!$I$3,V18/V19-1,V19/V18-1))</f>
        <v/>
      </c>
      <c r="W20" s="51" t="str">
        <f>IF(OR(ISERR(W19/W18-1),W19=""),"",IF($B69=parametros!$I$3,W18/W19-1,W19/W18-1))</f>
        <v/>
      </c>
      <c r="X20" s="51" t="str">
        <f>IF(OR(ISERR(X19/X18-1),X19=""),"",IF($B69=parametros!$I$3,X18/X19-1,X19/X18-1))</f>
        <v/>
      </c>
      <c r="Y20" s="51" t="str">
        <f>IF(OR(ISERR(Y19/Y18-1),Y19=""),"",IF($B69=parametros!$I$3,Y18/Y19-1,Y19/Y18-1))</f>
        <v/>
      </c>
      <c r="Z20" s="51" t="str">
        <f>IF(OR(ISERR(Z19/Z18-1),Z19=""),"",IF($B69=parametros!$I$3,Z18/Z19-1,Z19/Z18-1))</f>
        <v/>
      </c>
      <c r="AA20" s="51" t="str">
        <f>IF(OR(ISERR(AA19/AA18-1),AA19=""),"",IF($B69=parametros!$I$3,AA18/AA19-1,AA19/AA18-1))</f>
        <v/>
      </c>
      <c r="AB20" s="51" t="str">
        <f>IF(OR(ISERR(AB19/AB18-1),AB19=""),"",IF($B69=parametros!$I$3,AB18/AB19-1,AB19/AB18-1))</f>
        <v/>
      </c>
      <c r="AC20" s="51" t="str">
        <f>IF(OR(ISERR(AC19/AC18-1),AC19=""),"",IF($B69=parametros!$I$3,AC18/AC19-1,AC19/AC18-1))</f>
        <v/>
      </c>
      <c r="AD20" s="51" t="str">
        <f>IF(OR(ISERR(AD19/AD18-1),AD19=""),"",IF($B69=parametros!$I$3,AD18/AD19-1,AD19/AD18-1))</f>
        <v/>
      </c>
      <c r="AE20" s="51" t="str">
        <f>IF(OR(ISERR(AE19/AE18-1),AE19=""),"",IF($B69=parametros!$I$3,AE18/AE19-1,AE19/AE18-1))</f>
        <v/>
      </c>
      <c r="AF20" s="51" t="str">
        <f>IF(OR(ISERR(AF19/AF18-1),AF19=""),"",IF($B69=parametros!$I$3,AF18/AF19-1,AF19/AF18-1))</f>
        <v/>
      </c>
      <c r="AG20" s="51" t="str">
        <f>IF(OR(ISERR(AG19/AG18-1),AG19=""),"",IF($B69=parametros!$I$3,AG18/AG19-1,AG19/AG18-1))</f>
        <v/>
      </c>
      <c r="AI20" s="51" t="str">
        <f>IF(OR(ISERR(AI19/AI18-1),AI19=""),"",IF($B69=parametros!$I$3,AI18/AI19-1,AI19/AI18-1))</f>
        <v/>
      </c>
      <c r="AJ20" s="51" t="str">
        <f>IF(OR(ISERR(AJ19/AJ18-1),AJ19=""),"",IF($B69=parametros!$I$3,AJ18/AJ19-1,AJ19/AJ18-1))</f>
        <v/>
      </c>
      <c r="AK20" s="51" t="str">
        <f>IF(OR(ISERR(AK19/AK18-1),AK19=""),"",IF($B69=parametros!$I$3,AK18/AK19-1,AK19/AK18-1))</f>
        <v/>
      </c>
      <c r="AL20" s="51" t="str">
        <f>IF(OR(ISERR(AL19/AL18-1),AL19=""),"",IF($B69=parametros!$I$3,AL18/AL19-1,AL19/AL18-1))</f>
        <v/>
      </c>
      <c r="AM20" s="51" t="str">
        <f>IF(OR(ISERR(AM19/AM18-1),AM19=""),"",IF($B69=parametros!$I$3,AM18/AM19-1,AM19/AM18-1))</f>
        <v/>
      </c>
      <c r="AN20" s="51" t="str">
        <f>IF(OR(ISERR(AN19/AN18-1),AN19=""),"",IF($B69=parametros!$I$3,AN18/AN19-1,AN19/AN18-1))</f>
        <v/>
      </c>
      <c r="AO20" s="51" t="str">
        <f>IF(OR(ISERR(AO19/AO18-1),AO19=""),"",IF($B69=parametros!$I$3,AO18/AO19-1,AO19/AO18-1))</f>
        <v/>
      </c>
      <c r="AP20" s="51" t="str">
        <f>IF(OR(ISERR(AP19/AP18-1),AP19=""),"",IF($B69=parametros!$I$3,AP18/AP19-1,AP19/AP18-1))</f>
        <v/>
      </c>
      <c r="AQ20" s="51" t="str">
        <f>IF(OR(ISERR(AQ19/AQ18-1),AQ19=""),"",IF($B69=parametros!$I$3,AQ18/AQ19-1,AQ19/AQ18-1))</f>
        <v/>
      </c>
      <c r="AR20" s="51" t="str">
        <f>IF(OR(ISERR(AR19/AR18-1),AR19=""),"",IF($B69=parametros!$I$3,AR18/AR19-1,AR19/AR18-1))</f>
        <v/>
      </c>
      <c r="AS20" s="51" t="str">
        <f>IF(OR(ISERR(AS19/AS18-1),AS19=""),"",IF($B69=parametros!$I$3,AS18/AS19-1,AS19/AS18-1))</f>
        <v/>
      </c>
      <c r="AT20" s="51" t="str">
        <f>IF(OR(ISERR(AT19/AT18-1),AT19=""),"",IF($B69=parametros!$I$3,AT18/AT19-1,AT19/AT18-1))</f>
        <v/>
      </c>
      <c r="AU20" s="51" t="str">
        <f>IF(OR(ISERR(AU19/AU18-1),AU19=""),"",IF($B69=parametros!$I$3,AU18/AU19-1,AU19/AU18-1))</f>
        <v/>
      </c>
      <c r="AV20" s="51" t="str">
        <f>IF(OR(ISERR(AV19/AV18-1),AV19=""),"",IF($B69=parametros!$I$3,AV18/AV19-1,AV19/AV18-1))</f>
        <v/>
      </c>
      <c r="AX20" s="51" t="str">
        <f>IF(OR(ISERR(AX19/AX18-1),AX19=""),"",IF($B69=parametros!$I$3,AX18/AX19-1,AX19/AX18-1))</f>
        <v/>
      </c>
      <c r="AY20" s="51" t="str">
        <f>IF(OR(ISERR(AY19/AY18-1),AY19=""),"",IF($B69=parametros!$I$3,AY18/AY19-1,AY19/AY18-1))</f>
        <v/>
      </c>
      <c r="AZ20" s="51" t="str">
        <f>IF(OR(ISERR(AZ19/AZ18-1),AZ19=""),"",IF($B69=parametros!$I$3,AZ18/AZ19-1,AZ19/AZ18-1))</f>
        <v/>
      </c>
      <c r="BA20" s="51" t="str">
        <f>IF(OR(ISERR(BA19/BA18-1),BA19=""),"",IF($B69=parametros!$I$3,BA18/BA19-1,BA19/BA18-1))</f>
        <v/>
      </c>
      <c r="BB20" s="51" t="str">
        <f>IF(OR(ISERR(BB19/BB18-1),BB19=""),"",IF($B69=parametros!$I$3,BB18/BB19-1,BB19/BB18-1))</f>
        <v/>
      </c>
      <c r="BC20" s="51" t="str">
        <f>IF(OR(ISERR(BC19/BC18-1),BC19=""),"",IF($B69=parametros!$I$3,BC18/BC19-1,BC19/BC18-1))</f>
        <v/>
      </c>
      <c r="BD20" s="51" t="str">
        <f>IF(OR(ISERR(BD19/BD18-1),BD19=""),"",IF($B69=parametros!$I$3,BD18/BD19-1,BD19/BD18-1))</f>
        <v/>
      </c>
      <c r="BE20" s="51" t="str">
        <f>IF(OR(ISERR(BE19/BE18-1),BE19=""),"",IF($B69=parametros!$I$3,BE18/BE19-1,BE19/BE18-1))</f>
        <v/>
      </c>
      <c r="BF20" s="51" t="str">
        <f>IF(OR(ISERR(BF19/BF18-1),BF19=""),"",IF($B69=parametros!$I$3,BF18/BF19-1,BF19/BF18-1))</f>
        <v/>
      </c>
      <c r="BG20" s="51" t="str">
        <f>IF(OR(ISERR(BG19/BG18-1),BG19=""),"",IF($B69=parametros!$I$3,BG18/BG19-1,BG19/BG18-1))</f>
        <v/>
      </c>
      <c r="BH20" s="51" t="str">
        <f>IF(OR(ISERR(BH19/BH18-1),BH19=""),"",IF($B69=parametros!$I$3,BH18/BH19-1,BH19/BH18-1))</f>
        <v/>
      </c>
      <c r="BI20" s="51" t="str">
        <f>IF(OR(ISERR(BI19/BI18-1),BI19=""),"",IF($B69=parametros!$I$3,BI18/BI19-1,BI19/BI18-1))</f>
        <v/>
      </c>
      <c r="BJ20" s="51" t="str">
        <f>IF(OR(ISERR(BJ19/BJ18-1),BJ19=""),"",IF($B69=parametros!$I$3,BJ18/BJ19-1,BJ19/BJ18-1))</f>
        <v/>
      </c>
      <c r="BK20" s="51" t="str">
        <f>IF(OR(ISERR(BK19/BK18-1),BK19=""),"",IF($B69=parametros!$I$3,BK18/BK19-1,BK19/BK18-1))</f>
        <v/>
      </c>
      <c r="BM20" s="51" t="str">
        <f>IF(OR(ISERR(BM19/BM18-1),BM19=""),"",IF($B69=parametros!$I$3,BM18/BM19-1,BM19/BM18-1))</f>
        <v/>
      </c>
      <c r="BN20" s="51" t="str">
        <f>IF(OR(ISERR(BN19/BN18-1),BN19=""),"",IF($B69=parametros!$I$3,BN18/BN19-1,BN19/BN18-1))</f>
        <v/>
      </c>
      <c r="BO20" s="51" t="str">
        <f>IF(OR(ISERR(BO19/BO18-1),BO19=""),"",IF($B69=parametros!$I$3,BO18/BO19-1,BO19/BO18-1))</f>
        <v/>
      </c>
      <c r="BP20" s="51" t="str">
        <f>IF(OR(ISERR(BP19/BP18-1),BP19=""),"",IF($B69=parametros!$I$3,BP18/BP19-1,BP19/BP18-1))</f>
        <v/>
      </c>
      <c r="BQ20" s="51" t="str">
        <f>IF(OR(ISERR(BQ19/BQ18-1),BQ19=""),"",IF($B69=parametros!$I$3,BQ18/BQ19-1,BQ19/BQ18-1))</f>
        <v/>
      </c>
      <c r="BR20" s="51" t="str">
        <f>IF(OR(ISERR(BR19/BR18-1),BR19=""),"",IF($B69=parametros!$I$3,BR18/BR19-1,BR19/BR18-1))</f>
        <v/>
      </c>
      <c r="BS20" s="51" t="str">
        <f>IF(OR(ISERR(BS19/BS18-1),BS19=""),"",IF($B69=parametros!$I$3,BS18/BS19-1,BS19/BS18-1))</f>
        <v/>
      </c>
      <c r="BT20" s="51" t="str">
        <f>IF(OR(ISERR(BT19/BT18-1),BT19=""),"",IF($B69=parametros!$I$3,BT18/BT19-1,BT19/BT18-1))</f>
        <v/>
      </c>
      <c r="BU20" s="51" t="str">
        <f>IF(OR(ISERR(BU19/BU18-1),BU19=""),"",IF($B69=parametros!$I$3,BU18/BU19-1,BU19/BU18-1))</f>
        <v/>
      </c>
      <c r="BV20" s="51" t="str">
        <f>IF(OR(ISERR(BV19/BV18-1),BV19=""),"",IF($B69=parametros!$I$3,BV18/BV19-1,BV19/BV18-1))</f>
        <v/>
      </c>
      <c r="BW20" s="51" t="str">
        <f>IF(OR(ISERR(BW19/BW18-1),BW19=""),"",IF($B69=parametros!$I$3,BW18/BW19-1,BW19/BW18-1))</f>
        <v/>
      </c>
      <c r="BX20" s="51" t="str">
        <f>IF(OR(ISERR(BX19/BX18-1),BX19=""),"",IF($B69=parametros!$I$3,BX18/BX19-1,BX19/BX18-1))</f>
        <v/>
      </c>
      <c r="BY20" s="51" t="str">
        <f>IF(OR(ISERR(BY19/BY18-1),BY19=""),"",IF($B69=parametros!$I$3,BY18/BY19-1,BY19/BY18-1))</f>
        <v/>
      </c>
      <c r="BZ20" s="51" t="str">
        <f>IF(OR(ISERR(BZ19/BZ18-1),BZ19=""),"",IF($B69=parametros!$I$3,BZ18/BZ19-1,BZ19/BZ18-1))</f>
        <v/>
      </c>
    </row>
    <row r="21" spans="1:78" ht="4.95" customHeight="1" x14ac:dyDescent="0.4"/>
    <row r="22" spans="1:78" ht="22.05" customHeight="1" thickBot="1" x14ac:dyDescent="0.45">
      <c r="B22" s="104">
        <f>4</f>
        <v>4</v>
      </c>
      <c r="C22" s="33" t="s">
        <v>67</v>
      </c>
      <c r="D22" s="41" t="s">
        <v>44</v>
      </c>
      <c r="E22" s="34" t="s">
        <v>47</v>
      </c>
      <c r="F22" s="34" t="s">
        <v>48</v>
      </c>
      <c r="G22" s="34" t="s">
        <v>49</v>
      </c>
      <c r="H22" s="34" t="s">
        <v>50</v>
      </c>
      <c r="I22" s="34" t="s">
        <v>51</v>
      </c>
      <c r="J22" s="34" t="s">
        <v>52</v>
      </c>
      <c r="K22" s="34" t="s">
        <v>53</v>
      </c>
      <c r="L22" s="34" t="s">
        <v>54</v>
      </c>
      <c r="M22" s="34" t="s">
        <v>55</v>
      </c>
      <c r="N22" s="34" t="s">
        <v>56</v>
      </c>
      <c r="O22" s="34" t="s">
        <v>57</v>
      </c>
      <c r="P22" s="34" t="s">
        <v>58</v>
      </c>
      <c r="Q22" s="34" t="s">
        <v>59</v>
      </c>
      <c r="R22" s="35" t="s">
        <v>60</v>
      </c>
      <c r="T22" s="34" t="s">
        <v>47</v>
      </c>
      <c r="U22" s="34" t="s">
        <v>48</v>
      </c>
      <c r="V22" s="34" t="s">
        <v>49</v>
      </c>
      <c r="W22" s="34" t="s">
        <v>50</v>
      </c>
      <c r="X22" s="34" t="s">
        <v>51</v>
      </c>
      <c r="Y22" s="34" t="s">
        <v>52</v>
      </c>
      <c r="Z22" s="34" t="s">
        <v>53</v>
      </c>
      <c r="AA22" s="34" t="s">
        <v>54</v>
      </c>
      <c r="AB22" s="34" t="s">
        <v>55</v>
      </c>
      <c r="AC22" s="34" t="s">
        <v>56</v>
      </c>
      <c r="AD22" s="34" t="s">
        <v>57</v>
      </c>
      <c r="AE22" s="34" t="s">
        <v>58</v>
      </c>
      <c r="AF22" s="34" t="s">
        <v>59</v>
      </c>
      <c r="AG22" s="35" t="s">
        <v>60</v>
      </c>
      <c r="AI22" s="34" t="s">
        <v>47</v>
      </c>
      <c r="AJ22" s="34" t="s">
        <v>48</v>
      </c>
      <c r="AK22" s="34" t="s">
        <v>49</v>
      </c>
      <c r="AL22" s="34" t="s">
        <v>50</v>
      </c>
      <c r="AM22" s="34" t="s">
        <v>51</v>
      </c>
      <c r="AN22" s="34" t="s">
        <v>52</v>
      </c>
      <c r="AO22" s="34" t="s">
        <v>53</v>
      </c>
      <c r="AP22" s="34" t="s">
        <v>54</v>
      </c>
      <c r="AQ22" s="34" t="s">
        <v>55</v>
      </c>
      <c r="AR22" s="34" t="s">
        <v>56</v>
      </c>
      <c r="AS22" s="34" t="s">
        <v>57</v>
      </c>
      <c r="AT22" s="34" t="s">
        <v>58</v>
      </c>
      <c r="AU22" s="34" t="s">
        <v>59</v>
      </c>
      <c r="AV22" s="35" t="s">
        <v>60</v>
      </c>
      <c r="AX22" s="34" t="s">
        <v>47</v>
      </c>
      <c r="AY22" s="34" t="s">
        <v>48</v>
      </c>
      <c r="AZ22" s="34" t="s">
        <v>49</v>
      </c>
      <c r="BA22" s="34" t="s">
        <v>50</v>
      </c>
      <c r="BB22" s="34" t="s">
        <v>51</v>
      </c>
      <c r="BC22" s="34" t="s">
        <v>52</v>
      </c>
      <c r="BD22" s="34" t="s">
        <v>53</v>
      </c>
      <c r="BE22" s="34" t="s">
        <v>54</v>
      </c>
      <c r="BF22" s="34" t="s">
        <v>55</v>
      </c>
      <c r="BG22" s="34" t="s">
        <v>56</v>
      </c>
      <c r="BH22" s="34" t="s">
        <v>57</v>
      </c>
      <c r="BI22" s="34" t="s">
        <v>58</v>
      </c>
      <c r="BJ22" s="34" t="s">
        <v>59</v>
      </c>
      <c r="BK22" s="35" t="s">
        <v>60</v>
      </c>
      <c r="BM22" s="34" t="s">
        <v>47</v>
      </c>
      <c r="BN22" s="34" t="s">
        <v>48</v>
      </c>
      <c r="BO22" s="34" t="s">
        <v>49</v>
      </c>
      <c r="BP22" s="34" t="s">
        <v>50</v>
      </c>
      <c r="BQ22" s="34" t="s">
        <v>51</v>
      </c>
      <c r="BR22" s="34" t="s">
        <v>52</v>
      </c>
      <c r="BS22" s="34" t="s">
        <v>53</v>
      </c>
      <c r="BT22" s="34" t="s">
        <v>54</v>
      </c>
      <c r="BU22" s="34" t="s">
        <v>55</v>
      </c>
      <c r="BV22" s="34" t="s">
        <v>56</v>
      </c>
      <c r="BW22" s="34" t="s">
        <v>57</v>
      </c>
      <c r="BX22" s="34" t="s">
        <v>58</v>
      </c>
      <c r="BY22" s="34" t="s">
        <v>59</v>
      </c>
      <c r="BZ22" s="35" t="s">
        <v>60</v>
      </c>
    </row>
    <row r="23" spans="1:78" ht="22.05" customHeight="1" thickBot="1" x14ac:dyDescent="0.45">
      <c r="A23" s="104" t="str">
        <f>_xlfn.CONCAT(D23,B22)</f>
        <v>Planejado4</v>
      </c>
      <c r="C23" s="248" t="str">
        <f>C62</f>
        <v xml:space="preserve">: </v>
      </c>
      <c r="D23" s="37" t="s">
        <v>61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  <c r="Q23" s="45">
        <f>SUMIF(E92:P92,"=1",E23:P23)</f>
        <v>0</v>
      </c>
      <c r="R23" s="46">
        <f>SUM(E23:P23)</f>
        <v>0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4"/>
      <c r="AF23" s="45">
        <f>SUMIF(T92:AE92,"=1",T23:AE23)</f>
        <v>0</v>
      </c>
      <c r="AG23" s="46">
        <f>SUM(T23:AE23)</f>
        <v>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4"/>
      <c r="AU23" s="45">
        <f>SUMIF(AI92:AT92,"=1",AI23:AT23)</f>
        <v>0</v>
      </c>
      <c r="AV23" s="46">
        <f>SUM(AI23:AT23)</f>
        <v>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4"/>
      <c r="BJ23" s="45">
        <f>SUMIF(AX92:BI92,"=1",AX23:BI23)</f>
        <v>0</v>
      </c>
      <c r="BK23" s="46">
        <f>SUM(AX23:BI23)</f>
        <v>0</v>
      </c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4"/>
      <c r="BY23" s="45">
        <f>SUMIF(BM92:BX92,"=1",BM23:BX23)</f>
        <v>0</v>
      </c>
      <c r="BZ23" s="46">
        <f>SUM(BM23:BX23)</f>
        <v>0</v>
      </c>
    </row>
    <row r="24" spans="1:78" ht="22.05" customHeight="1" thickBot="1" x14ac:dyDescent="0.45">
      <c r="A24" s="104" t="str">
        <f>_xlfn.CONCAT(D24,B22)</f>
        <v>Realizado4</v>
      </c>
      <c r="C24" s="249"/>
      <c r="D24" s="38" t="s">
        <v>62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5">
        <f>SUMIF(E92:P92,"=1",E24:P24)</f>
        <v>0</v>
      </c>
      <c r="R24" s="46">
        <f>SUM(E24:P24)</f>
        <v>0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9"/>
      <c r="AF24" s="45">
        <f>SUMIF(T92:AE92,"=1",T24:AE24)</f>
        <v>0</v>
      </c>
      <c r="AG24" s="46">
        <f>SUM(T24:AE24)</f>
        <v>0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  <c r="AU24" s="45">
        <f>SUMIF(AI92:AT92,"=1",AI24:AT24)</f>
        <v>0</v>
      </c>
      <c r="AV24" s="46">
        <f>SUM(AI24:AT24)</f>
        <v>0</v>
      </c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9"/>
      <c r="BJ24" s="45">
        <f>SUMIF(AX92:BI92,"=1",AX24:BI24)</f>
        <v>0</v>
      </c>
      <c r="BK24" s="46">
        <f>SUM(AX24:BI24)</f>
        <v>0</v>
      </c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9"/>
      <c r="BY24" s="45">
        <f>SUMIF(BM92:BX92,"=1",BM24:BX24)</f>
        <v>0</v>
      </c>
      <c r="BZ24" s="46">
        <f>SUM(BM24:BX24)</f>
        <v>0</v>
      </c>
    </row>
    <row r="25" spans="1:78" ht="22.05" customHeight="1" thickBot="1" x14ac:dyDescent="0.45">
      <c r="C25" s="249"/>
      <c r="D25" s="36" t="s">
        <v>63</v>
      </c>
      <c r="E25" s="51" t="str">
        <f>IF(OR(ISERR(E24/E23-1),E24=""),"",IF($B74=parametros!$I$3,E23/E24-1,E24/E23-1))</f>
        <v/>
      </c>
      <c r="F25" s="51" t="str">
        <f>IF(OR(ISERR(F24/F23-1),F24=""),"",IF($B74=parametros!$I$3,F23/F24-1,F24/F23-1))</f>
        <v/>
      </c>
      <c r="G25" s="51" t="str">
        <f>IF(OR(ISERR(G24/G23-1),G24=""),"",IF($B74=parametros!$I$3,G23/G24-1,G24/G23-1))</f>
        <v/>
      </c>
      <c r="H25" s="51" t="str">
        <f>IF(OR(ISERR(H24/H23-1),H24=""),"",IF($B74=parametros!$I$3,H23/H24-1,H24/H23-1))</f>
        <v/>
      </c>
      <c r="I25" s="51" t="str">
        <f>IF(OR(ISERR(I24/I23-1),I24=""),"",IF($B74=parametros!$I$3,I23/I24-1,I24/I23-1))</f>
        <v/>
      </c>
      <c r="J25" s="51" t="str">
        <f>IF(OR(ISERR(J24/J23-1),J24=""),"",IF($B74=parametros!$I$3,J23/J24-1,J24/J23-1))</f>
        <v/>
      </c>
      <c r="K25" s="51" t="str">
        <f>IF(OR(ISERR(K24/K23-1),K24=""),"",IF($B74=parametros!$I$3,K23/K24-1,K24/K23-1))</f>
        <v/>
      </c>
      <c r="L25" s="51" t="str">
        <f>IF(OR(ISERR(L24/L23-1),L24=""),"",IF($B74=parametros!$I$3,L23/L24-1,L24/L23-1))</f>
        <v/>
      </c>
      <c r="M25" s="51" t="str">
        <f>IF(OR(ISERR(M24/M23-1),M24=""),"",IF($B74=parametros!$I$3,M23/M24-1,M24/M23-1))</f>
        <v/>
      </c>
      <c r="N25" s="51" t="str">
        <f>IF(OR(ISERR(N24/N23-1),N24=""),"",IF($B74=parametros!$I$3,N23/N24-1,N24/N23-1))</f>
        <v/>
      </c>
      <c r="O25" s="51" t="str">
        <f>IF(OR(ISERR(O24/O23-1),O24=""),"",IF($B74=parametros!$I$3,O23/O24-1,O24/O23-1))</f>
        <v/>
      </c>
      <c r="P25" s="51" t="str">
        <f>IF(OR(ISERR(P24/P23-1),P24=""),"",IF($B74=parametros!$I$3,P23/P24-1,P24/P23-1))</f>
        <v/>
      </c>
      <c r="Q25" s="51" t="str">
        <f>IF(OR(ISERR(Q24/Q23-1),Q24=""),"",IF($B74=parametros!$I$3,Q23/Q24-1,Q24/Q23-1))</f>
        <v/>
      </c>
      <c r="R25" s="51" t="str">
        <f>IF(OR(ISERR(R24/R23-1),R24=""),"",IF($B74=parametros!$I$3,R23/R24-1,R24/R23-1))</f>
        <v/>
      </c>
      <c r="T25" s="51" t="str">
        <f>IF(OR(ISERR(T24/T23-1),T24=""),"",IF($B74=parametros!$I$3,T23/T24-1,T24/T23-1))</f>
        <v/>
      </c>
      <c r="U25" s="51" t="str">
        <f>IF(OR(ISERR(U24/U23-1),U24=""),"",IF($B74=parametros!$I$3,U23/U24-1,U24/U23-1))</f>
        <v/>
      </c>
      <c r="V25" s="51" t="str">
        <f>IF(OR(ISERR(V24/V23-1),V24=""),"",IF($B74=parametros!$I$3,V23/V24-1,V24/V23-1))</f>
        <v/>
      </c>
      <c r="W25" s="51" t="str">
        <f>IF(OR(ISERR(W24/W23-1),W24=""),"",IF($B74=parametros!$I$3,W23/W24-1,W24/W23-1))</f>
        <v/>
      </c>
      <c r="X25" s="51" t="str">
        <f>IF(OR(ISERR(X24/X23-1),X24=""),"",IF($B74=parametros!$I$3,X23/X24-1,X24/X23-1))</f>
        <v/>
      </c>
      <c r="Y25" s="51" t="str">
        <f>IF(OR(ISERR(Y24/Y23-1),Y24=""),"",IF($B74=parametros!$I$3,Y23/Y24-1,Y24/Y23-1))</f>
        <v/>
      </c>
      <c r="Z25" s="51" t="str">
        <f>IF(OR(ISERR(Z24/Z23-1),Z24=""),"",IF($B74=parametros!$I$3,Z23/Z24-1,Z24/Z23-1))</f>
        <v/>
      </c>
      <c r="AA25" s="51" t="str">
        <f>IF(OR(ISERR(AA24/AA23-1),AA24=""),"",IF($B74=parametros!$I$3,AA23/AA24-1,AA24/AA23-1))</f>
        <v/>
      </c>
      <c r="AB25" s="51" t="str">
        <f>IF(OR(ISERR(AB24/AB23-1),AB24=""),"",IF($B74=parametros!$I$3,AB23/AB24-1,AB24/AB23-1))</f>
        <v/>
      </c>
      <c r="AC25" s="51" t="str">
        <f>IF(OR(ISERR(AC24/AC23-1),AC24=""),"",IF($B74=parametros!$I$3,AC23/AC24-1,AC24/AC23-1))</f>
        <v/>
      </c>
      <c r="AD25" s="51" t="str">
        <f>IF(OR(ISERR(AD24/AD23-1),AD24=""),"",IF($B74=parametros!$I$3,AD23/AD24-1,AD24/AD23-1))</f>
        <v/>
      </c>
      <c r="AE25" s="51" t="str">
        <f>IF(OR(ISERR(AE24/AE23-1),AE24=""),"",IF($B74=parametros!$I$3,AE23/AE24-1,AE24/AE23-1))</f>
        <v/>
      </c>
      <c r="AF25" s="51" t="str">
        <f>IF(OR(ISERR(AF24/AF23-1),AF24=""),"",IF($B74=parametros!$I$3,AF23/AF24-1,AF24/AF23-1))</f>
        <v/>
      </c>
      <c r="AG25" s="51" t="str">
        <f>IF(OR(ISERR(AG24/AG23-1),AG24=""),"",IF($B74=parametros!$I$3,AG23/AG24-1,AG24/AG23-1))</f>
        <v/>
      </c>
      <c r="AI25" s="51" t="str">
        <f>IF(OR(ISERR(AI24/AI23-1),AI24=""),"",IF($B74=parametros!$I$3,AI23/AI24-1,AI24/AI23-1))</f>
        <v/>
      </c>
      <c r="AJ25" s="51" t="str">
        <f>IF(OR(ISERR(AJ24/AJ23-1),AJ24=""),"",IF($B74=parametros!$I$3,AJ23/AJ24-1,AJ24/AJ23-1))</f>
        <v/>
      </c>
      <c r="AK25" s="51" t="str">
        <f>IF(OR(ISERR(AK24/AK23-1),AK24=""),"",IF($B74=parametros!$I$3,AK23/AK24-1,AK24/AK23-1))</f>
        <v/>
      </c>
      <c r="AL25" s="51" t="str">
        <f>IF(OR(ISERR(AL24/AL23-1),AL24=""),"",IF($B74=parametros!$I$3,AL23/AL24-1,AL24/AL23-1))</f>
        <v/>
      </c>
      <c r="AM25" s="51" t="str">
        <f>IF(OR(ISERR(AM24/AM23-1),AM24=""),"",IF($B74=parametros!$I$3,AM23/AM24-1,AM24/AM23-1))</f>
        <v/>
      </c>
      <c r="AN25" s="51" t="str">
        <f>IF(OR(ISERR(AN24/AN23-1),AN24=""),"",IF($B74=parametros!$I$3,AN23/AN24-1,AN24/AN23-1))</f>
        <v/>
      </c>
      <c r="AO25" s="51" t="str">
        <f>IF(OR(ISERR(AO24/AO23-1),AO24=""),"",IF($B74=parametros!$I$3,AO23/AO24-1,AO24/AO23-1))</f>
        <v/>
      </c>
      <c r="AP25" s="51" t="str">
        <f>IF(OR(ISERR(AP24/AP23-1),AP24=""),"",IF($B74=parametros!$I$3,AP23/AP24-1,AP24/AP23-1))</f>
        <v/>
      </c>
      <c r="AQ25" s="51" t="str">
        <f>IF(OR(ISERR(AQ24/AQ23-1),AQ24=""),"",IF($B74=parametros!$I$3,AQ23/AQ24-1,AQ24/AQ23-1))</f>
        <v/>
      </c>
      <c r="AR25" s="51" t="str">
        <f>IF(OR(ISERR(AR24/AR23-1),AR24=""),"",IF($B74=parametros!$I$3,AR23/AR24-1,AR24/AR23-1))</f>
        <v/>
      </c>
      <c r="AS25" s="51" t="str">
        <f>IF(OR(ISERR(AS24/AS23-1),AS24=""),"",IF($B74=parametros!$I$3,AS23/AS24-1,AS24/AS23-1))</f>
        <v/>
      </c>
      <c r="AT25" s="51" t="str">
        <f>IF(OR(ISERR(AT24/AT23-1),AT24=""),"",IF($B74=parametros!$I$3,AT23/AT24-1,AT24/AT23-1))</f>
        <v/>
      </c>
      <c r="AU25" s="51" t="str">
        <f>IF(OR(ISERR(AU24/AU23-1),AU24=""),"",IF($B74=parametros!$I$3,AU23/AU24-1,AU24/AU23-1))</f>
        <v/>
      </c>
      <c r="AV25" s="51" t="str">
        <f>IF(OR(ISERR(AV24/AV23-1),AV24=""),"",IF($B74=parametros!$I$3,AV23/AV24-1,AV24/AV23-1))</f>
        <v/>
      </c>
      <c r="AX25" s="51" t="str">
        <f>IF(OR(ISERR(AX24/AX23-1),AX24=""),"",IF($B74=parametros!$I$3,AX23/AX24-1,AX24/AX23-1))</f>
        <v/>
      </c>
      <c r="AY25" s="51" t="str">
        <f>IF(OR(ISERR(AY24/AY23-1),AY24=""),"",IF($B74=parametros!$I$3,AY23/AY24-1,AY24/AY23-1))</f>
        <v/>
      </c>
      <c r="AZ25" s="51" t="str">
        <f>IF(OR(ISERR(AZ24/AZ23-1),AZ24=""),"",IF($B74=parametros!$I$3,AZ23/AZ24-1,AZ24/AZ23-1))</f>
        <v/>
      </c>
      <c r="BA25" s="51" t="str">
        <f>IF(OR(ISERR(BA24/BA23-1),BA24=""),"",IF($B74=parametros!$I$3,BA23/BA24-1,BA24/BA23-1))</f>
        <v/>
      </c>
      <c r="BB25" s="51" t="str">
        <f>IF(OR(ISERR(BB24/BB23-1),BB24=""),"",IF($B74=parametros!$I$3,BB23/BB24-1,BB24/BB23-1))</f>
        <v/>
      </c>
      <c r="BC25" s="51" t="str">
        <f>IF(OR(ISERR(BC24/BC23-1),BC24=""),"",IF($B74=parametros!$I$3,BC23/BC24-1,BC24/BC23-1))</f>
        <v/>
      </c>
      <c r="BD25" s="51" t="str">
        <f>IF(OR(ISERR(BD24/BD23-1),BD24=""),"",IF($B74=parametros!$I$3,BD23/BD24-1,BD24/BD23-1))</f>
        <v/>
      </c>
      <c r="BE25" s="51" t="str">
        <f>IF(OR(ISERR(BE24/BE23-1),BE24=""),"",IF($B74=parametros!$I$3,BE23/BE24-1,BE24/BE23-1))</f>
        <v/>
      </c>
      <c r="BF25" s="51" t="str">
        <f>IF(OR(ISERR(BF24/BF23-1),BF24=""),"",IF($B74=parametros!$I$3,BF23/BF24-1,BF24/BF23-1))</f>
        <v/>
      </c>
      <c r="BG25" s="51" t="str">
        <f>IF(OR(ISERR(BG24/BG23-1),BG24=""),"",IF($B74=parametros!$I$3,BG23/BG24-1,BG24/BG23-1))</f>
        <v/>
      </c>
      <c r="BH25" s="51" t="str">
        <f>IF(OR(ISERR(BH24/BH23-1),BH24=""),"",IF($B74=parametros!$I$3,BH23/BH24-1,BH24/BH23-1))</f>
        <v/>
      </c>
      <c r="BI25" s="51" t="str">
        <f>IF(OR(ISERR(BI24/BI23-1),BI24=""),"",IF($B74=parametros!$I$3,BI23/BI24-1,BI24/BI23-1))</f>
        <v/>
      </c>
      <c r="BJ25" s="51" t="str">
        <f>IF(OR(ISERR(BJ24/BJ23-1),BJ24=""),"",IF($B74=parametros!$I$3,BJ23/BJ24-1,BJ24/BJ23-1))</f>
        <v/>
      </c>
      <c r="BK25" s="51" t="str">
        <f>IF(OR(ISERR(BK24/BK23-1),BK24=""),"",IF($B74=parametros!$I$3,BK23/BK24-1,BK24/BK23-1))</f>
        <v/>
      </c>
      <c r="BM25" s="51" t="str">
        <f>IF(OR(ISERR(BM24/BM23-1),BM24=""),"",IF($B74=parametros!$I$3,BM23/BM24-1,BM24/BM23-1))</f>
        <v/>
      </c>
      <c r="BN25" s="51" t="str">
        <f>IF(OR(ISERR(BN24/BN23-1),BN24=""),"",IF($B74=parametros!$I$3,BN23/BN24-1,BN24/BN23-1))</f>
        <v/>
      </c>
      <c r="BO25" s="51" t="str">
        <f>IF(OR(ISERR(BO24/BO23-1),BO24=""),"",IF($B74=parametros!$I$3,BO23/BO24-1,BO24/BO23-1))</f>
        <v/>
      </c>
      <c r="BP25" s="51" t="str">
        <f>IF(OR(ISERR(BP24/BP23-1),BP24=""),"",IF($B74=parametros!$I$3,BP23/BP24-1,BP24/BP23-1))</f>
        <v/>
      </c>
      <c r="BQ25" s="51" t="str">
        <f>IF(OR(ISERR(BQ24/BQ23-1),BQ24=""),"",IF($B74=parametros!$I$3,BQ23/BQ24-1,BQ24/BQ23-1))</f>
        <v/>
      </c>
      <c r="BR25" s="51" t="str">
        <f>IF(OR(ISERR(BR24/BR23-1),BR24=""),"",IF($B74=parametros!$I$3,BR23/BR24-1,BR24/BR23-1))</f>
        <v/>
      </c>
      <c r="BS25" s="51" t="str">
        <f>IF(OR(ISERR(BS24/BS23-1),BS24=""),"",IF($B74=parametros!$I$3,BS23/BS24-1,BS24/BS23-1))</f>
        <v/>
      </c>
      <c r="BT25" s="51" t="str">
        <f>IF(OR(ISERR(BT24/BT23-1),BT24=""),"",IF($B74=parametros!$I$3,BT23/BT24-1,BT24/BT23-1))</f>
        <v/>
      </c>
      <c r="BU25" s="51" t="str">
        <f>IF(OR(ISERR(BU24/BU23-1),BU24=""),"",IF($B74=parametros!$I$3,BU23/BU24-1,BU24/BU23-1))</f>
        <v/>
      </c>
      <c r="BV25" s="51" t="str">
        <f>IF(OR(ISERR(BV24/BV23-1),BV24=""),"",IF($B74=parametros!$I$3,BV23/BV24-1,BV24/BV23-1))</f>
        <v/>
      </c>
      <c r="BW25" s="51" t="str">
        <f>IF(OR(ISERR(BW24/BW23-1),BW24=""),"",IF($B74=parametros!$I$3,BW23/BW24-1,BW24/BW23-1))</f>
        <v/>
      </c>
      <c r="BX25" s="51" t="str">
        <f>IF(OR(ISERR(BX24/BX23-1),BX24=""),"",IF($B74=parametros!$I$3,BX23/BX24-1,BX24/BX23-1))</f>
        <v/>
      </c>
      <c r="BY25" s="51" t="str">
        <f>IF(OR(ISERR(BY24/BY23-1),BY24=""),"",IF($B74=parametros!$I$3,BY23/BY24-1,BY24/BY23-1))</f>
        <v/>
      </c>
      <c r="BZ25" s="51" t="str">
        <f>IF(OR(ISERR(BZ24/BZ23-1),BZ24=""),"",IF($B74=parametros!$I$3,BZ23/BZ24-1,BZ24/BZ23-1))</f>
        <v/>
      </c>
    </row>
    <row r="26" spans="1:78" ht="4.95" customHeight="1" x14ac:dyDescent="0.4"/>
    <row r="27" spans="1:78" ht="22.05" customHeight="1" thickBot="1" x14ac:dyDescent="0.45">
      <c r="B27" s="104">
        <f>5</f>
        <v>5</v>
      </c>
      <c r="C27" s="33" t="s">
        <v>68</v>
      </c>
      <c r="D27" s="41" t="s">
        <v>44</v>
      </c>
      <c r="E27" s="34" t="s">
        <v>47</v>
      </c>
      <c r="F27" s="34" t="s">
        <v>48</v>
      </c>
      <c r="G27" s="34" t="s">
        <v>49</v>
      </c>
      <c r="H27" s="34" t="s">
        <v>50</v>
      </c>
      <c r="I27" s="34" t="s">
        <v>51</v>
      </c>
      <c r="J27" s="34" t="s">
        <v>52</v>
      </c>
      <c r="K27" s="34" t="s">
        <v>53</v>
      </c>
      <c r="L27" s="34" t="s">
        <v>54</v>
      </c>
      <c r="M27" s="34" t="s">
        <v>55</v>
      </c>
      <c r="N27" s="34" t="s">
        <v>56</v>
      </c>
      <c r="O27" s="34" t="s">
        <v>57</v>
      </c>
      <c r="P27" s="34" t="s">
        <v>58</v>
      </c>
      <c r="Q27" s="34" t="s">
        <v>59</v>
      </c>
      <c r="R27" s="35" t="s">
        <v>60</v>
      </c>
      <c r="T27" s="34" t="s">
        <v>47</v>
      </c>
      <c r="U27" s="34" t="s">
        <v>48</v>
      </c>
      <c r="V27" s="34" t="s">
        <v>49</v>
      </c>
      <c r="W27" s="34" t="s">
        <v>50</v>
      </c>
      <c r="X27" s="34" t="s">
        <v>51</v>
      </c>
      <c r="Y27" s="34" t="s">
        <v>52</v>
      </c>
      <c r="Z27" s="34" t="s">
        <v>53</v>
      </c>
      <c r="AA27" s="34" t="s">
        <v>54</v>
      </c>
      <c r="AB27" s="34" t="s">
        <v>55</v>
      </c>
      <c r="AC27" s="34" t="s">
        <v>56</v>
      </c>
      <c r="AD27" s="34" t="s">
        <v>57</v>
      </c>
      <c r="AE27" s="34" t="s">
        <v>58</v>
      </c>
      <c r="AF27" s="34" t="s">
        <v>59</v>
      </c>
      <c r="AG27" s="35" t="s">
        <v>60</v>
      </c>
      <c r="AI27" s="34" t="s">
        <v>47</v>
      </c>
      <c r="AJ27" s="34" t="s">
        <v>48</v>
      </c>
      <c r="AK27" s="34" t="s">
        <v>49</v>
      </c>
      <c r="AL27" s="34" t="s">
        <v>50</v>
      </c>
      <c r="AM27" s="34" t="s">
        <v>51</v>
      </c>
      <c r="AN27" s="34" t="s">
        <v>52</v>
      </c>
      <c r="AO27" s="34" t="s">
        <v>53</v>
      </c>
      <c r="AP27" s="34" t="s">
        <v>54</v>
      </c>
      <c r="AQ27" s="34" t="s">
        <v>55</v>
      </c>
      <c r="AR27" s="34" t="s">
        <v>56</v>
      </c>
      <c r="AS27" s="34" t="s">
        <v>57</v>
      </c>
      <c r="AT27" s="34" t="s">
        <v>58</v>
      </c>
      <c r="AU27" s="34" t="s">
        <v>59</v>
      </c>
      <c r="AV27" s="35" t="s">
        <v>60</v>
      </c>
      <c r="AX27" s="34" t="s">
        <v>47</v>
      </c>
      <c r="AY27" s="34" t="s">
        <v>48</v>
      </c>
      <c r="AZ27" s="34" t="s">
        <v>49</v>
      </c>
      <c r="BA27" s="34" t="s">
        <v>50</v>
      </c>
      <c r="BB27" s="34" t="s">
        <v>51</v>
      </c>
      <c r="BC27" s="34" t="s">
        <v>52</v>
      </c>
      <c r="BD27" s="34" t="s">
        <v>53</v>
      </c>
      <c r="BE27" s="34" t="s">
        <v>54</v>
      </c>
      <c r="BF27" s="34" t="s">
        <v>55</v>
      </c>
      <c r="BG27" s="34" t="s">
        <v>56</v>
      </c>
      <c r="BH27" s="34" t="s">
        <v>57</v>
      </c>
      <c r="BI27" s="34" t="s">
        <v>58</v>
      </c>
      <c r="BJ27" s="34" t="s">
        <v>59</v>
      </c>
      <c r="BK27" s="35" t="s">
        <v>60</v>
      </c>
      <c r="BM27" s="34" t="s">
        <v>47</v>
      </c>
      <c r="BN27" s="34" t="s">
        <v>48</v>
      </c>
      <c r="BO27" s="34" t="s">
        <v>49</v>
      </c>
      <c r="BP27" s="34" t="s">
        <v>50</v>
      </c>
      <c r="BQ27" s="34" t="s">
        <v>51</v>
      </c>
      <c r="BR27" s="34" t="s">
        <v>52</v>
      </c>
      <c r="BS27" s="34" t="s">
        <v>53</v>
      </c>
      <c r="BT27" s="34" t="s">
        <v>54</v>
      </c>
      <c r="BU27" s="34" t="s">
        <v>55</v>
      </c>
      <c r="BV27" s="34" t="s">
        <v>56</v>
      </c>
      <c r="BW27" s="34" t="s">
        <v>57</v>
      </c>
      <c r="BX27" s="34" t="s">
        <v>58</v>
      </c>
      <c r="BY27" s="34" t="s">
        <v>59</v>
      </c>
      <c r="BZ27" s="35" t="s">
        <v>60</v>
      </c>
    </row>
    <row r="28" spans="1:78" ht="22.05" customHeight="1" thickBot="1" x14ac:dyDescent="0.45">
      <c r="A28" s="104" t="str">
        <f>_xlfn.CONCAT(D28,B27)</f>
        <v>Planejado5</v>
      </c>
      <c r="C28" s="248" t="str">
        <f>C63</f>
        <v xml:space="preserve">: </v>
      </c>
      <c r="D28" s="37" t="s">
        <v>61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45">
        <f>SUMIF(E94:P94,"=1",E28:P28)</f>
        <v>0</v>
      </c>
      <c r="R28" s="46">
        <f>SUM(E28:P28)</f>
        <v>0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  <c r="AF28" s="45">
        <f>SUMIF(T94:AE94,"=1",T28:AE28)</f>
        <v>0</v>
      </c>
      <c r="AG28" s="46">
        <f>SUM(T28:AE28)</f>
        <v>0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5">
        <f>SUMIF(AI94:AT94,"=1",AI28:AT28)</f>
        <v>0</v>
      </c>
      <c r="AV28" s="46">
        <f>SUM(AI28:AT28)</f>
        <v>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4"/>
      <c r="BJ28" s="45">
        <f>SUMIF(AX94:BI94,"=1",AX28:BI28)</f>
        <v>0</v>
      </c>
      <c r="BK28" s="46">
        <f>SUM(AX28:BI28)</f>
        <v>0</v>
      </c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45">
        <f>SUMIF(BM94:BX94,"=1",BM28:BX28)</f>
        <v>0</v>
      </c>
      <c r="BZ28" s="46">
        <f>SUM(BM28:BX28)</f>
        <v>0</v>
      </c>
    </row>
    <row r="29" spans="1:78" ht="22.05" customHeight="1" thickBot="1" x14ac:dyDescent="0.45">
      <c r="A29" s="104" t="str">
        <f>_xlfn.CONCAT(D29,B27)</f>
        <v>Realizado5</v>
      </c>
      <c r="C29" s="249"/>
      <c r="D29" s="38" t="s">
        <v>62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45">
        <f>SUMIF(E94:P94,"=1",E29:P29)</f>
        <v>0</v>
      </c>
      <c r="R29" s="46">
        <f>SUM(E29:P29)</f>
        <v>0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9"/>
      <c r="AF29" s="45">
        <f>SUMIF(T94:AE94,"=1",T29:AE29)</f>
        <v>0</v>
      </c>
      <c r="AG29" s="46">
        <f>SUM(T29:AE29)</f>
        <v>0</v>
      </c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  <c r="AU29" s="45">
        <f>SUMIF(AI94:AT94,"=1",AI29:AT29)</f>
        <v>0</v>
      </c>
      <c r="AV29" s="46">
        <f>SUM(AI29:AT29)</f>
        <v>0</v>
      </c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9"/>
      <c r="BJ29" s="45">
        <f>SUMIF(AX94:BI94,"=1",AX29:BI29)</f>
        <v>0</v>
      </c>
      <c r="BK29" s="46">
        <f>SUM(AX29:BI29)</f>
        <v>0</v>
      </c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9"/>
      <c r="BY29" s="45">
        <f>SUMIF(BM94:BX94,"=1",BM29:BX29)</f>
        <v>0</v>
      </c>
      <c r="BZ29" s="46">
        <f>SUM(BM29:BX29)</f>
        <v>0</v>
      </c>
    </row>
    <row r="30" spans="1:78" ht="22.05" customHeight="1" thickBot="1" x14ac:dyDescent="0.45">
      <c r="C30" s="249"/>
      <c r="D30" s="36" t="s">
        <v>63</v>
      </c>
      <c r="E30" s="51" t="str">
        <f>IF(OR(ISERR(E29/E28-1),E29=""),"",IF($B79=parametros!$I$3,E28/E29-1,E29/E28-1))</f>
        <v/>
      </c>
      <c r="F30" s="51" t="str">
        <f>IF(OR(ISERR(F29/F28-1),F29=""),"",IF($B79=parametros!$I$3,F28/F29-1,F29/F28-1))</f>
        <v/>
      </c>
      <c r="G30" s="51" t="str">
        <f>IF(OR(ISERR(G29/G28-1),G29=""),"",IF($B79=parametros!$I$3,G28/G29-1,G29/G28-1))</f>
        <v/>
      </c>
      <c r="H30" s="51" t="str">
        <f>IF(OR(ISERR(H29/H28-1),H29=""),"",IF($B79=parametros!$I$3,H28/H29-1,H29/H28-1))</f>
        <v/>
      </c>
      <c r="I30" s="51" t="str">
        <f>IF(OR(ISERR(I29/I28-1),I29=""),"",IF($B79=parametros!$I$3,I28/I29-1,I29/I28-1))</f>
        <v/>
      </c>
      <c r="J30" s="51" t="str">
        <f>IF(OR(ISERR(J29/J28-1),J29=""),"",IF($B79=parametros!$I$3,J28/J29-1,J29/J28-1))</f>
        <v/>
      </c>
      <c r="K30" s="51" t="str">
        <f>IF(OR(ISERR(K29/K28-1),K29=""),"",IF($B79=parametros!$I$3,K28/K29-1,K29/K28-1))</f>
        <v/>
      </c>
      <c r="L30" s="51" t="str">
        <f>IF(OR(ISERR(L29/L28-1),L29=""),"",IF($B79=parametros!$I$3,L28/L29-1,L29/L28-1))</f>
        <v/>
      </c>
      <c r="M30" s="51" t="str">
        <f>IF(OR(ISERR(M29/M28-1),M29=""),"",IF($B79=parametros!$I$3,M28/M29-1,M29/M28-1))</f>
        <v/>
      </c>
      <c r="N30" s="51" t="str">
        <f>IF(OR(ISERR(N29/N28-1),N29=""),"",IF($B79=parametros!$I$3,N28/N29-1,N29/N28-1))</f>
        <v/>
      </c>
      <c r="O30" s="51" t="str">
        <f>IF(OR(ISERR(O29/O28-1),O29=""),"",IF($B79=parametros!$I$3,O28/O29-1,O29/O28-1))</f>
        <v/>
      </c>
      <c r="P30" s="51" t="str">
        <f>IF(OR(ISERR(P29/P28-1),P29=""),"",IF($B79=parametros!$I$3,P28/P29-1,P29/P28-1))</f>
        <v/>
      </c>
      <c r="Q30" s="51" t="str">
        <f>IF(OR(ISERR(Q29/Q28-1),Q29=""),"",IF($B79=parametros!$I$3,Q28/Q29-1,Q29/Q28-1))</f>
        <v/>
      </c>
      <c r="R30" s="51" t="str">
        <f>IF(OR(ISERR(R29/R28-1),R29=""),"",IF($B79=parametros!$I$3,R28/R29-1,R29/R28-1))</f>
        <v/>
      </c>
      <c r="T30" s="51" t="str">
        <f>IF(OR(ISERR(T29/T28-1),T29=""),"",IF($B79=parametros!$I$3,T28/T29-1,T29/T28-1))</f>
        <v/>
      </c>
      <c r="U30" s="51" t="str">
        <f>IF(OR(ISERR(U29/U28-1),U29=""),"",IF($B79=parametros!$I$3,U28/U29-1,U29/U28-1))</f>
        <v/>
      </c>
      <c r="V30" s="51" t="str">
        <f>IF(OR(ISERR(V29/V28-1),V29=""),"",IF($B79=parametros!$I$3,V28/V29-1,V29/V28-1))</f>
        <v/>
      </c>
      <c r="W30" s="51" t="str">
        <f>IF(OR(ISERR(W29/W28-1),W29=""),"",IF($B79=parametros!$I$3,W28/W29-1,W29/W28-1))</f>
        <v/>
      </c>
      <c r="X30" s="51" t="str">
        <f>IF(OR(ISERR(X29/X28-1),X29=""),"",IF($B79=parametros!$I$3,X28/X29-1,X29/X28-1))</f>
        <v/>
      </c>
      <c r="Y30" s="51" t="str">
        <f>IF(OR(ISERR(Y29/Y28-1),Y29=""),"",IF($B79=parametros!$I$3,Y28/Y29-1,Y29/Y28-1))</f>
        <v/>
      </c>
      <c r="Z30" s="51" t="str">
        <f>IF(OR(ISERR(Z29/Z28-1),Z29=""),"",IF($B79=parametros!$I$3,Z28/Z29-1,Z29/Z28-1))</f>
        <v/>
      </c>
      <c r="AA30" s="51" t="str">
        <f>IF(OR(ISERR(AA29/AA28-1),AA29=""),"",IF($B79=parametros!$I$3,AA28/AA29-1,AA29/AA28-1))</f>
        <v/>
      </c>
      <c r="AB30" s="51" t="str">
        <f>IF(OR(ISERR(AB29/AB28-1),AB29=""),"",IF($B79=parametros!$I$3,AB28/AB29-1,AB29/AB28-1))</f>
        <v/>
      </c>
      <c r="AC30" s="51" t="str">
        <f>IF(OR(ISERR(AC29/AC28-1),AC29=""),"",IF($B79=parametros!$I$3,AC28/AC29-1,AC29/AC28-1))</f>
        <v/>
      </c>
      <c r="AD30" s="51" t="str">
        <f>IF(OR(ISERR(AD29/AD28-1),AD29=""),"",IF($B79=parametros!$I$3,AD28/AD29-1,AD29/AD28-1))</f>
        <v/>
      </c>
      <c r="AE30" s="51" t="str">
        <f>IF(OR(ISERR(AE29/AE28-1),AE29=""),"",IF($B79=parametros!$I$3,AE28/AE29-1,AE29/AE28-1))</f>
        <v/>
      </c>
      <c r="AF30" s="51" t="str">
        <f>IF(OR(ISERR(AF29/AF28-1),AF29=""),"",IF($B79=parametros!$I$3,AF28/AF29-1,AF29/AF28-1))</f>
        <v/>
      </c>
      <c r="AG30" s="51" t="str">
        <f>IF(OR(ISERR(AG29/AG28-1),AG29=""),"",IF($B79=parametros!$I$3,AG28/AG29-1,AG29/AG28-1))</f>
        <v/>
      </c>
      <c r="AI30" s="51" t="str">
        <f>IF(OR(ISERR(AI29/AI28-1),AI29=""),"",IF($B79=parametros!$I$3,AI28/AI29-1,AI29/AI28-1))</f>
        <v/>
      </c>
      <c r="AJ30" s="51" t="str">
        <f>IF(OR(ISERR(AJ29/AJ28-1),AJ29=""),"",IF($B79=parametros!$I$3,AJ28/AJ29-1,AJ29/AJ28-1))</f>
        <v/>
      </c>
      <c r="AK30" s="51" t="str">
        <f>IF(OR(ISERR(AK29/AK28-1),AK29=""),"",IF($B79=parametros!$I$3,AK28/AK29-1,AK29/AK28-1))</f>
        <v/>
      </c>
      <c r="AL30" s="51" t="str">
        <f>IF(OR(ISERR(AL29/AL28-1),AL29=""),"",IF($B79=parametros!$I$3,AL28/AL29-1,AL29/AL28-1))</f>
        <v/>
      </c>
      <c r="AM30" s="51" t="str">
        <f>IF(OR(ISERR(AM29/AM28-1),AM29=""),"",IF($B79=parametros!$I$3,AM28/AM29-1,AM29/AM28-1))</f>
        <v/>
      </c>
      <c r="AN30" s="51" t="str">
        <f>IF(OR(ISERR(AN29/AN28-1),AN29=""),"",IF($B79=parametros!$I$3,AN28/AN29-1,AN29/AN28-1))</f>
        <v/>
      </c>
      <c r="AO30" s="51" t="str">
        <f>IF(OR(ISERR(AO29/AO28-1),AO29=""),"",IF($B79=parametros!$I$3,AO28/AO29-1,AO29/AO28-1))</f>
        <v/>
      </c>
      <c r="AP30" s="51" t="str">
        <f>IF(OR(ISERR(AP29/AP28-1),AP29=""),"",IF($B79=parametros!$I$3,AP28/AP29-1,AP29/AP28-1))</f>
        <v/>
      </c>
      <c r="AQ30" s="51" t="str">
        <f>IF(OR(ISERR(AQ29/AQ28-1),AQ29=""),"",IF($B79=parametros!$I$3,AQ28/AQ29-1,AQ29/AQ28-1))</f>
        <v/>
      </c>
      <c r="AR30" s="51" t="str">
        <f>IF(OR(ISERR(AR29/AR28-1),AR29=""),"",IF($B79=parametros!$I$3,AR28/AR29-1,AR29/AR28-1))</f>
        <v/>
      </c>
      <c r="AS30" s="51" t="str">
        <f>IF(OR(ISERR(AS29/AS28-1),AS29=""),"",IF($B79=parametros!$I$3,AS28/AS29-1,AS29/AS28-1))</f>
        <v/>
      </c>
      <c r="AT30" s="51" t="str">
        <f>IF(OR(ISERR(AT29/AT28-1),AT29=""),"",IF($B79=parametros!$I$3,AT28/AT29-1,AT29/AT28-1))</f>
        <v/>
      </c>
      <c r="AU30" s="51" t="str">
        <f>IF(OR(ISERR(AU29/AU28-1),AU29=""),"",IF($B79=parametros!$I$3,AU28/AU29-1,AU29/AU28-1))</f>
        <v/>
      </c>
      <c r="AV30" s="51" t="str">
        <f>IF(OR(ISERR(AV29/AV28-1),AV29=""),"",IF($B79=parametros!$I$3,AV28/AV29-1,AV29/AV28-1))</f>
        <v/>
      </c>
      <c r="AX30" s="51" t="str">
        <f>IF(OR(ISERR(AX29/AX28-1),AX29=""),"",IF($B79=parametros!$I$3,AX28/AX29-1,AX29/AX28-1))</f>
        <v/>
      </c>
      <c r="AY30" s="51" t="str">
        <f>IF(OR(ISERR(AY29/AY28-1),AY29=""),"",IF($B79=parametros!$I$3,AY28/AY29-1,AY29/AY28-1))</f>
        <v/>
      </c>
      <c r="AZ30" s="51" t="str">
        <f>IF(OR(ISERR(AZ29/AZ28-1),AZ29=""),"",IF($B79=parametros!$I$3,AZ28/AZ29-1,AZ29/AZ28-1))</f>
        <v/>
      </c>
      <c r="BA30" s="51" t="str">
        <f>IF(OR(ISERR(BA29/BA28-1),BA29=""),"",IF($B79=parametros!$I$3,BA28/BA29-1,BA29/BA28-1))</f>
        <v/>
      </c>
      <c r="BB30" s="51" t="str">
        <f>IF(OR(ISERR(BB29/BB28-1),BB29=""),"",IF($B79=parametros!$I$3,BB28/BB29-1,BB29/BB28-1))</f>
        <v/>
      </c>
      <c r="BC30" s="51" t="str">
        <f>IF(OR(ISERR(BC29/BC28-1),BC29=""),"",IF($B79=parametros!$I$3,BC28/BC29-1,BC29/BC28-1))</f>
        <v/>
      </c>
      <c r="BD30" s="51" t="str">
        <f>IF(OR(ISERR(BD29/BD28-1),BD29=""),"",IF($B79=parametros!$I$3,BD28/BD29-1,BD29/BD28-1))</f>
        <v/>
      </c>
      <c r="BE30" s="51" t="str">
        <f>IF(OR(ISERR(BE29/BE28-1),BE29=""),"",IF($B79=parametros!$I$3,BE28/BE29-1,BE29/BE28-1))</f>
        <v/>
      </c>
      <c r="BF30" s="51" t="str">
        <f>IF(OR(ISERR(BF29/BF28-1),BF29=""),"",IF($B79=parametros!$I$3,BF28/BF29-1,BF29/BF28-1))</f>
        <v/>
      </c>
      <c r="BG30" s="51" t="str">
        <f>IF(OR(ISERR(BG29/BG28-1),BG29=""),"",IF($B79=parametros!$I$3,BG28/BG29-1,BG29/BG28-1))</f>
        <v/>
      </c>
      <c r="BH30" s="51" t="str">
        <f>IF(OR(ISERR(BH29/BH28-1),BH29=""),"",IF($B79=parametros!$I$3,BH28/BH29-1,BH29/BH28-1))</f>
        <v/>
      </c>
      <c r="BI30" s="51" t="str">
        <f>IF(OR(ISERR(BI29/BI28-1),BI29=""),"",IF($B79=parametros!$I$3,BI28/BI29-1,BI29/BI28-1))</f>
        <v/>
      </c>
      <c r="BJ30" s="51" t="str">
        <f>IF(OR(ISERR(BJ29/BJ28-1),BJ29=""),"",IF($B79=parametros!$I$3,BJ28/BJ29-1,BJ29/BJ28-1))</f>
        <v/>
      </c>
      <c r="BK30" s="51" t="str">
        <f>IF(OR(ISERR(BK29/BK28-1),BK29=""),"",IF($B79=parametros!$I$3,BK28/BK29-1,BK29/BK28-1))</f>
        <v/>
      </c>
      <c r="BM30" s="51" t="str">
        <f>IF(OR(ISERR(BM29/BM28-1),BM29=""),"",IF($B79=parametros!$I$3,BM28/BM29-1,BM29/BM28-1))</f>
        <v/>
      </c>
      <c r="BN30" s="51" t="str">
        <f>IF(OR(ISERR(BN29/BN28-1),BN29=""),"",IF($B79=parametros!$I$3,BN28/BN29-1,BN29/BN28-1))</f>
        <v/>
      </c>
      <c r="BO30" s="51" t="str">
        <f>IF(OR(ISERR(BO29/BO28-1),BO29=""),"",IF($B79=parametros!$I$3,BO28/BO29-1,BO29/BO28-1))</f>
        <v/>
      </c>
      <c r="BP30" s="51" t="str">
        <f>IF(OR(ISERR(BP29/BP28-1),BP29=""),"",IF($B79=parametros!$I$3,BP28/BP29-1,BP29/BP28-1))</f>
        <v/>
      </c>
      <c r="BQ30" s="51" t="str">
        <f>IF(OR(ISERR(BQ29/BQ28-1),BQ29=""),"",IF($B79=parametros!$I$3,BQ28/BQ29-1,BQ29/BQ28-1))</f>
        <v/>
      </c>
      <c r="BR30" s="51" t="str">
        <f>IF(OR(ISERR(BR29/BR28-1),BR29=""),"",IF($B79=parametros!$I$3,BR28/BR29-1,BR29/BR28-1))</f>
        <v/>
      </c>
      <c r="BS30" s="51" t="str">
        <f>IF(OR(ISERR(BS29/BS28-1),BS29=""),"",IF($B79=parametros!$I$3,BS28/BS29-1,BS29/BS28-1))</f>
        <v/>
      </c>
      <c r="BT30" s="51" t="str">
        <f>IF(OR(ISERR(BT29/BT28-1),BT29=""),"",IF($B79=parametros!$I$3,BT28/BT29-1,BT29/BT28-1))</f>
        <v/>
      </c>
      <c r="BU30" s="51" t="str">
        <f>IF(OR(ISERR(BU29/BU28-1),BU29=""),"",IF($B79=parametros!$I$3,BU28/BU29-1,BU29/BU28-1))</f>
        <v/>
      </c>
      <c r="BV30" s="51" t="str">
        <f>IF(OR(ISERR(BV29/BV28-1),BV29=""),"",IF($B79=parametros!$I$3,BV28/BV29-1,BV29/BV28-1))</f>
        <v/>
      </c>
      <c r="BW30" s="51" t="str">
        <f>IF(OR(ISERR(BW29/BW28-1),BW29=""),"",IF($B79=parametros!$I$3,BW28/BW29-1,BW29/BW28-1))</f>
        <v/>
      </c>
      <c r="BX30" s="51" t="str">
        <f>IF(OR(ISERR(BX29/BX28-1),BX29=""),"",IF($B79=parametros!$I$3,BX28/BX29-1,BX29/BX28-1))</f>
        <v/>
      </c>
      <c r="BY30" s="51" t="str">
        <f>IF(OR(ISERR(BY29/BY28-1),BY29=""),"",IF($B79=parametros!$I$3,BY28/BY29-1,BY29/BY28-1))</f>
        <v/>
      </c>
      <c r="BZ30" s="51" t="str">
        <f>IF(OR(ISERR(BZ29/BZ28-1),BZ29=""),"",IF($B79=parametros!$I$3,BZ28/BZ29-1,BZ29/BZ28-1))</f>
        <v/>
      </c>
    </row>
    <row r="31" spans="1:78" ht="4.95" customHeight="1" x14ac:dyDescent="0.4"/>
    <row r="32" spans="1:78" ht="22.05" customHeight="1" thickBot="1" x14ac:dyDescent="0.45">
      <c r="B32" s="104">
        <f>6</f>
        <v>6</v>
      </c>
      <c r="C32" s="33" t="s">
        <v>69</v>
      </c>
      <c r="D32" s="41" t="s">
        <v>44</v>
      </c>
      <c r="E32" s="34" t="s">
        <v>47</v>
      </c>
      <c r="F32" s="34" t="s">
        <v>48</v>
      </c>
      <c r="G32" s="34" t="s">
        <v>49</v>
      </c>
      <c r="H32" s="34" t="s">
        <v>50</v>
      </c>
      <c r="I32" s="34" t="s">
        <v>51</v>
      </c>
      <c r="J32" s="34" t="s">
        <v>52</v>
      </c>
      <c r="K32" s="34" t="s">
        <v>53</v>
      </c>
      <c r="L32" s="34" t="s">
        <v>54</v>
      </c>
      <c r="M32" s="34" t="s">
        <v>55</v>
      </c>
      <c r="N32" s="34" t="s">
        <v>56</v>
      </c>
      <c r="O32" s="34" t="s">
        <v>57</v>
      </c>
      <c r="P32" s="34" t="s">
        <v>58</v>
      </c>
      <c r="Q32" s="34" t="s">
        <v>59</v>
      </c>
      <c r="R32" s="35" t="s">
        <v>60</v>
      </c>
      <c r="T32" s="34" t="s">
        <v>47</v>
      </c>
      <c r="U32" s="34" t="s">
        <v>48</v>
      </c>
      <c r="V32" s="34" t="s">
        <v>49</v>
      </c>
      <c r="W32" s="34" t="s">
        <v>50</v>
      </c>
      <c r="X32" s="34" t="s">
        <v>51</v>
      </c>
      <c r="Y32" s="34" t="s">
        <v>52</v>
      </c>
      <c r="Z32" s="34" t="s">
        <v>53</v>
      </c>
      <c r="AA32" s="34" t="s">
        <v>54</v>
      </c>
      <c r="AB32" s="34" t="s">
        <v>55</v>
      </c>
      <c r="AC32" s="34" t="s">
        <v>56</v>
      </c>
      <c r="AD32" s="34" t="s">
        <v>57</v>
      </c>
      <c r="AE32" s="34" t="s">
        <v>58</v>
      </c>
      <c r="AF32" s="34" t="s">
        <v>59</v>
      </c>
      <c r="AG32" s="35" t="s">
        <v>60</v>
      </c>
      <c r="AI32" s="34" t="s">
        <v>47</v>
      </c>
      <c r="AJ32" s="34" t="s">
        <v>48</v>
      </c>
      <c r="AK32" s="34" t="s">
        <v>49</v>
      </c>
      <c r="AL32" s="34" t="s">
        <v>50</v>
      </c>
      <c r="AM32" s="34" t="s">
        <v>51</v>
      </c>
      <c r="AN32" s="34" t="s">
        <v>52</v>
      </c>
      <c r="AO32" s="34" t="s">
        <v>53</v>
      </c>
      <c r="AP32" s="34" t="s">
        <v>54</v>
      </c>
      <c r="AQ32" s="34" t="s">
        <v>55</v>
      </c>
      <c r="AR32" s="34" t="s">
        <v>56</v>
      </c>
      <c r="AS32" s="34" t="s">
        <v>57</v>
      </c>
      <c r="AT32" s="34" t="s">
        <v>58</v>
      </c>
      <c r="AU32" s="34" t="s">
        <v>59</v>
      </c>
      <c r="AV32" s="35" t="s">
        <v>60</v>
      </c>
      <c r="AX32" s="34" t="s">
        <v>47</v>
      </c>
      <c r="AY32" s="34" t="s">
        <v>48</v>
      </c>
      <c r="AZ32" s="34" t="s">
        <v>49</v>
      </c>
      <c r="BA32" s="34" t="s">
        <v>50</v>
      </c>
      <c r="BB32" s="34" t="s">
        <v>51</v>
      </c>
      <c r="BC32" s="34" t="s">
        <v>52</v>
      </c>
      <c r="BD32" s="34" t="s">
        <v>53</v>
      </c>
      <c r="BE32" s="34" t="s">
        <v>54</v>
      </c>
      <c r="BF32" s="34" t="s">
        <v>55</v>
      </c>
      <c r="BG32" s="34" t="s">
        <v>56</v>
      </c>
      <c r="BH32" s="34" t="s">
        <v>57</v>
      </c>
      <c r="BI32" s="34" t="s">
        <v>58</v>
      </c>
      <c r="BJ32" s="34" t="s">
        <v>59</v>
      </c>
      <c r="BK32" s="35" t="s">
        <v>60</v>
      </c>
      <c r="BM32" s="34" t="s">
        <v>47</v>
      </c>
      <c r="BN32" s="34" t="s">
        <v>48</v>
      </c>
      <c r="BO32" s="34" t="s">
        <v>49</v>
      </c>
      <c r="BP32" s="34" t="s">
        <v>50</v>
      </c>
      <c r="BQ32" s="34" t="s">
        <v>51</v>
      </c>
      <c r="BR32" s="34" t="s">
        <v>52</v>
      </c>
      <c r="BS32" s="34" t="s">
        <v>53</v>
      </c>
      <c r="BT32" s="34" t="s">
        <v>54</v>
      </c>
      <c r="BU32" s="34" t="s">
        <v>55</v>
      </c>
      <c r="BV32" s="34" t="s">
        <v>56</v>
      </c>
      <c r="BW32" s="34" t="s">
        <v>57</v>
      </c>
      <c r="BX32" s="34" t="s">
        <v>58</v>
      </c>
      <c r="BY32" s="34" t="s">
        <v>59</v>
      </c>
      <c r="BZ32" s="35" t="s">
        <v>60</v>
      </c>
    </row>
    <row r="33" spans="1:78" ht="22.05" customHeight="1" thickBot="1" x14ac:dyDescent="0.45">
      <c r="A33" s="104" t="str">
        <f>_xlfn.CONCAT(D33,B32)</f>
        <v>Planejado6</v>
      </c>
      <c r="C33" s="248" t="str">
        <f>C64</f>
        <v xml:space="preserve">: </v>
      </c>
      <c r="D33" s="37" t="s">
        <v>61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45">
        <f>SUMIF(E96:P96,"=1",E33:P33)</f>
        <v>0</v>
      </c>
      <c r="R33" s="46">
        <f>SUM(E33:P33)</f>
        <v>0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4"/>
      <c r="AF33" s="45">
        <f>SUMIF(T96:AE96,"=1",T33:AE33)</f>
        <v>0</v>
      </c>
      <c r="AG33" s="46">
        <f>SUM(T33:AE33)</f>
        <v>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4"/>
      <c r="AU33" s="45">
        <f>SUMIF(AI96:AT96,"=1",AI33:AT33)</f>
        <v>0</v>
      </c>
      <c r="AV33" s="46">
        <f>SUM(AI33:AT33)</f>
        <v>0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4"/>
      <c r="BJ33" s="45">
        <f>SUMIF(AX96:BI96,"=1",AX33:BI33)</f>
        <v>0</v>
      </c>
      <c r="BK33" s="46">
        <f>SUM(AX33:BI33)</f>
        <v>0</v>
      </c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4"/>
      <c r="BY33" s="45">
        <f>SUMIF(BM96:BX96,"=1",BM33:BX33)</f>
        <v>0</v>
      </c>
      <c r="BZ33" s="46">
        <f>SUM(BM33:BX33)</f>
        <v>0</v>
      </c>
    </row>
    <row r="34" spans="1:78" ht="22.05" customHeight="1" thickBot="1" x14ac:dyDescent="0.45">
      <c r="A34" s="104" t="str">
        <f>_xlfn.CONCAT(D34,B32)</f>
        <v>Realizado6</v>
      </c>
      <c r="C34" s="249"/>
      <c r="D34" s="38" t="s">
        <v>62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5">
        <f>SUMIF(E96:P96,"=1",E34:P34)</f>
        <v>0</v>
      </c>
      <c r="R34" s="46">
        <f>SUM(E34:P34)</f>
        <v>0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9"/>
      <c r="AF34" s="45">
        <f>SUMIF(T96:AE96,"=1",T34:AE34)</f>
        <v>0</v>
      </c>
      <c r="AG34" s="46">
        <f>SUM(T34:AE34)</f>
        <v>0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9"/>
      <c r="AU34" s="45">
        <f>SUMIF(AI96:AT96,"=1",AI34:AT34)</f>
        <v>0</v>
      </c>
      <c r="AV34" s="46">
        <f>SUM(AI34:AT34)</f>
        <v>0</v>
      </c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9"/>
      <c r="BJ34" s="45">
        <f>SUMIF(AX96:BI96,"=1",AX34:BI34)</f>
        <v>0</v>
      </c>
      <c r="BK34" s="46">
        <f>SUM(AX34:BI34)</f>
        <v>0</v>
      </c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9"/>
      <c r="BY34" s="45">
        <f>SUMIF(BM96:BX96,"=1",BM34:BX34)</f>
        <v>0</v>
      </c>
      <c r="BZ34" s="46">
        <f>SUM(BM34:BX34)</f>
        <v>0</v>
      </c>
    </row>
    <row r="35" spans="1:78" ht="22.05" customHeight="1" thickBot="1" x14ac:dyDescent="0.45">
      <c r="C35" s="249"/>
      <c r="D35" s="36" t="s">
        <v>63</v>
      </c>
      <c r="E35" s="51" t="str">
        <f>IF(OR(ISERR(E34/E33-1),E34=""),"",IF($B85=parametros!$I$3,E33/E34-1,E34/E33-1))</f>
        <v/>
      </c>
      <c r="F35" s="51" t="str">
        <f>IF(OR(ISERR(F34/F33-1),F34=""),"",IF($B85=parametros!$I$3,F33/F34-1,F34/F33-1))</f>
        <v/>
      </c>
      <c r="G35" s="51" t="str">
        <f>IF(OR(ISERR(G34/G33-1),G34=""),"",IF($B85=parametros!$I$3,G33/G34-1,G34/G33-1))</f>
        <v/>
      </c>
      <c r="H35" s="51" t="str">
        <f>IF(OR(ISERR(H34/H33-1),H34=""),"",IF($B85=parametros!$I$3,H33/H34-1,H34/H33-1))</f>
        <v/>
      </c>
      <c r="I35" s="51" t="str">
        <f>IF(OR(ISERR(I34/I33-1),I34=""),"",IF($B85=parametros!$I$3,I33/I34-1,I34/I33-1))</f>
        <v/>
      </c>
      <c r="J35" s="51" t="str">
        <f>IF(OR(ISERR(J34/J33-1),J34=""),"",IF($B85=parametros!$I$3,J33/J34-1,J34/J33-1))</f>
        <v/>
      </c>
      <c r="K35" s="51" t="str">
        <f>IF(OR(ISERR(K34/K33-1),K34=""),"",IF($B85=parametros!$I$3,K33/K34-1,K34/K33-1))</f>
        <v/>
      </c>
      <c r="L35" s="51" t="str">
        <f>IF(OR(ISERR(L34/L33-1),L34=""),"",IF($B85=parametros!$I$3,L33/L34-1,L34/L33-1))</f>
        <v/>
      </c>
      <c r="M35" s="51" t="str">
        <f>IF(OR(ISERR(M34/M33-1),M34=""),"",IF($B85=parametros!$I$3,M33/M34-1,M34/M33-1))</f>
        <v/>
      </c>
      <c r="N35" s="51" t="str">
        <f>IF(OR(ISERR(N34/N33-1),N34=""),"",IF($B85=parametros!$I$3,N33/N34-1,N34/N33-1))</f>
        <v/>
      </c>
      <c r="O35" s="51" t="str">
        <f>IF(OR(ISERR(O34/O33-1),O34=""),"",IF($B85=parametros!$I$3,O33/O34-1,O34/O33-1))</f>
        <v/>
      </c>
      <c r="P35" s="51" t="str">
        <f>IF(OR(ISERR(P34/P33-1),P34=""),"",IF($B85=parametros!$I$3,P33/P34-1,P34/P33-1))</f>
        <v/>
      </c>
      <c r="Q35" s="51" t="str">
        <f>IF(OR(ISERR(Q34/Q33-1),Q34=""),"",IF($B85=parametros!$I$3,Q33/Q34-1,Q34/Q33-1))</f>
        <v/>
      </c>
      <c r="R35" s="51" t="str">
        <f>IF(OR(ISERR(R34/R33-1),R34=""),"",IF($B85=parametros!$I$3,R33/R34-1,R34/R33-1))</f>
        <v/>
      </c>
      <c r="T35" s="51" t="str">
        <f>IF(OR(ISERR(T34/T33-1),T34=""),"",IF($B85=parametros!$I$3,T33/T34-1,T34/T33-1))</f>
        <v/>
      </c>
      <c r="U35" s="51" t="str">
        <f>IF(OR(ISERR(U34/U33-1),U34=""),"",IF($B85=parametros!$I$3,U33/U34-1,U34/U33-1))</f>
        <v/>
      </c>
      <c r="V35" s="51" t="str">
        <f>IF(OR(ISERR(V34/V33-1),V34=""),"",IF($B85=parametros!$I$3,V33/V34-1,V34/V33-1))</f>
        <v/>
      </c>
      <c r="W35" s="51" t="str">
        <f>IF(OR(ISERR(W34/W33-1),W34=""),"",IF($B85=parametros!$I$3,W33/W34-1,W34/W33-1))</f>
        <v/>
      </c>
      <c r="X35" s="51" t="str">
        <f>IF(OR(ISERR(X34/X33-1),X34=""),"",IF($B85=parametros!$I$3,X33/X34-1,X34/X33-1))</f>
        <v/>
      </c>
      <c r="Y35" s="51" t="str">
        <f>IF(OR(ISERR(Y34/Y33-1),Y34=""),"",IF($B85=parametros!$I$3,Y33/Y34-1,Y34/Y33-1))</f>
        <v/>
      </c>
      <c r="Z35" s="51" t="str">
        <f>IF(OR(ISERR(Z34/Z33-1),Z34=""),"",IF($B85=parametros!$I$3,Z33/Z34-1,Z34/Z33-1))</f>
        <v/>
      </c>
      <c r="AA35" s="51" t="str">
        <f>IF(OR(ISERR(AA34/AA33-1),AA34=""),"",IF($B85=parametros!$I$3,AA33/AA34-1,AA34/AA33-1))</f>
        <v/>
      </c>
      <c r="AB35" s="51" t="str">
        <f>IF(OR(ISERR(AB34/AB33-1),AB34=""),"",IF($B85=parametros!$I$3,AB33/AB34-1,AB34/AB33-1))</f>
        <v/>
      </c>
      <c r="AC35" s="51" t="str">
        <f>IF(OR(ISERR(AC34/AC33-1),AC34=""),"",IF($B85=parametros!$I$3,AC33/AC34-1,AC34/AC33-1))</f>
        <v/>
      </c>
      <c r="AD35" s="51" t="str">
        <f>IF(OR(ISERR(AD34/AD33-1),AD34=""),"",IF($B85=parametros!$I$3,AD33/AD34-1,AD34/AD33-1))</f>
        <v/>
      </c>
      <c r="AE35" s="51" t="str">
        <f>IF(OR(ISERR(AE34/AE33-1),AE34=""),"",IF($B85=parametros!$I$3,AE33/AE34-1,AE34/AE33-1))</f>
        <v/>
      </c>
      <c r="AF35" s="51" t="str">
        <f>IF(OR(ISERR(AF34/AF33-1),AF34=""),"",IF($B85=parametros!$I$3,AF33/AF34-1,AF34/AF33-1))</f>
        <v/>
      </c>
      <c r="AG35" s="51" t="str">
        <f>IF(OR(ISERR(AG34/AG33-1),AG34=""),"",IF($B85=parametros!$I$3,AG33/AG34-1,AG34/AG33-1))</f>
        <v/>
      </c>
      <c r="AI35" s="51" t="str">
        <f>IF(OR(ISERR(AI34/AI33-1),AI34=""),"",IF($B85=parametros!$I$3,AI33/AI34-1,AI34/AI33-1))</f>
        <v/>
      </c>
      <c r="AJ35" s="51" t="str">
        <f>IF(OR(ISERR(AJ34/AJ33-1),AJ34=""),"",IF($B85=parametros!$I$3,AJ33/AJ34-1,AJ34/AJ33-1))</f>
        <v/>
      </c>
      <c r="AK35" s="51" t="str">
        <f>IF(OR(ISERR(AK34/AK33-1),AK34=""),"",IF($B85=parametros!$I$3,AK33/AK34-1,AK34/AK33-1))</f>
        <v/>
      </c>
      <c r="AL35" s="51" t="str">
        <f>IF(OR(ISERR(AL34/AL33-1),AL34=""),"",IF($B85=parametros!$I$3,AL33/AL34-1,AL34/AL33-1))</f>
        <v/>
      </c>
      <c r="AM35" s="51" t="str">
        <f>IF(OR(ISERR(AM34/AM33-1),AM34=""),"",IF($B85=parametros!$I$3,AM33/AM34-1,AM34/AM33-1))</f>
        <v/>
      </c>
      <c r="AN35" s="51" t="str">
        <f>IF(OR(ISERR(AN34/AN33-1),AN34=""),"",IF($B85=parametros!$I$3,AN33/AN34-1,AN34/AN33-1))</f>
        <v/>
      </c>
      <c r="AO35" s="51" t="str">
        <f>IF(OR(ISERR(AO34/AO33-1),AO34=""),"",IF($B85=parametros!$I$3,AO33/AO34-1,AO34/AO33-1))</f>
        <v/>
      </c>
      <c r="AP35" s="51" t="str">
        <f>IF(OR(ISERR(AP34/AP33-1),AP34=""),"",IF($B85=parametros!$I$3,AP33/AP34-1,AP34/AP33-1))</f>
        <v/>
      </c>
      <c r="AQ35" s="51" t="str">
        <f>IF(OR(ISERR(AQ34/AQ33-1),AQ34=""),"",IF($B85=parametros!$I$3,AQ33/AQ34-1,AQ34/AQ33-1))</f>
        <v/>
      </c>
      <c r="AR35" s="51" t="str">
        <f>IF(OR(ISERR(AR34/AR33-1),AR34=""),"",IF($B85=parametros!$I$3,AR33/AR34-1,AR34/AR33-1))</f>
        <v/>
      </c>
      <c r="AS35" s="51" t="str">
        <f>IF(OR(ISERR(AS34/AS33-1),AS34=""),"",IF($B85=parametros!$I$3,AS33/AS34-1,AS34/AS33-1))</f>
        <v/>
      </c>
      <c r="AT35" s="51" t="str">
        <f>IF(OR(ISERR(AT34/AT33-1),AT34=""),"",IF($B85=parametros!$I$3,AT33/AT34-1,AT34/AT33-1))</f>
        <v/>
      </c>
      <c r="AU35" s="51" t="str">
        <f>IF(OR(ISERR(AU34/AU33-1),AU34=""),"",IF($B85=parametros!$I$3,AU33/AU34-1,AU34/AU33-1))</f>
        <v/>
      </c>
      <c r="AV35" s="51" t="str">
        <f>IF(OR(ISERR(AV34/AV33-1),AV34=""),"",IF($B85=parametros!$I$3,AV33/AV34-1,AV34/AV33-1))</f>
        <v/>
      </c>
      <c r="AX35" s="51" t="str">
        <f>IF(OR(ISERR(AX34/AX33-1),AX34=""),"",IF($B85=parametros!$I$3,AX33/AX34-1,AX34/AX33-1))</f>
        <v/>
      </c>
      <c r="AY35" s="51" t="str">
        <f>IF(OR(ISERR(AY34/AY33-1),AY34=""),"",IF($B85=parametros!$I$3,AY33/AY34-1,AY34/AY33-1))</f>
        <v/>
      </c>
      <c r="AZ35" s="51" t="str">
        <f>IF(OR(ISERR(AZ34/AZ33-1),AZ34=""),"",IF($B85=parametros!$I$3,AZ33/AZ34-1,AZ34/AZ33-1))</f>
        <v/>
      </c>
      <c r="BA35" s="51" t="str">
        <f>IF(OR(ISERR(BA34/BA33-1),BA34=""),"",IF($B85=parametros!$I$3,BA33/BA34-1,BA34/BA33-1))</f>
        <v/>
      </c>
      <c r="BB35" s="51" t="str">
        <f>IF(OR(ISERR(BB34/BB33-1),BB34=""),"",IF($B85=parametros!$I$3,BB33/BB34-1,BB34/BB33-1))</f>
        <v/>
      </c>
      <c r="BC35" s="51" t="str">
        <f>IF(OR(ISERR(BC34/BC33-1),BC34=""),"",IF($B85=parametros!$I$3,BC33/BC34-1,BC34/BC33-1))</f>
        <v/>
      </c>
      <c r="BD35" s="51" t="str">
        <f>IF(OR(ISERR(BD34/BD33-1),BD34=""),"",IF($B85=parametros!$I$3,BD33/BD34-1,BD34/BD33-1))</f>
        <v/>
      </c>
      <c r="BE35" s="51" t="str">
        <f>IF(OR(ISERR(BE34/BE33-1),BE34=""),"",IF($B85=parametros!$I$3,BE33/BE34-1,BE34/BE33-1))</f>
        <v/>
      </c>
      <c r="BF35" s="51" t="str">
        <f>IF(OR(ISERR(BF34/BF33-1),BF34=""),"",IF($B85=parametros!$I$3,BF33/BF34-1,BF34/BF33-1))</f>
        <v/>
      </c>
      <c r="BG35" s="51" t="str">
        <f>IF(OR(ISERR(BG34/BG33-1),BG34=""),"",IF($B85=parametros!$I$3,BG33/BG34-1,BG34/BG33-1))</f>
        <v/>
      </c>
      <c r="BH35" s="51" t="str">
        <f>IF(OR(ISERR(BH34/BH33-1),BH34=""),"",IF($B85=parametros!$I$3,BH33/BH34-1,BH34/BH33-1))</f>
        <v/>
      </c>
      <c r="BI35" s="51" t="str">
        <f>IF(OR(ISERR(BI34/BI33-1),BI34=""),"",IF($B85=parametros!$I$3,BI33/BI34-1,BI34/BI33-1))</f>
        <v/>
      </c>
      <c r="BJ35" s="51" t="str">
        <f>IF(OR(ISERR(BJ34/BJ33-1),BJ34=""),"",IF($B85=parametros!$I$3,BJ33/BJ34-1,BJ34/BJ33-1))</f>
        <v/>
      </c>
      <c r="BK35" s="51" t="str">
        <f>IF(OR(ISERR(BK34/BK33-1),BK34=""),"",IF($B85=parametros!$I$3,BK33/BK34-1,BK34/BK33-1))</f>
        <v/>
      </c>
      <c r="BM35" s="51" t="str">
        <f>IF(OR(ISERR(BM34/BM33-1),BM34=""),"",IF($B85=parametros!$I$3,BM33/BM34-1,BM34/BM33-1))</f>
        <v/>
      </c>
      <c r="BN35" s="51" t="str">
        <f>IF(OR(ISERR(BN34/BN33-1),BN34=""),"",IF($B85=parametros!$I$3,BN33/BN34-1,BN34/BN33-1))</f>
        <v/>
      </c>
      <c r="BO35" s="51" t="str">
        <f>IF(OR(ISERR(BO34/BO33-1),BO34=""),"",IF($B85=parametros!$I$3,BO33/BO34-1,BO34/BO33-1))</f>
        <v/>
      </c>
      <c r="BP35" s="51" t="str">
        <f>IF(OR(ISERR(BP34/BP33-1),BP34=""),"",IF($B85=parametros!$I$3,BP33/BP34-1,BP34/BP33-1))</f>
        <v/>
      </c>
      <c r="BQ35" s="51" t="str">
        <f>IF(OR(ISERR(BQ34/BQ33-1),BQ34=""),"",IF($B85=parametros!$I$3,BQ33/BQ34-1,BQ34/BQ33-1))</f>
        <v/>
      </c>
      <c r="BR35" s="51" t="str">
        <f>IF(OR(ISERR(BR34/BR33-1),BR34=""),"",IF($B85=parametros!$I$3,BR33/BR34-1,BR34/BR33-1))</f>
        <v/>
      </c>
      <c r="BS35" s="51" t="str">
        <f>IF(OR(ISERR(BS34/BS33-1),BS34=""),"",IF($B85=parametros!$I$3,BS33/BS34-1,BS34/BS33-1))</f>
        <v/>
      </c>
      <c r="BT35" s="51" t="str">
        <f>IF(OR(ISERR(BT34/BT33-1),BT34=""),"",IF($B85=parametros!$I$3,BT33/BT34-1,BT34/BT33-1))</f>
        <v/>
      </c>
      <c r="BU35" s="51" t="str">
        <f>IF(OR(ISERR(BU34/BU33-1),BU34=""),"",IF($B85=parametros!$I$3,BU33/BU34-1,BU34/BU33-1))</f>
        <v/>
      </c>
      <c r="BV35" s="51" t="str">
        <f>IF(OR(ISERR(BV34/BV33-1),BV34=""),"",IF($B85=parametros!$I$3,BV33/BV34-1,BV34/BV33-1))</f>
        <v/>
      </c>
      <c r="BW35" s="51" t="str">
        <f>IF(OR(ISERR(BW34/BW33-1),BW34=""),"",IF($B85=parametros!$I$3,BW33/BW34-1,BW34/BW33-1))</f>
        <v/>
      </c>
      <c r="BX35" s="51" t="str">
        <f>IF(OR(ISERR(BX34/BX33-1),BX34=""),"",IF($B85=parametros!$I$3,BX33/BX34-1,BX34/BX33-1))</f>
        <v/>
      </c>
      <c r="BY35" s="51" t="str">
        <f>IF(OR(ISERR(BY34/BY33-1),BY34=""),"",IF($B85=parametros!$I$3,BY33/BY34-1,BY34/BY33-1))</f>
        <v/>
      </c>
      <c r="BZ35" s="51" t="str">
        <f>IF(OR(ISERR(BZ34/BZ33-1),BZ34=""),"",IF($B85=parametros!$I$3,BZ33/BZ34-1,BZ34/BZ33-1))</f>
        <v/>
      </c>
    </row>
    <row r="36" spans="1:78" ht="4.95" customHeight="1" x14ac:dyDescent="0.4"/>
    <row r="37" spans="1:78" ht="22.05" customHeight="1" thickBot="1" x14ac:dyDescent="0.45">
      <c r="B37" s="104">
        <f>7</f>
        <v>7</v>
      </c>
      <c r="C37" s="33" t="s">
        <v>70</v>
      </c>
      <c r="D37" s="41" t="s">
        <v>44</v>
      </c>
      <c r="E37" s="34" t="s">
        <v>47</v>
      </c>
      <c r="F37" s="34" t="s">
        <v>48</v>
      </c>
      <c r="G37" s="34" t="s">
        <v>49</v>
      </c>
      <c r="H37" s="34" t="s">
        <v>50</v>
      </c>
      <c r="I37" s="34" t="s">
        <v>51</v>
      </c>
      <c r="J37" s="34" t="s">
        <v>52</v>
      </c>
      <c r="K37" s="34" t="s">
        <v>53</v>
      </c>
      <c r="L37" s="34" t="s">
        <v>54</v>
      </c>
      <c r="M37" s="34" t="s">
        <v>55</v>
      </c>
      <c r="N37" s="34" t="s">
        <v>56</v>
      </c>
      <c r="O37" s="34" t="s">
        <v>57</v>
      </c>
      <c r="P37" s="34" t="s">
        <v>58</v>
      </c>
      <c r="Q37" s="34" t="s">
        <v>59</v>
      </c>
      <c r="R37" s="35" t="s">
        <v>60</v>
      </c>
      <c r="T37" s="34" t="s">
        <v>47</v>
      </c>
      <c r="U37" s="34" t="s">
        <v>48</v>
      </c>
      <c r="V37" s="34" t="s">
        <v>49</v>
      </c>
      <c r="W37" s="34" t="s">
        <v>50</v>
      </c>
      <c r="X37" s="34" t="s">
        <v>51</v>
      </c>
      <c r="Y37" s="34" t="s">
        <v>52</v>
      </c>
      <c r="Z37" s="34" t="s">
        <v>53</v>
      </c>
      <c r="AA37" s="34" t="s">
        <v>54</v>
      </c>
      <c r="AB37" s="34" t="s">
        <v>55</v>
      </c>
      <c r="AC37" s="34" t="s">
        <v>56</v>
      </c>
      <c r="AD37" s="34" t="s">
        <v>57</v>
      </c>
      <c r="AE37" s="34" t="s">
        <v>58</v>
      </c>
      <c r="AF37" s="34" t="s">
        <v>59</v>
      </c>
      <c r="AG37" s="35" t="s">
        <v>60</v>
      </c>
      <c r="AI37" s="34" t="s">
        <v>47</v>
      </c>
      <c r="AJ37" s="34" t="s">
        <v>48</v>
      </c>
      <c r="AK37" s="34" t="s">
        <v>49</v>
      </c>
      <c r="AL37" s="34" t="s">
        <v>50</v>
      </c>
      <c r="AM37" s="34" t="s">
        <v>51</v>
      </c>
      <c r="AN37" s="34" t="s">
        <v>52</v>
      </c>
      <c r="AO37" s="34" t="s">
        <v>53</v>
      </c>
      <c r="AP37" s="34" t="s">
        <v>54</v>
      </c>
      <c r="AQ37" s="34" t="s">
        <v>55</v>
      </c>
      <c r="AR37" s="34" t="s">
        <v>56</v>
      </c>
      <c r="AS37" s="34" t="s">
        <v>57</v>
      </c>
      <c r="AT37" s="34" t="s">
        <v>58</v>
      </c>
      <c r="AU37" s="34" t="s">
        <v>59</v>
      </c>
      <c r="AV37" s="35" t="s">
        <v>60</v>
      </c>
      <c r="AX37" s="34" t="s">
        <v>47</v>
      </c>
      <c r="AY37" s="34" t="s">
        <v>48</v>
      </c>
      <c r="AZ37" s="34" t="s">
        <v>49</v>
      </c>
      <c r="BA37" s="34" t="s">
        <v>50</v>
      </c>
      <c r="BB37" s="34" t="s">
        <v>51</v>
      </c>
      <c r="BC37" s="34" t="s">
        <v>52</v>
      </c>
      <c r="BD37" s="34" t="s">
        <v>53</v>
      </c>
      <c r="BE37" s="34" t="s">
        <v>54</v>
      </c>
      <c r="BF37" s="34" t="s">
        <v>55</v>
      </c>
      <c r="BG37" s="34" t="s">
        <v>56</v>
      </c>
      <c r="BH37" s="34" t="s">
        <v>57</v>
      </c>
      <c r="BI37" s="34" t="s">
        <v>58</v>
      </c>
      <c r="BJ37" s="34" t="s">
        <v>59</v>
      </c>
      <c r="BK37" s="35" t="s">
        <v>60</v>
      </c>
      <c r="BM37" s="34" t="s">
        <v>47</v>
      </c>
      <c r="BN37" s="34" t="s">
        <v>48</v>
      </c>
      <c r="BO37" s="34" t="s">
        <v>49</v>
      </c>
      <c r="BP37" s="34" t="s">
        <v>50</v>
      </c>
      <c r="BQ37" s="34" t="s">
        <v>51</v>
      </c>
      <c r="BR37" s="34" t="s">
        <v>52</v>
      </c>
      <c r="BS37" s="34" t="s">
        <v>53</v>
      </c>
      <c r="BT37" s="34" t="s">
        <v>54</v>
      </c>
      <c r="BU37" s="34" t="s">
        <v>55</v>
      </c>
      <c r="BV37" s="34" t="s">
        <v>56</v>
      </c>
      <c r="BW37" s="34" t="s">
        <v>57</v>
      </c>
      <c r="BX37" s="34" t="s">
        <v>58</v>
      </c>
      <c r="BY37" s="34" t="s">
        <v>59</v>
      </c>
      <c r="BZ37" s="35" t="s">
        <v>60</v>
      </c>
    </row>
    <row r="38" spans="1:78" ht="22.05" customHeight="1" thickBot="1" x14ac:dyDescent="0.45">
      <c r="A38" s="104" t="str">
        <f>_xlfn.CONCAT(D38,B37)</f>
        <v>Planejado7</v>
      </c>
      <c r="C38" s="248" t="str">
        <f>C65</f>
        <v xml:space="preserve">: </v>
      </c>
      <c r="D38" s="37" t="s">
        <v>61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  <c r="Q38" s="45">
        <f>SUMIF(E98:P98,"=1",E38:P38)</f>
        <v>0</v>
      </c>
      <c r="R38" s="46">
        <f>SUM(E38:P38)</f>
        <v>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4"/>
      <c r="AF38" s="45">
        <f>SUMIF(T98:AE98,"=1",T38:AE38)</f>
        <v>0</v>
      </c>
      <c r="AG38" s="46">
        <f>SUM(T38:AE38)</f>
        <v>0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4"/>
      <c r="AU38" s="45">
        <f>SUMIF(AI98:AT98,"=1",AI38:AT38)</f>
        <v>0</v>
      </c>
      <c r="AV38" s="46">
        <f>SUM(AI38:AT38)</f>
        <v>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4"/>
      <c r="BJ38" s="45">
        <f>SUMIF(AX98:BI98,"=1",AX38:BI38)</f>
        <v>0</v>
      </c>
      <c r="BK38" s="46">
        <f>SUM(AX38:BI38)</f>
        <v>0</v>
      </c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4"/>
      <c r="BY38" s="45">
        <f>SUMIF(BM98:BX98,"=1",BM38:BX38)</f>
        <v>0</v>
      </c>
      <c r="BZ38" s="46">
        <f>SUM(BM38:BX38)</f>
        <v>0</v>
      </c>
    </row>
    <row r="39" spans="1:78" ht="22.05" customHeight="1" thickBot="1" x14ac:dyDescent="0.45">
      <c r="A39" s="104" t="str">
        <f>_xlfn.CONCAT(D39,B37)</f>
        <v>Realizado7</v>
      </c>
      <c r="C39" s="249"/>
      <c r="D39" s="38" t="s">
        <v>62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5">
        <f>SUMIF(E98:P98,"=1",E39:P39)</f>
        <v>0</v>
      </c>
      <c r="R39" s="46">
        <f>SUM(E39:P39)</f>
        <v>0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9"/>
      <c r="AF39" s="45">
        <f>SUMIF(T98:AE98,"=1",T39:AE39)</f>
        <v>0</v>
      </c>
      <c r="AG39" s="46">
        <f>SUM(T39:AE39)</f>
        <v>0</v>
      </c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5">
        <f>SUMIF(AI98:AT98,"=1",AI39:AT39)</f>
        <v>0</v>
      </c>
      <c r="AV39" s="46">
        <f>SUM(AI39:AT39)</f>
        <v>0</v>
      </c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9"/>
      <c r="BJ39" s="45">
        <f>SUMIF(AX98:BI98,"=1",AX39:BI39)</f>
        <v>0</v>
      </c>
      <c r="BK39" s="46">
        <f>SUM(AX39:BI39)</f>
        <v>0</v>
      </c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9"/>
      <c r="BY39" s="45">
        <f>SUMIF(BM98:BX98,"=1",BM39:BX39)</f>
        <v>0</v>
      </c>
      <c r="BZ39" s="46">
        <f>SUM(BM39:BX39)</f>
        <v>0</v>
      </c>
    </row>
    <row r="40" spans="1:78" ht="22.05" customHeight="1" thickBot="1" x14ac:dyDescent="0.45">
      <c r="C40" s="249"/>
      <c r="D40" s="36" t="s">
        <v>63</v>
      </c>
      <c r="E40" s="51" t="str">
        <f>IF(OR(ISERR(E39/E38-1),E39=""),"",IF($B90=parametros!$I$3,E38/E39-1,E39/E38-1))</f>
        <v/>
      </c>
      <c r="F40" s="51" t="str">
        <f>IF(OR(ISERR(F39/F38-1),F39=""),"",IF($B90=parametros!$I$3,F38/F39-1,F39/F38-1))</f>
        <v/>
      </c>
      <c r="G40" s="51" t="str">
        <f>IF(OR(ISERR(G39/G38-1),G39=""),"",IF($B90=parametros!$I$3,G38/G39-1,G39/G38-1))</f>
        <v/>
      </c>
      <c r="H40" s="51" t="str">
        <f>IF(OR(ISERR(H39/H38-1),H39=""),"",IF($B90=parametros!$I$3,H38/H39-1,H39/H38-1))</f>
        <v/>
      </c>
      <c r="I40" s="51" t="str">
        <f>IF(OR(ISERR(I39/I38-1),I39=""),"",IF($B90=parametros!$I$3,I38/I39-1,I39/I38-1))</f>
        <v/>
      </c>
      <c r="J40" s="51" t="str">
        <f>IF(OR(ISERR(J39/J38-1),J39=""),"",IF($B90=parametros!$I$3,J38/J39-1,J39/J38-1))</f>
        <v/>
      </c>
      <c r="K40" s="51" t="str">
        <f>IF(OR(ISERR(K39/K38-1),K39=""),"",IF($B90=parametros!$I$3,K38/K39-1,K39/K38-1))</f>
        <v/>
      </c>
      <c r="L40" s="51" t="str">
        <f>IF(OR(ISERR(L39/L38-1),L39=""),"",IF($B90=parametros!$I$3,L38/L39-1,L39/L38-1))</f>
        <v/>
      </c>
      <c r="M40" s="51" t="str">
        <f>IF(OR(ISERR(M39/M38-1),M39=""),"",IF($B90=parametros!$I$3,M38/M39-1,M39/M38-1))</f>
        <v/>
      </c>
      <c r="N40" s="51" t="str">
        <f>IF(OR(ISERR(N39/N38-1),N39=""),"",IF($B90=parametros!$I$3,N38/N39-1,N39/N38-1))</f>
        <v/>
      </c>
      <c r="O40" s="51" t="str">
        <f>IF(OR(ISERR(O39/O38-1),O39=""),"",IF($B90=parametros!$I$3,O38/O39-1,O39/O38-1))</f>
        <v/>
      </c>
      <c r="P40" s="51" t="str">
        <f>IF(OR(ISERR(P39/P38-1),P39=""),"",IF($B90=parametros!$I$3,P38/P39-1,P39/P38-1))</f>
        <v/>
      </c>
      <c r="Q40" s="51" t="str">
        <f>IF(OR(ISERR(Q39/Q38-1),Q39=""),"",IF($B90=parametros!$I$3,Q38/Q39-1,Q39/Q38-1))</f>
        <v/>
      </c>
      <c r="R40" s="51" t="str">
        <f>IF(OR(ISERR(R39/R38-1),R39=""),"",IF($B90=parametros!$I$3,R38/R39-1,R39/R38-1))</f>
        <v/>
      </c>
      <c r="T40" s="51" t="str">
        <f>IF(OR(ISERR(T39/T38-1),T39=""),"",IF($B90=parametros!$I$3,T38/T39-1,T39/T38-1))</f>
        <v/>
      </c>
      <c r="U40" s="51" t="str">
        <f>IF(OR(ISERR(U39/U38-1),U39=""),"",IF($B90=parametros!$I$3,U38/U39-1,U39/U38-1))</f>
        <v/>
      </c>
      <c r="V40" s="51" t="str">
        <f>IF(OR(ISERR(V39/V38-1),V39=""),"",IF($B90=parametros!$I$3,V38/V39-1,V39/V38-1))</f>
        <v/>
      </c>
      <c r="W40" s="51" t="str">
        <f>IF(OR(ISERR(W39/W38-1),W39=""),"",IF($B90=parametros!$I$3,W38/W39-1,W39/W38-1))</f>
        <v/>
      </c>
      <c r="X40" s="51" t="str">
        <f>IF(OR(ISERR(X39/X38-1),X39=""),"",IF($B90=parametros!$I$3,X38/X39-1,X39/X38-1))</f>
        <v/>
      </c>
      <c r="Y40" s="51" t="str">
        <f>IF(OR(ISERR(Y39/Y38-1),Y39=""),"",IF($B90=parametros!$I$3,Y38/Y39-1,Y39/Y38-1))</f>
        <v/>
      </c>
      <c r="Z40" s="51" t="str">
        <f>IF(OR(ISERR(Z39/Z38-1),Z39=""),"",IF($B90=parametros!$I$3,Z38/Z39-1,Z39/Z38-1))</f>
        <v/>
      </c>
      <c r="AA40" s="51" t="str">
        <f>IF(OR(ISERR(AA39/AA38-1),AA39=""),"",IF($B90=parametros!$I$3,AA38/AA39-1,AA39/AA38-1))</f>
        <v/>
      </c>
      <c r="AB40" s="51" t="str">
        <f>IF(OR(ISERR(AB39/AB38-1),AB39=""),"",IF($B90=parametros!$I$3,AB38/AB39-1,AB39/AB38-1))</f>
        <v/>
      </c>
      <c r="AC40" s="51" t="str">
        <f>IF(OR(ISERR(AC39/AC38-1),AC39=""),"",IF($B90=parametros!$I$3,AC38/AC39-1,AC39/AC38-1))</f>
        <v/>
      </c>
      <c r="AD40" s="51" t="str">
        <f>IF(OR(ISERR(AD39/AD38-1),AD39=""),"",IF($B90=parametros!$I$3,AD38/AD39-1,AD39/AD38-1))</f>
        <v/>
      </c>
      <c r="AE40" s="51" t="str">
        <f>IF(OR(ISERR(AE39/AE38-1),AE39=""),"",IF($B90=parametros!$I$3,AE38/AE39-1,AE39/AE38-1))</f>
        <v/>
      </c>
      <c r="AF40" s="51" t="str">
        <f>IF(OR(ISERR(AF39/AF38-1),AF39=""),"",IF($B90=parametros!$I$3,AF38/AF39-1,AF39/AF38-1))</f>
        <v/>
      </c>
      <c r="AG40" s="51" t="str">
        <f>IF(OR(ISERR(AG39/AG38-1),AG39=""),"",IF($B90=parametros!$I$3,AG38/AG39-1,AG39/AG38-1))</f>
        <v/>
      </c>
      <c r="AI40" s="51" t="str">
        <f>IF(OR(ISERR(AI39/AI38-1),AI39=""),"",IF($B90=parametros!$I$3,AI38/AI39-1,AI39/AI38-1))</f>
        <v/>
      </c>
      <c r="AJ40" s="51" t="str">
        <f>IF(OR(ISERR(AJ39/AJ38-1),AJ39=""),"",IF($B90=parametros!$I$3,AJ38/AJ39-1,AJ39/AJ38-1))</f>
        <v/>
      </c>
      <c r="AK40" s="51" t="str">
        <f>IF(OR(ISERR(AK39/AK38-1),AK39=""),"",IF($B90=parametros!$I$3,AK38/AK39-1,AK39/AK38-1))</f>
        <v/>
      </c>
      <c r="AL40" s="51" t="str">
        <f>IF(OR(ISERR(AL39/AL38-1),AL39=""),"",IF($B90=parametros!$I$3,AL38/AL39-1,AL39/AL38-1))</f>
        <v/>
      </c>
      <c r="AM40" s="51" t="str">
        <f>IF(OR(ISERR(AM39/AM38-1),AM39=""),"",IF($B90=parametros!$I$3,AM38/AM39-1,AM39/AM38-1))</f>
        <v/>
      </c>
      <c r="AN40" s="51" t="str">
        <f>IF(OR(ISERR(AN39/AN38-1),AN39=""),"",IF($B90=parametros!$I$3,AN38/AN39-1,AN39/AN38-1))</f>
        <v/>
      </c>
      <c r="AO40" s="51" t="str">
        <f>IF(OR(ISERR(AO39/AO38-1),AO39=""),"",IF($B90=parametros!$I$3,AO38/AO39-1,AO39/AO38-1))</f>
        <v/>
      </c>
      <c r="AP40" s="51" t="str">
        <f>IF(OR(ISERR(AP39/AP38-1),AP39=""),"",IF($B90=parametros!$I$3,AP38/AP39-1,AP39/AP38-1))</f>
        <v/>
      </c>
      <c r="AQ40" s="51" t="str">
        <f>IF(OR(ISERR(AQ39/AQ38-1),AQ39=""),"",IF($B90=parametros!$I$3,AQ38/AQ39-1,AQ39/AQ38-1))</f>
        <v/>
      </c>
      <c r="AR40" s="51" t="str">
        <f>IF(OR(ISERR(AR39/AR38-1),AR39=""),"",IF($B90=parametros!$I$3,AR38/AR39-1,AR39/AR38-1))</f>
        <v/>
      </c>
      <c r="AS40" s="51" t="str">
        <f>IF(OR(ISERR(AS39/AS38-1),AS39=""),"",IF($B90=parametros!$I$3,AS38/AS39-1,AS39/AS38-1))</f>
        <v/>
      </c>
      <c r="AT40" s="51" t="str">
        <f>IF(OR(ISERR(AT39/AT38-1),AT39=""),"",IF($B90=parametros!$I$3,AT38/AT39-1,AT39/AT38-1))</f>
        <v/>
      </c>
      <c r="AU40" s="51" t="str">
        <f>IF(OR(ISERR(AU39/AU38-1),AU39=""),"",IF($B90=parametros!$I$3,AU38/AU39-1,AU39/AU38-1))</f>
        <v/>
      </c>
      <c r="AV40" s="51" t="str">
        <f>IF(OR(ISERR(AV39/AV38-1),AV39=""),"",IF($B90=parametros!$I$3,AV38/AV39-1,AV39/AV38-1))</f>
        <v/>
      </c>
      <c r="AX40" s="51" t="str">
        <f>IF(OR(ISERR(AX39/AX38-1),AX39=""),"",IF($B90=parametros!$I$3,AX38/AX39-1,AX39/AX38-1))</f>
        <v/>
      </c>
      <c r="AY40" s="51" t="str">
        <f>IF(OR(ISERR(AY39/AY38-1),AY39=""),"",IF($B90=parametros!$I$3,AY38/AY39-1,AY39/AY38-1))</f>
        <v/>
      </c>
      <c r="AZ40" s="51" t="str">
        <f>IF(OR(ISERR(AZ39/AZ38-1),AZ39=""),"",IF($B90=parametros!$I$3,AZ38/AZ39-1,AZ39/AZ38-1))</f>
        <v/>
      </c>
      <c r="BA40" s="51" t="str">
        <f>IF(OR(ISERR(BA39/BA38-1),BA39=""),"",IF($B90=parametros!$I$3,BA38/BA39-1,BA39/BA38-1))</f>
        <v/>
      </c>
      <c r="BB40" s="51" t="str">
        <f>IF(OR(ISERR(BB39/BB38-1),BB39=""),"",IF($B90=parametros!$I$3,BB38/BB39-1,BB39/BB38-1))</f>
        <v/>
      </c>
      <c r="BC40" s="51" t="str">
        <f>IF(OR(ISERR(BC39/BC38-1),BC39=""),"",IF($B90=parametros!$I$3,BC38/BC39-1,BC39/BC38-1))</f>
        <v/>
      </c>
      <c r="BD40" s="51" t="str">
        <f>IF(OR(ISERR(BD39/BD38-1),BD39=""),"",IF($B90=parametros!$I$3,BD38/BD39-1,BD39/BD38-1))</f>
        <v/>
      </c>
      <c r="BE40" s="51" t="str">
        <f>IF(OR(ISERR(BE39/BE38-1),BE39=""),"",IF($B90=parametros!$I$3,BE38/BE39-1,BE39/BE38-1))</f>
        <v/>
      </c>
      <c r="BF40" s="51" t="str">
        <f>IF(OR(ISERR(BF39/BF38-1),BF39=""),"",IF($B90=parametros!$I$3,BF38/BF39-1,BF39/BF38-1))</f>
        <v/>
      </c>
      <c r="BG40" s="51" t="str">
        <f>IF(OR(ISERR(BG39/BG38-1),BG39=""),"",IF($B90=parametros!$I$3,BG38/BG39-1,BG39/BG38-1))</f>
        <v/>
      </c>
      <c r="BH40" s="51" t="str">
        <f>IF(OR(ISERR(BH39/BH38-1),BH39=""),"",IF($B90=parametros!$I$3,BH38/BH39-1,BH39/BH38-1))</f>
        <v/>
      </c>
      <c r="BI40" s="51" t="str">
        <f>IF(OR(ISERR(BI39/BI38-1),BI39=""),"",IF($B90=parametros!$I$3,BI38/BI39-1,BI39/BI38-1))</f>
        <v/>
      </c>
      <c r="BJ40" s="51" t="str">
        <f>IF(OR(ISERR(BJ39/BJ38-1),BJ39=""),"",IF($B90=parametros!$I$3,BJ38/BJ39-1,BJ39/BJ38-1))</f>
        <v/>
      </c>
      <c r="BK40" s="51" t="str">
        <f>IF(OR(ISERR(BK39/BK38-1),BK39=""),"",IF($B90=parametros!$I$3,BK38/BK39-1,BK39/BK38-1))</f>
        <v/>
      </c>
      <c r="BM40" s="51" t="str">
        <f>IF(OR(ISERR(BM39/BM38-1),BM39=""),"",IF($B90=parametros!$I$3,BM38/BM39-1,BM39/BM38-1))</f>
        <v/>
      </c>
      <c r="BN40" s="51" t="str">
        <f>IF(OR(ISERR(BN39/BN38-1),BN39=""),"",IF($B90=parametros!$I$3,BN38/BN39-1,BN39/BN38-1))</f>
        <v/>
      </c>
      <c r="BO40" s="51" t="str">
        <f>IF(OR(ISERR(BO39/BO38-1),BO39=""),"",IF($B90=parametros!$I$3,BO38/BO39-1,BO39/BO38-1))</f>
        <v/>
      </c>
      <c r="BP40" s="51" t="str">
        <f>IF(OR(ISERR(BP39/BP38-1),BP39=""),"",IF($B90=parametros!$I$3,BP38/BP39-1,BP39/BP38-1))</f>
        <v/>
      </c>
      <c r="BQ40" s="51" t="str">
        <f>IF(OR(ISERR(BQ39/BQ38-1),BQ39=""),"",IF($B90=parametros!$I$3,BQ38/BQ39-1,BQ39/BQ38-1))</f>
        <v/>
      </c>
      <c r="BR40" s="51" t="str">
        <f>IF(OR(ISERR(BR39/BR38-1),BR39=""),"",IF($B90=parametros!$I$3,BR38/BR39-1,BR39/BR38-1))</f>
        <v/>
      </c>
      <c r="BS40" s="51" t="str">
        <f>IF(OR(ISERR(BS39/BS38-1),BS39=""),"",IF($B90=parametros!$I$3,BS38/BS39-1,BS39/BS38-1))</f>
        <v/>
      </c>
      <c r="BT40" s="51" t="str">
        <f>IF(OR(ISERR(BT39/BT38-1),BT39=""),"",IF($B90=parametros!$I$3,BT38/BT39-1,BT39/BT38-1))</f>
        <v/>
      </c>
      <c r="BU40" s="51" t="str">
        <f>IF(OR(ISERR(BU39/BU38-1),BU39=""),"",IF($B90=parametros!$I$3,BU38/BU39-1,BU39/BU38-1))</f>
        <v/>
      </c>
      <c r="BV40" s="51" t="str">
        <f>IF(OR(ISERR(BV39/BV38-1),BV39=""),"",IF($B90=parametros!$I$3,BV38/BV39-1,BV39/BV38-1))</f>
        <v/>
      </c>
      <c r="BW40" s="51" t="str">
        <f>IF(OR(ISERR(BW39/BW38-1),BW39=""),"",IF($B90=parametros!$I$3,BW38/BW39-1,BW39/BW38-1))</f>
        <v/>
      </c>
      <c r="BX40" s="51" t="str">
        <f>IF(OR(ISERR(BX39/BX38-1),BX39=""),"",IF($B90=parametros!$I$3,BX38/BX39-1,BX39/BX38-1))</f>
        <v/>
      </c>
      <c r="BY40" s="51" t="str">
        <f>IF(OR(ISERR(BY39/BY38-1),BY39=""),"",IF($B90=parametros!$I$3,BY38/BY39-1,BY39/BY38-1))</f>
        <v/>
      </c>
      <c r="BZ40" s="51" t="str">
        <f>IF(OR(ISERR(BZ39/BZ38-1),BZ39=""),"",IF($B90=parametros!$I$3,BZ38/BZ39-1,BZ39/BZ38-1))</f>
        <v/>
      </c>
    </row>
    <row r="41" spans="1:78" ht="4.95" customHeight="1" x14ac:dyDescent="0.4"/>
    <row r="42" spans="1:78" ht="22.05" customHeight="1" thickBot="1" x14ac:dyDescent="0.45">
      <c r="B42" s="104">
        <f>8</f>
        <v>8</v>
      </c>
      <c r="C42" s="33" t="s">
        <v>71</v>
      </c>
      <c r="D42" s="41" t="s">
        <v>44</v>
      </c>
      <c r="E42" s="34" t="s">
        <v>47</v>
      </c>
      <c r="F42" s="34" t="s">
        <v>48</v>
      </c>
      <c r="G42" s="34" t="s">
        <v>49</v>
      </c>
      <c r="H42" s="34" t="s">
        <v>50</v>
      </c>
      <c r="I42" s="34" t="s">
        <v>51</v>
      </c>
      <c r="J42" s="34" t="s">
        <v>52</v>
      </c>
      <c r="K42" s="34" t="s">
        <v>53</v>
      </c>
      <c r="L42" s="34" t="s">
        <v>54</v>
      </c>
      <c r="M42" s="34" t="s">
        <v>55</v>
      </c>
      <c r="N42" s="34" t="s">
        <v>56</v>
      </c>
      <c r="O42" s="34" t="s">
        <v>57</v>
      </c>
      <c r="P42" s="34" t="s">
        <v>58</v>
      </c>
      <c r="Q42" s="34" t="s">
        <v>59</v>
      </c>
      <c r="R42" s="35" t="s">
        <v>60</v>
      </c>
      <c r="T42" s="34" t="s">
        <v>47</v>
      </c>
      <c r="U42" s="34" t="s">
        <v>48</v>
      </c>
      <c r="V42" s="34" t="s">
        <v>49</v>
      </c>
      <c r="W42" s="34" t="s">
        <v>50</v>
      </c>
      <c r="X42" s="34" t="s">
        <v>51</v>
      </c>
      <c r="Y42" s="34" t="s">
        <v>52</v>
      </c>
      <c r="Z42" s="34" t="s">
        <v>53</v>
      </c>
      <c r="AA42" s="34" t="s">
        <v>54</v>
      </c>
      <c r="AB42" s="34" t="s">
        <v>55</v>
      </c>
      <c r="AC42" s="34" t="s">
        <v>56</v>
      </c>
      <c r="AD42" s="34" t="s">
        <v>57</v>
      </c>
      <c r="AE42" s="34" t="s">
        <v>58</v>
      </c>
      <c r="AF42" s="34" t="s">
        <v>59</v>
      </c>
      <c r="AG42" s="35" t="s">
        <v>60</v>
      </c>
      <c r="AI42" s="34" t="s">
        <v>47</v>
      </c>
      <c r="AJ42" s="34" t="s">
        <v>48</v>
      </c>
      <c r="AK42" s="34" t="s">
        <v>49</v>
      </c>
      <c r="AL42" s="34" t="s">
        <v>50</v>
      </c>
      <c r="AM42" s="34" t="s">
        <v>51</v>
      </c>
      <c r="AN42" s="34" t="s">
        <v>52</v>
      </c>
      <c r="AO42" s="34" t="s">
        <v>53</v>
      </c>
      <c r="AP42" s="34" t="s">
        <v>54</v>
      </c>
      <c r="AQ42" s="34" t="s">
        <v>55</v>
      </c>
      <c r="AR42" s="34" t="s">
        <v>56</v>
      </c>
      <c r="AS42" s="34" t="s">
        <v>57</v>
      </c>
      <c r="AT42" s="34" t="s">
        <v>58</v>
      </c>
      <c r="AU42" s="34" t="s">
        <v>59</v>
      </c>
      <c r="AV42" s="35" t="s">
        <v>60</v>
      </c>
      <c r="AX42" s="34" t="s">
        <v>47</v>
      </c>
      <c r="AY42" s="34" t="s">
        <v>48</v>
      </c>
      <c r="AZ42" s="34" t="s">
        <v>49</v>
      </c>
      <c r="BA42" s="34" t="s">
        <v>50</v>
      </c>
      <c r="BB42" s="34" t="s">
        <v>51</v>
      </c>
      <c r="BC42" s="34" t="s">
        <v>52</v>
      </c>
      <c r="BD42" s="34" t="s">
        <v>53</v>
      </c>
      <c r="BE42" s="34" t="s">
        <v>54</v>
      </c>
      <c r="BF42" s="34" t="s">
        <v>55</v>
      </c>
      <c r="BG42" s="34" t="s">
        <v>56</v>
      </c>
      <c r="BH42" s="34" t="s">
        <v>57</v>
      </c>
      <c r="BI42" s="34" t="s">
        <v>58</v>
      </c>
      <c r="BJ42" s="34" t="s">
        <v>59</v>
      </c>
      <c r="BK42" s="35" t="s">
        <v>60</v>
      </c>
      <c r="BM42" s="34" t="s">
        <v>47</v>
      </c>
      <c r="BN42" s="34" t="s">
        <v>48</v>
      </c>
      <c r="BO42" s="34" t="s">
        <v>49</v>
      </c>
      <c r="BP42" s="34" t="s">
        <v>50</v>
      </c>
      <c r="BQ42" s="34" t="s">
        <v>51</v>
      </c>
      <c r="BR42" s="34" t="s">
        <v>52</v>
      </c>
      <c r="BS42" s="34" t="s">
        <v>53</v>
      </c>
      <c r="BT42" s="34" t="s">
        <v>54</v>
      </c>
      <c r="BU42" s="34" t="s">
        <v>55</v>
      </c>
      <c r="BV42" s="34" t="s">
        <v>56</v>
      </c>
      <c r="BW42" s="34" t="s">
        <v>57</v>
      </c>
      <c r="BX42" s="34" t="s">
        <v>58</v>
      </c>
      <c r="BY42" s="34" t="s">
        <v>59</v>
      </c>
      <c r="BZ42" s="35" t="s">
        <v>60</v>
      </c>
    </row>
    <row r="43" spans="1:78" ht="22.05" customHeight="1" thickBot="1" x14ac:dyDescent="0.45">
      <c r="A43" s="104" t="str">
        <f>_xlfn.CONCAT(D43,B42)</f>
        <v>Planejado8</v>
      </c>
      <c r="C43" s="248" t="str">
        <f>C66</f>
        <v xml:space="preserve">: </v>
      </c>
      <c r="D43" s="37" t="s">
        <v>61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s="45">
        <f>SUMIF(E100:P100,"=1",E43:P43)</f>
        <v>0</v>
      </c>
      <c r="R43" s="46">
        <f>SUM(E43:P43)</f>
        <v>0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4"/>
      <c r="AF43" s="45">
        <f>SUMIF(T100:AE100,"=1",T43:AE43)</f>
        <v>0</v>
      </c>
      <c r="AG43" s="46">
        <f>SUM(T43:AE43)</f>
        <v>0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4"/>
      <c r="AU43" s="45">
        <f>SUMIF(AI100:AT100,"=1",AI43:AT43)</f>
        <v>0</v>
      </c>
      <c r="AV43" s="46">
        <f>SUM(AI43:AT43)</f>
        <v>0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4"/>
      <c r="BJ43" s="45">
        <f>SUMIF(AX100:BI100,"=1",AX43:BI43)</f>
        <v>0</v>
      </c>
      <c r="BK43" s="46">
        <f>SUM(AX43:BI43)</f>
        <v>0</v>
      </c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4"/>
      <c r="BY43" s="45">
        <f>SUMIF(BM100:BX100,"=1",BM43:BX43)</f>
        <v>0</v>
      </c>
      <c r="BZ43" s="46">
        <f>SUM(BM43:BX43)</f>
        <v>0</v>
      </c>
    </row>
    <row r="44" spans="1:78" ht="22.05" customHeight="1" thickBot="1" x14ac:dyDescent="0.45">
      <c r="A44" s="104" t="str">
        <f>_xlfn.CONCAT(D44,B42)</f>
        <v>Realizado8</v>
      </c>
      <c r="C44" s="249"/>
      <c r="D44" s="38" t="s">
        <v>62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9"/>
      <c r="Q44" s="45">
        <f>SUMIF(E100:P100,"=1",E44:P44)</f>
        <v>0</v>
      </c>
      <c r="R44" s="46">
        <f>SUM(E44:P44)</f>
        <v>0</v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9"/>
      <c r="AF44" s="45">
        <f>SUMIF(T100:AE100,"=1",T44:AE44)</f>
        <v>0</v>
      </c>
      <c r="AG44" s="46">
        <f>SUM(T44:AE44)</f>
        <v>0</v>
      </c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9"/>
      <c r="AU44" s="45">
        <f>SUMIF(AI100:AT100,"=1",AI44:AT44)</f>
        <v>0</v>
      </c>
      <c r="AV44" s="46">
        <f>SUM(AI44:AT44)</f>
        <v>0</v>
      </c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9"/>
      <c r="BJ44" s="45">
        <f>SUMIF(AX100:BI100,"=1",AX44:BI44)</f>
        <v>0</v>
      </c>
      <c r="BK44" s="46">
        <f>SUM(AX44:BI44)</f>
        <v>0</v>
      </c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9"/>
      <c r="BY44" s="45">
        <f>SUMIF(BM100:BX100,"=1",BM44:BX44)</f>
        <v>0</v>
      </c>
      <c r="BZ44" s="46">
        <f>SUM(BM44:BX44)</f>
        <v>0</v>
      </c>
    </row>
    <row r="45" spans="1:78" ht="22.05" customHeight="1" thickBot="1" x14ac:dyDescent="0.45">
      <c r="C45" s="249"/>
      <c r="D45" s="36" t="s">
        <v>63</v>
      </c>
      <c r="E45" s="51" t="str">
        <f>IF(OR(ISERR(E44/E43-1),E44=""),"",IF($B95=parametros!$I$3,E43/E44-1,E44/E43-1))</f>
        <v/>
      </c>
      <c r="F45" s="51" t="str">
        <f>IF(OR(ISERR(F44/F43-1),F44=""),"",IF($B95=parametros!$I$3,F43/F44-1,F44/F43-1))</f>
        <v/>
      </c>
      <c r="G45" s="51" t="str">
        <f>IF(OR(ISERR(G44/G43-1),G44=""),"",IF($B95=parametros!$I$3,G43/G44-1,G44/G43-1))</f>
        <v/>
      </c>
      <c r="H45" s="51" t="str">
        <f>IF(OR(ISERR(H44/H43-1),H44=""),"",IF($B95=parametros!$I$3,H43/H44-1,H44/H43-1))</f>
        <v/>
      </c>
      <c r="I45" s="51" t="str">
        <f>IF(OR(ISERR(I44/I43-1),I44=""),"",IF($B95=parametros!$I$3,I43/I44-1,I44/I43-1))</f>
        <v/>
      </c>
      <c r="J45" s="51" t="str">
        <f>IF(OR(ISERR(J44/J43-1),J44=""),"",IF($B95=parametros!$I$3,J43/J44-1,J44/J43-1))</f>
        <v/>
      </c>
      <c r="K45" s="51" t="str">
        <f>IF(OR(ISERR(K44/K43-1),K44=""),"",IF($B95=parametros!$I$3,K43/K44-1,K44/K43-1))</f>
        <v/>
      </c>
      <c r="L45" s="51" t="str">
        <f>IF(OR(ISERR(L44/L43-1),L44=""),"",IF($B95=parametros!$I$3,L43/L44-1,L44/L43-1))</f>
        <v/>
      </c>
      <c r="M45" s="51" t="str">
        <f>IF(OR(ISERR(M44/M43-1),M44=""),"",IF($B95=parametros!$I$3,M43/M44-1,M44/M43-1))</f>
        <v/>
      </c>
      <c r="N45" s="51" t="str">
        <f>IF(OR(ISERR(N44/N43-1),N44=""),"",IF($B95=parametros!$I$3,N43/N44-1,N44/N43-1))</f>
        <v/>
      </c>
      <c r="O45" s="51" t="str">
        <f>IF(OR(ISERR(O44/O43-1),O44=""),"",IF($B95=parametros!$I$3,O43/O44-1,O44/O43-1))</f>
        <v/>
      </c>
      <c r="P45" s="51" t="str">
        <f>IF(OR(ISERR(P44/P43-1),P44=""),"",IF($B95=parametros!$I$3,P43/P44-1,P44/P43-1))</f>
        <v/>
      </c>
      <c r="Q45" s="51" t="str">
        <f>IF(OR(ISERR(Q44/Q43-1),Q44=""),"",IF($B95=parametros!$I$3,Q43/Q44-1,Q44/Q43-1))</f>
        <v/>
      </c>
      <c r="R45" s="51" t="str">
        <f>IF(OR(ISERR(R44/R43-1),R44=""),"",IF($B95=parametros!$I$3,R43/R44-1,R44/R43-1))</f>
        <v/>
      </c>
      <c r="T45" s="51" t="str">
        <f>IF(OR(ISERR(T44/T43-1),T44=""),"",IF($B95=parametros!$I$3,T43/T44-1,T44/T43-1))</f>
        <v/>
      </c>
      <c r="U45" s="51" t="str">
        <f>IF(OR(ISERR(U44/U43-1),U44=""),"",IF($B95=parametros!$I$3,U43/U44-1,U44/U43-1))</f>
        <v/>
      </c>
      <c r="V45" s="51" t="str">
        <f>IF(OR(ISERR(V44/V43-1),V44=""),"",IF($B95=parametros!$I$3,V43/V44-1,V44/V43-1))</f>
        <v/>
      </c>
      <c r="W45" s="51" t="str">
        <f>IF(OR(ISERR(W44/W43-1),W44=""),"",IF($B95=parametros!$I$3,W43/W44-1,W44/W43-1))</f>
        <v/>
      </c>
      <c r="X45" s="51" t="str">
        <f>IF(OR(ISERR(X44/X43-1),X44=""),"",IF($B95=parametros!$I$3,X43/X44-1,X44/X43-1))</f>
        <v/>
      </c>
      <c r="Y45" s="51" t="str">
        <f>IF(OR(ISERR(Y44/Y43-1),Y44=""),"",IF($B95=parametros!$I$3,Y43/Y44-1,Y44/Y43-1))</f>
        <v/>
      </c>
      <c r="Z45" s="51" t="str">
        <f>IF(OR(ISERR(Z44/Z43-1),Z44=""),"",IF($B95=parametros!$I$3,Z43/Z44-1,Z44/Z43-1))</f>
        <v/>
      </c>
      <c r="AA45" s="51" t="str">
        <f>IF(OR(ISERR(AA44/AA43-1),AA44=""),"",IF($B95=parametros!$I$3,AA43/AA44-1,AA44/AA43-1))</f>
        <v/>
      </c>
      <c r="AB45" s="51" t="str">
        <f>IF(OR(ISERR(AB44/AB43-1),AB44=""),"",IF($B95=parametros!$I$3,AB43/AB44-1,AB44/AB43-1))</f>
        <v/>
      </c>
      <c r="AC45" s="51" t="str">
        <f>IF(OR(ISERR(AC44/AC43-1),AC44=""),"",IF($B95=parametros!$I$3,AC43/AC44-1,AC44/AC43-1))</f>
        <v/>
      </c>
      <c r="AD45" s="51" t="str">
        <f>IF(OR(ISERR(AD44/AD43-1),AD44=""),"",IF($B95=parametros!$I$3,AD43/AD44-1,AD44/AD43-1))</f>
        <v/>
      </c>
      <c r="AE45" s="51" t="str">
        <f>IF(OR(ISERR(AE44/AE43-1),AE44=""),"",IF($B95=parametros!$I$3,AE43/AE44-1,AE44/AE43-1))</f>
        <v/>
      </c>
      <c r="AF45" s="51" t="str">
        <f>IF(OR(ISERR(AF44/AF43-1),AF44=""),"",IF($B95=parametros!$I$3,AF43/AF44-1,AF44/AF43-1))</f>
        <v/>
      </c>
      <c r="AG45" s="51" t="str">
        <f>IF(OR(ISERR(AG44/AG43-1),AG44=""),"",IF($B95=parametros!$I$3,AG43/AG44-1,AG44/AG43-1))</f>
        <v/>
      </c>
      <c r="AI45" s="51" t="str">
        <f>IF(OR(ISERR(AI44/AI43-1),AI44=""),"",IF($B95=parametros!$I$3,AI43/AI44-1,AI44/AI43-1))</f>
        <v/>
      </c>
      <c r="AJ45" s="51" t="str">
        <f>IF(OR(ISERR(AJ44/AJ43-1),AJ44=""),"",IF($B95=parametros!$I$3,AJ43/AJ44-1,AJ44/AJ43-1))</f>
        <v/>
      </c>
      <c r="AK45" s="51" t="str">
        <f>IF(OR(ISERR(AK44/AK43-1),AK44=""),"",IF($B95=parametros!$I$3,AK43/AK44-1,AK44/AK43-1))</f>
        <v/>
      </c>
      <c r="AL45" s="51" t="str">
        <f>IF(OR(ISERR(AL44/AL43-1),AL44=""),"",IF($B95=parametros!$I$3,AL43/AL44-1,AL44/AL43-1))</f>
        <v/>
      </c>
      <c r="AM45" s="51" t="str">
        <f>IF(OR(ISERR(AM44/AM43-1),AM44=""),"",IF($B95=parametros!$I$3,AM43/AM44-1,AM44/AM43-1))</f>
        <v/>
      </c>
      <c r="AN45" s="51" t="str">
        <f>IF(OR(ISERR(AN44/AN43-1),AN44=""),"",IF($B95=parametros!$I$3,AN43/AN44-1,AN44/AN43-1))</f>
        <v/>
      </c>
      <c r="AO45" s="51" t="str">
        <f>IF(OR(ISERR(AO44/AO43-1),AO44=""),"",IF($B95=parametros!$I$3,AO43/AO44-1,AO44/AO43-1))</f>
        <v/>
      </c>
      <c r="AP45" s="51" t="str">
        <f>IF(OR(ISERR(AP44/AP43-1),AP44=""),"",IF($B95=parametros!$I$3,AP43/AP44-1,AP44/AP43-1))</f>
        <v/>
      </c>
      <c r="AQ45" s="51" t="str">
        <f>IF(OR(ISERR(AQ44/AQ43-1),AQ44=""),"",IF($B95=parametros!$I$3,AQ43/AQ44-1,AQ44/AQ43-1))</f>
        <v/>
      </c>
      <c r="AR45" s="51" t="str">
        <f>IF(OR(ISERR(AR44/AR43-1),AR44=""),"",IF($B95=parametros!$I$3,AR43/AR44-1,AR44/AR43-1))</f>
        <v/>
      </c>
      <c r="AS45" s="51" t="str">
        <f>IF(OR(ISERR(AS44/AS43-1),AS44=""),"",IF($B95=parametros!$I$3,AS43/AS44-1,AS44/AS43-1))</f>
        <v/>
      </c>
      <c r="AT45" s="51" t="str">
        <f>IF(OR(ISERR(AT44/AT43-1),AT44=""),"",IF($B95=parametros!$I$3,AT43/AT44-1,AT44/AT43-1))</f>
        <v/>
      </c>
      <c r="AU45" s="51" t="str">
        <f>IF(OR(ISERR(AU44/AU43-1),AU44=""),"",IF($B95=parametros!$I$3,AU43/AU44-1,AU44/AU43-1))</f>
        <v/>
      </c>
      <c r="AV45" s="51" t="str">
        <f>IF(OR(ISERR(AV44/AV43-1),AV44=""),"",IF($B95=parametros!$I$3,AV43/AV44-1,AV44/AV43-1))</f>
        <v/>
      </c>
      <c r="AX45" s="51" t="str">
        <f>IF(OR(ISERR(AX44/AX43-1),AX44=""),"",IF($B95=parametros!$I$3,AX43/AX44-1,AX44/AX43-1))</f>
        <v/>
      </c>
      <c r="AY45" s="51" t="str">
        <f>IF(OR(ISERR(AY44/AY43-1),AY44=""),"",IF($B95=parametros!$I$3,AY43/AY44-1,AY44/AY43-1))</f>
        <v/>
      </c>
      <c r="AZ45" s="51" t="str">
        <f>IF(OR(ISERR(AZ44/AZ43-1),AZ44=""),"",IF($B95=parametros!$I$3,AZ43/AZ44-1,AZ44/AZ43-1))</f>
        <v/>
      </c>
      <c r="BA45" s="51" t="str">
        <f>IF(OR(ISERR(BA44/BA43-1),BA44=""),"",IF($B95=parametros!$I$3,BA43/BA44-1,BA44/BA43-1))</f>
        <v/>
      </c>
      <c r="BB45" s="51" t="str">
        <f>IF(OR(ISERR(BB44/BB43-1),BB44=""),"",IF($B95=parametros!$I$3,BB43/BB44-1,BB44/BB43-1))</f>
        <v/>
      </c>
      <c r="BC45" s="51" t="str">
        <f>IF(OR(ISERR(BC44/BC43-1),BC44=""),"",IF($B95=parametros!$I$3,BC43/BC44-1,BC44/BC43-1))</f>
        <v/>
      </c>
      <c r="BD45" s="51" t="str">
        <f>IF(OR(ISERR(BD44/BD43-1),BD44=""),"",IF($B95=parametros!$I$3,BD43/BD44-1,BD44/BD43-1))</f>
        <v/>
      </c>
      <c r="BE45" s="51" t="str">
        <f>IF(OR(ISERR(BE44/BE43-1),BE44=""),"",IF($B95=parametros!$I$3,BE43/BE44-1,BE44/BE43-1))</f>
        <v/>
      </c>
      <c r="BF45" s="51" t="str">
        <f>IF(OR(ISERR(BF44/BF43-1),BF44=""),"",IF($B95=parametros!$I$3,BF43/BF44-1,BF44/BF43-1))</f>
        <v/>
      </c>
      <c r="BG45" s="51" t="str">
        <f>IF(OR(ISERR(BG44/BG43-1),BG44=""),"",IF($B95=parametros!$I$3,BG43/BG44-1,BG44/BG43-1))</f>
        <v/>
      </c>
      <c r="BH45" s="51" t="str">
        <f>IF(OR(ISERR(BH44/BH43-1),BH44=""),"",IF($B95=parametros!$I$3,BH43/BH44-1,BH44/BH43-1))</f>
        <v/>
      </c>
      <c r="BI45" s="51" t="str">
        <f>IF(OR(ISERR(BI44/BI43-1),BI44=""),"",IF($B95=parametros!$I$3,BI43/BI44-1,BI44/BI43-1))</f>
        <v/>
      </c>
      <c r="BJ45" s="51" t="str">
        <f>IF(OR(ISERR(BJ44/BJ43-1),BJ44=""),"",IF($B95=parametros!$I$3,BJ43/BJ44-1,BJ44/BJ43-1))</f>
        <v/>
      </c>
      <c r="BK45" s="51" t="str">
        <f>IF(OR(ISERR(BK44/BK43-1),BK44=""),"",IF($B95=parametros!$I$3,BK43/BK44-1,BK44/BK43-1))</f>
        <v/>
      </c>
      <c r="BM45" s="51" t="str">
        <f>IF(OR(ISERR(BM44/BM43-1),BM44=""),"",IF($B95=parametros!$I$3,BM43/BM44-1,BM44/BM43-1))</f>
        <v/>
      </c>
      <c r="BN45" s="51" t="str">
        <f>IF(OR(ISERR(BN44/BN43-1),BN44=""),"",IF($B95=parametros!$I$3,BN43/BN44-1,BN44/BN43-1))</f>
        <v/>
      </c>
      <c r="BO45" s="51" t="str">
        <f>IF(OR(ISERR(BO44/BO43-1),BO44=""),"",IF($B95=parametros!$I$3,BO43/BO44-1,BO44/BO43-1))</f>
        <v/>
      </c>
      <c r="BP45" s="51" t="str">
        <f>IF(OR(ISERR(BP44/BP43-1),BP44=""),"",IF($B95=parametros!$I$3,BP43/BP44-1,BP44/BP43-1))</f>
        <v/>
      </c>
      <c r="BQ45" s="51" t="str">
        <f>IF(OR(ISERR(BQ44/BQ43-1),BQ44=""),"",IF($B95=parametros!$I$3,BQ43/BQ44-1,BQ44/BQ43-1))</f>
        <v/>
      </c>
      <c r="BR45" s="51" t="str">
        <f>IF(OR(ISERR(BR44/BR43-1),BR44=""),"",IF($B95=parametros!$I$3,BR43/BR44-1,BR44/BR43-1))</f>
        <v/>
      </c>
      <c r="BS45" s="51" t="str">
        <f>IF(OR(ISERR(BS44/BS43-1),BS44=""),"",IF($B95=parametros!$I$3,BS43/BS44-1,BS44/BS43-1))</f>
        <v/>
      </c>
      <c r="BT45" s="51" t="str">
        <f>IF(OR(ISERR(BT44/BT43-1),BT44=""),"",IF($B95=parametros!$I$3,BT43/BT44-1,BT44/BT43-1))</f>
        <v/>
      </c>
      <c r="BU45" s="51" t="str">
        <f>IF(OR(ISERR(BU44/BU43-1),BU44=""),"",IF($B95=parametros!$I$3,BU43/BU44-1,BU44/BU43-1))</f>
        <v/>
      </c>
      <c r="BV45" s="51" t="str">
        <f>IF(OR(ISERR(BV44/BV43-1),BV44=""),"",IF($B95=parametros!$I$3,BV43/BV44-1,BV44/BV43-1))</f>
        <v/>
      </c>
      <c r="BW45" s="51" t="str">
        <f>IF(OR(ISERR(BW44/BW43-1),BW44=""),"",IF($B95=parametros!$I$3,BW43/BW44-1,BW44/BW43-1))</f>
        <v/>
      </c>
      <c r="BX45" s="51" t="str">
        <f>IF(OR(ISERR(BX44/BX43-1),BX44=""),"",IF($B95=parametros!$I$3,BX43/BX44-1,BX44/BX43-1))</f>
        <v/>
      </c>
      <c r="BY45" s="51" t="str">
        <f>IF(OR(ISERR(BY44/BY43-1),BY44=""),"",IF($B95=parametros!$I$3,BY43/BY44-1,BY44/BY43-1))</f>
        <v/>
      </c>
      <c r="BZ45" s="51" t="str">
        <f>IF(OR(ISERR(BZ44/BZ43-1),BZ44=""),"",IF($B95=parametros!$I$3,BZ43/BZ44-1,BZ44/BZ43-1))</f>
        <v/>
      </c>
    </row>
    <row r="46" spans="1:78" x14ac:dyDescent="0.4">
      <c r="C46" s="105"/>
      <c r="D46" s="105"/>
      <c r="E46" s="105"/>
      <c r="F46" s="105"/>
      <c r="G46" s="105"/>
      <c r="H46" s="105"/>
      <c r="I46" s="105"/>
    </row>
    <row r="47" spans="1:78" x14ac:dyDescent="0.4">
      <c r="C47" s="105"/>
      <c r="D47" s="105"/>
      <c r="E47" s="105"/>
      <c r="F47" s="105"/>
      <c r="G47" s="105"/>
      <c r="H47" s="105"/>
      <c r="I47" s="105"/>
    </row>
    <row r="48" spans="1:78" x14ac:dyDescent="0.4">
      <c r="C48" s="105"/>
      <c r="D48" s="105"/>
      <c r="E48" s="105"/>
      <c r="F48" s="105"/>
      <c r="G48" s="105"/>
      <c r="H48" s="105"/>
      <c r="I48" s="105"/>
    </row>
    <row r="49" spans="1:9" x14ac:dyDescent="0.4">
      <c r="C49" s="105"/>
      <c r="D49" s="105"/>
      <c r="E49" s="105"/>
      <c r="F49" s="105"/>
      <c r="G49" s="105"/>
      <c r="H49" s="105"/>
      <c r="I49" s="105"/>
    </row>
    <row r="50" spans="1:9" x14ac:dyDescent="0.4">
      <c r="C50" s="105"/>
      <c r="D50" s="105"/>
      <c r="E50" s="105"/>
      <c r="F50" s="105"/>
      <c r="G50" s="105"/>
      <c r="H50" s="105"/>
      <c r="I50" s="105"/>
    </row>
    <row r="51" spans="1:9" x14ac:dyDescent="0.4">
      <c r="C51" s="105"/>
      <c r="D51" s="105"/>
      <c r="E51" s="105"/>
      <c r="F51" s="105"/>
      <c r="G51" s="105"/>
      <c r="H51" s="105"/>
      <c r="I51" s="105"/>
    </row>
    <row r="52" spans="1:9" x14ac:dyDescent="0.4">
      <c r="C52" s="105"/>
      <c r="D52" s="105"/>
      <c r="E52" s="105"/>
      <c r="F52" s="105"/>
      <c r="G52" s="105"/>
      <c r="H52" s="105"/>
      <c r="I52" s="105"/>
    </row>
    <row r="53" spans="1:9" x14ac:dyDescent="0.4">
      <c r="C53" s="105"/>
      <c r="D53" s="105"/>
      <c r="E53" s="105"/>
      <c r="F53" s="105"/>
      <c r="G53" s="105"/>
      <c r="H53" s="105"/>
      <c r="I53" s="105"/>
    </row>
    <row r="54" spans="1:9" x14ac:dyDescent="0.4">
      <c r="C54" s="105"/>
      <c r="D54" s="105"/>
      <c r="E54" s="105"/>
      <c r="F54" s="105"/>
      <c r="G54" s="105"/>
      <c r="H54" s="105"/>
      <c r="I54" s="105"/>
    </row>
    <row r="55" spans="1:9" x14ac:dyDescent="0.4">
      <c r="C55" s="105"/>
      <c r="D55" s="105"/>
      <c r="E55" s="105"/>
      <c r="F55" s="105"/>
      <c r="G55" s="105"/>
      <c r="H55" s="105"/>
      <c r="I55" s="105"/>
    </row>
    <row r="56" spans="1:9" s="104" customFormat="1" x14ac:dyDescent="0.4"/>
    <row r="57" spans="1:9" s="104" customFormat="1" x14ac:dyDescent="0.4"/>
    <row r="58" spans="1:9" s="104" customFormat="1" x14ac:dyDescent="0.4"/>
    <row r="59" spans="1:9" s="104" customFormat="1" x14ac:dyDescent="0.4">
      <c r="A59" s="104" t="str">
        <f>me!C6</f>
        <v>Aumentar</v>
      </c>
      <c r="B59" s="104" t="str">
        <f>me!D6</f>
        <v>Faturamento</v>
      </c>
      <c r="C59" s="104" t="str">
        <f>_xlfn.CONCAT(me!C6,": ",me!D6)</f>
        <v>Aumentar: Faturamento</v>
      </c>
      <c r="D59" s="233">
        <f>R8</f>
        <v>0</v>
      </c>
      <c r="E59" s="233">
        <f>R9</f>
        <v>0</v>
      </c>
    </row>
    <row r="60" spans="1:9" s="104" customFormat="1" x14ac:dyDescent="0.4">
      <c r="A60" s="104" t="str">
        <f>me!C7</f>
        <v>Aumentar</v>
      </c>
      <c r="B60" s="104" t="str">
        <f>me!D7</f>
        <v>Tiket Médio</v>
      </c>
      <c r="C60" s="104" t="str">
        <f>_xlfn.CONCAT(me!C7,": ",me!D7)</f>
        <v>Aumentar: Tiket Médio</v>
      </c>
      <c r="D60" s="233">
        <f>R13</f>
        <v>0</v>
      </c>
      <c r="E60" s="233">
        <f>R14</f>
        <v>0</v>
      </c>
    </row>
    <row r="61" spans="1:9" s="104" customFormat="1" x14ac:dyDescent="0.4">
      <c r="A61" s="104">
        <f>me!C8</f>
        <v>0</v>
      </c>
      <c r="B61" s="104">
        <f>me!D8</f>
        <v>0</v>
      </c>
      <c r="C61" s="104" t="str">
        <f>_xlfn.CONCAT(me!C8,": ",me!D8)</f>
        <v xml:space="preserve">: </v>
      </c>
      <c r="D61" s="233">
        <f>R18</f>
        <v>0</v>
      </c>
      <c r="E61" s="233">
        <f>R19</f>
        <v>0</v>
      </c>
    </row>
    <row r="62" spans="1:9" s="104" customFormat="1" x14ac:dyDescent="0.4">
      <c r="A62" s="104">
        <f>me!C9</f>
        <v>0</v>
      </c>
      <c r="B62" s="104">
        <f>me!D9</f>
        <v>0</v>
      </c>
      <c r="C62" s="104" t="str">
        <f>_xlfn.CONCAT(me!C9,": ",me!D9)</f>
        <v xml:space="preserve">: </v>
      </c>
      <c r="D62" s="233">
        <f>R23</f>
        <v>0</v>
      </c>
      <c r="E62" s="233">
        <f>R24</f>
        <v>0</v>
      </c>
    </row>
    <row r="63" spans="1:9" s="104" customFormat="1" x14ac:dyDescent="0.4">
      <c r="A63" s="104">
        <f>me!C10</f>
        <v>0</v>
      </c>
      <c r="B63" s="104">
        <f>me!D10</f>
        <v>0</v>
      </c>
      <c r="C63" s="104" t="str">
        <f>_xlfn.CONCAT(me!C10,": ",me!D10)</f>
        <v xml:space="preserve">: </v>
      </c>
      <c r="D63" s="233">
        <f>R28</f>
        <v>0</v>
      </c>
      <c r="E63" s="233">
        <f>R29</f>
        <v>0</v>
      </c>
    </row>
    <row r="64" spans="1:9" s="104" customFormat="1" x14ac:dyDescent="0.4">
      <c r="A64" s="104">
        <f>me!C11</f>
        <v>0</v>
      </c>
      <c r="B64" s="104">
        <f>me!D11</f>
        <v>0</v>
      </c>
      <c r="C64" s="104" t="str">
        <f>_xlfn.CONCAT(me!C11,": ",me!D11)</f>
        <v xml:space="preserve">: </v>
      </c>
      <c r="D64" s="233">
        <f>R33</f>
        <v>0</v>
      </c>
      <c r="E64" s="233">
        <f>R34</f>
        <v>0</v>
      </c>
    </row>
    <row r="65" spans="1:16" s="104" customFormat="1" x14ac:dyDescent="0.4">
      <c r="A65" s="104">
        <f>me!C12</f>
        <v>0</v>
      </c>
      <c r="B65" s="104">
        <f>me!D12</f>
        <v>0</v>
      </c>
      <c r="C65" s="104" t="str">
        <f>_xlfn.CONCAT(me!C12,": ",me!D12)</f>
        <v xml:space="preserve">: </v>
      </c>
      <c r="D65" s="233">
        <f>R38</f>
        <v>0</v>
      </c>
      <c r="E65" s="233">
        <f>R39</f>
        <v>0</v>
      </c>
      <c r="F65" s="104" t="str">
        <f t="shared" ref="F65:M65" si="0">IF(F14="","",1)</f>
        <v/>
      </c>
      <c r="G65" s="104" t="str">
        <f t="shared" si="0"/>
        <v/>
      </c>
      <c r="H65" s="104" t="str">
        <f t="shared" si="0"/>
        <v/>
      </c>
      <c r="I65" s="104" t="str">
        <f t="shared" si="0"/>
        <v/>
      </c>
      <c r="J65" s="104" t="str">
        <f t="shared" si="0"/>
        <v/>
      </c>
      <c r="K65" s="104" t="str">
        <f t="shared" si="0"/>
        <v/>
      </c>
      <c r="L65" s="104" t="str">
        <f t="shared" si="0"/>
        <v/>
      </c>
      <c r="M65" s="104" t="str">
        <f t="shared" si="0"/>
        <v/>
      </c>
    </row>
    <row r="66" spans="1:16" s="104" customFormat="1" x14ac:dyDescent="0.4">
      <c r="A66" s="104">
        <f>me!C13</f>
        <v>0</v>
      </c>
      <c r="B66" s="104">
        <f>me!D13</f>
        <v>0</v>
      </c>
      <c r="C66" s="104" t="str">
        <f>_xlfn.CONCAT(me!C13,": ",me!D13)</f>
        <v xml:space="preserve">: </v>
      </c>
      <c r="D66" s="233">
        <f>R43</f>
        <v>0</v>
      </c>
      <c r="E66" s="233">
        <f>R44</f>
        <v>0</v>
      </c>
      <c r="F66" s="104" t="str">
        <f t="shared" ref="F66:M66" si="1">IF(F15="","",1)</f>
        <v/>
      </c>
      <c r="G66" s="104" t="str">
        <f t="shared" si="1"/>
        <v/>
      </c>
      <c r="H66" s="104" t="str">
        <f t="shared" si="1"/>
        <v/>
      </c>
      <c r="I66" s="104" t="str">
        <f t="shared" si="1"/>
        <v/>
      </c>
      <c r="J66" s="104" t="str">
        <f t="shared" si="1"/>
        <v/>
      </c>
      <c r="K66" s="104" t="str">
        <f t="shared" si="1"/>
        <v/>
      </c>
      <c r="L66" s="104" t="str">
        <f t="shared" si="1"/>
        <v/>
      </c>
      <c r="M66" s="104" t="str">
        <f t="shared" si="1"/>
        <v/>
      </c>
    </row>
    <row r="67" spans="1:16" s="104" customFormat="1" x14ac:dyDescent="0.4">
      <c r="D67" s="104" t="str">
        <f>D6</f>
        <v>Ano 1</v>
      </c>
      <c r="F67" s="104" t="str">
        <f>T6</f>
        <v>Ano 2</v>
      </c>
      <c r="H67" s="104" t="str">
        <f>AI6</f>
        <v>Ano 3</v>
      </c>
      <c r="J67" s="104" t="str">
        <f>AX6</f>
        <v>Ano 4</v>
      </c>
      <c r="L67" s="104" t="str">
        <f>BM6</f>
        <v>Ano 5</v>
      </c>
      <c r="N67" s="104" t="s">
        <v>305</v>
      </c>
    </row>
    <row r="68" spans="1:16" s="104" customFormat="1" x14ac:dyDescent="0.4">
      <c r="D68" s="104" t="s">
        <v>285</v>
      </c>
      <c r="E68" s="104" t="s">
        <v>286</v>
      </c>
      <c r="F68" s="104" t="s">
        <v>289</v>
      </c>
      <c r="G68" s="104" t="s">
        <v>290</v>
      </c>
      <c r="H68" s="104" t="s">
        <v>291</v>
      </c>
      <c r="I68" s="104" t="s">
        <v>292</v>
      </c>
      <c r="J68" s="104" t="s">
        <v>293</v>
      </c>
      <c r="K68" s="104" t="s">
        <v>294</v>
      </c>
      <c r="L68" s="104" t="s">
        <v>287</v>
      </c>
      <c r="M68" s="104" t="s">
        <v>288</v>
      </c>
      <c r="N68" s="104" t="s">
        <v>59</v>
      </c>
      <c r="O68" s="104" t="s">
        <v>60</v>
      </c>
      <c r="P68" s="104" t="s">
        <v>306</v>
      </c>
    </row>
    <row r="69" spans="1:16" s="104" customFormat="1" x14ac:dyDescent="0.4">
      <c r="C69" s="104" t="s">
        <v>271</v>
      </c>
      <c r="D69" s="104">
        <f t="shared" ref="D69:M69" si="2">INDEX($E$6:$BZ$45,MATCH($C69,$A$6:$A$45,0),MATCH(D$68,$E$5:$BZ$5,0))</f>
        <v>0</v>
      </c>
      <c r="E69" s="104">
        <f t="shared" si="2"/>
        <v>0</v>
      </c>
      <c r="F69" s="104">
        <f t="shared" si="2"/>
        <v>0</v>
      </c>
      <c r="G69" s="104">
        <f t="shared" si="2"/>
        <v>0</v>
      </c>
      <c r="H69" s="104">
        <f t="shared" si="2"/>
        <v>0</v>
      </c>
      <c r="I69" s="104">
        <f t="shared" si="2"/>
        <v>0</v>
      </c>
      <c r="J69" s="104">
        <f t="shared" si="2"/>
        <v>0</v>
      </c>
      <c r="K69" s="104">
        <f t="shared" si="2"/>
        <v>0</v>
      </c>
      <c r="L69" s="104">
        <f t="shared" si="2"/>
        <v>0</v>
      </c>
      <c r="M69" s="104">
        <f t="shared" si="2"/>
        <v>0</v>
      </c>
      <c r="N69" s="104">
        <f>AVERAGE(D69,F69,H69,J69,L69)</f>
        <v>0</v>
      </c>
      <c r="O69" s="104">
        <f>AVERAGE(E69,G69,I69,K69,M69)</f>
        <v>0</v>
      </c>
      <c r="P69" s="104">
        <f>IFERROR(N69/O69,0)</f>
        <v>0</v>
      </c>
    </row>
    <row r="70" spans="1:16" s="104" customFormat="1" x14ac:dyDescent="0.4">
      <c r="C70" s="104" t="s">
        <v>272</v>
      </c>
      <c r="D70" s="104">
        <f t="shared" ref="D70:M84" si="3">INDEX($E$6:$BZ$45,MATCH($C70,$A$6:$A$45,0),MATCH(D$68,$E$5:$BZ$5,0))</f>
        <v>0</v>
      </c>
      <c r="E70" s="104">
        <f t="shared" si="3"/>
        <v>0</v>
      </c>
      <c r="F70" s="104">
        <f t="shared" si="3"/>
        <v>0</v>
      </c>
      <c r="G70" s="104">
        <f t="shared" si="3"/>
        <v>0</v>
      </c>
      <c r="H70" s="104">
        <f t="shared" si="3"/>
        <v>0</v>
      </c>
      <c r="I70" s="104">
        <f t="shared" si="3"/>
        <v>0</v>
      </c>
      <c r="J70" s="104">
        <f t="shared" si="3"/>
        <v>0</v>
      </c>
      <c r="K70" s="104">
        <f t="shared" si="3"/>
        <v>0</v>
      </c>
      <c r="L70" s="104">
        <f t="shared" si="3"/>
        <v>0</v>
      </c>
      <c r="M70" s="104">
        <f t="shared" si="3"/>
        <v>0</v>
      </c>
      <c r="N70" s="104">
        <f t="shared" ref="N70:N84" si="4">AVERAGE(D70,F70,H70,J70,L70)</f>
        <v>0</v>
      </c>
      <c r="O70" s="104">
        <f t="shared" ref="O70:O84" si="5">AVERAGE(E70,G70,I70,K70,M70)</f>
        <v>0</v>
      </c>
      <c r="P70" s="104">
        <f t="shared" ref="P70:P84" si="6">IFERROR(N70/O70,0)</f>
        <v>0</v>
      </c>
    </row>
    <row r="71" spans="1:16" s="104" customFormat="1" x14ac:dyDescent="0.4">
      <c r="C71" s="104" t="s">
        <v>273</v>
      </c>
      <c r="D71" s="104">
        <f t="shared" si="3"/>
        <v>0</v>
      </c>
      <c r="E71" s="104">
        <f t="shared" si="3"/>
        <v>0</v>
      </c>
      <c r="F71" s="104">
        <f t="shared" si="3"/>
        <v>0</v>
      </c>
      <c r="G71" s="104">
        <f t="shared" si="3"/>
        <v>0</v>
      </c>
      <c r="H71" s="104">
        <f t="shared" si="3"/>
        <v>0</v>
      </c>
      <c r="I71" s="104">
        <f t="shared" si="3"/>
        <v>0</v>
      </c>
      <c r="J71" s="104">
        <f t="shared" si="3"/>
        <v>0</v>
      </c>
      <c r="K71" s="104">
        <f t="shared" si="3"/>
        <v>0</v>
      </c>
      <c r="L71" s="104">
        <f t="shared" si="3"/>
        <v>0</v>
      </c>
      <c r="M71" s="104">
        <f t="shared" si="3"/>
        <v>0</v>
      </c>
      <c r="N71" s="104">
        <f t="shared" si="4"/>
        <v>0</v>
      </c>
      <c r="O71" s="104">
        <f t="shared" si="5"/>
        <v>0</v>
      </c>
      <c r="P71" s="104">
        <f t="shared" si="6"/>
        <v>0</v>
      </c>
    </row>
    <row r="72" spans="1:16" s="104" customFormat="1" x14ac:dyDescent="0.4">
      <c r="C72" s="104" t="s">
        <v>274</v>
      </c>
      <c r="D72" s="104">
        <f t="shared" si="3"/>
        <v>0</v>
      </c>
      <c r="E72" s="104">
        <f t="shared" si="3"/>
        <v>0</v>
      </c>
      <c r="F72" s="104">
        <f t="shared" si="3"/>
        <v>0</v>
      </c>
      <c r="G72" s="104">
        <f t="shared" si="3"/>
        <v>0</v>
      </c>
      <c r="H72" s="104">
        <f t="shared" si="3"/>
        <v>0</v>
      </c>
      <c r="I72" s="104">
        <f t="shared" si="3"/>
        <v>0</v>
      </c>
      <c r="J72" s="104">
        <f t="shared" si="3"/>
        <v>0</v>
      </c>
      <c r="K72" s="104">
        <f t="shared" si="3"/>
        <v>0</v>
      </c>
      <c r="L72" s="104">
        <f t="shared" si="3"/>
        <v>0</v>
      </c>
      <c r="M72" s="104">
        <f t="shared" si="3"/>
        <v>0</v>
      </c>
      <c r="N72" s="104">
        <f t="shared" si="4"/>
        <v>0</v>
      </c>
      <c r="O72" s="104">
        <f t="shared" si="5"/>
        <v>0</v>
      </c>
      <c r="P72" s="104">
        <f t="shared" si="6"/>
        <v>0</v>
      </c>
    </row>
    <row r="73" spans="1:16" s="104" customFormat="1" x14ac:dyDescent="0.4">
      <c r="C73" s="104" t="s">
        <v>275</v>
      </c>
      <c r="D73" s="104">
        <f t="shared" si="3"/>
        <v>0</v>
      </c>
      <c r="E73" s="104">
        <f t="shared" si="3"/>
        <v>0</v>
      </c>
      <c r="F73" s="104">
        <f t="shared" si="3"/>
        <v>0</v>
      </c>
      <c r="G73" s="104">
        <f t="shared" si="3"/>
        <v>0</v>
      </c>
      <c r="H73" s="104">
        <f t="shared" si="3"/>
        <v>0</v>
      </c>
      <c r="I73" s="104">
        <f t="shared" si="3"/>
        <v>0</v>
      </c>
      <c r="J73" s="104">
        <f t="shared" si="3"/>
        <v>0</v>
      </c>
      <c r="K73" s="104">
        <f t="shared" si="3"/>
        <v>0</v>
      </c>
      <c r="L73" s="104">
        <f t="shared" si="3"/>
        <v>0</v>
      </c>
      <c r="M73" s="104">
        <f t="shared" si="3"/>
        <v>0</v>
      </c>
      <c r="N73" s="104">
        <f t="shared" si="4"/>
        <v>0</v>
      </c>
      <c r="O73" s="104">
        <f t="shared" si="5"/>
        <v>0</v>
      </c>
      <c r="P73" s="104">
        <f t="shared" si="6"/>
        <v>0</v>
      </c>
    </row>
    <row r="74" spans="1:16" s="104" customFormat="1" x14ac:dyDescent="0.4">
      <c r="C74" s="104" t="s">
        <v>276</v>
      </c>
      <c r="D74" s="104">
        <f t="shared" si="3"/>
        <v>0</v>
      </c>
      <c r="E74" s="104">
        <f t="shared" si="3"/>
        <v>0</v>
      </c>
      <c r="F74" s="104">
        <f t="shared" si="3"/>
        <v>0</v>
      </c>
      <c r="G74" s="104">
        <f t="shared" si="3"/>
        <v>0</v>
      </c>
      <c r="H74" s="104">
        <f t="shared" si="3"/>
        <v>0</v>
      </c>
      <c r="I74" s="104">
        <f t="shared" si="3"/>
        <v>0</v>
      </c>
      <c r="J74" s="104">
        <f t="shared" si="3"/>
        <v>0</v>
      </c>
      <c r="K74" s="104">
        <f t="shared" si="3"/>
        <v>0</v>
      </c>
      <c r="L74" s="104">
        <f t="shared" si="3"/>
        <v>0</v>
      </c>
      <c r="M74" s="104">
        <f t="shared" si="3"/>
        <v>0</v>
      </c>
      <c r="N74" s="104">
        <f t="shared" si="4"/>
        <v>0</v>
      </c>
      <c r="O74" s="104">
        <f t="shared" si="5"/>
        <v>0</v>
      </c>
      <c r="P74" s="104">
        <f t="shared" si="6"/>
        <v>0</v>
      </c>
    </row>
    <row r="75" spans="1:16" s="104" customFormat="1" x14ac:dyDescent="0.4">
      <c r="C75" s="104" t="s">
        <v>277</v>
      </c>
      <c r="D75" s="104">
        <f t="shared" si="3"/>
        <v>0</v>
      </c>
      <c r="E75" s="104">
        <f t="shared" si="3"/>
        <v>0</v>
      </c>
      <c r="F75" s="104">
        <f t="shared" si="3"/>
        <v>0</v>
      </c>
      <c r="G75" s="104">
        <f t="shared" si="3"/>
        <v>0</v>
      </c>
      <c r="H75" s="104">
        <f t="shared" si="3"/>
        <v>0</v>
      </c>
      <c r="I75" s="104">
        <f t="shared" si="3"/>
        <v>0</v>
      </c>
      <c r="J75" s="104">
        <f t="shared" si="3"/>
        <v>0</v>
      </c>
      <c r="K75" s="104">
        <f t="shared" si="3"/>
        <v>0</v>
      </c>
      <c r="L75" s="104">
        <f t="shared" si="3"/>
        <v>0</v>
      </c>
      <c r="M75" s="104">
        <f t="shared" si="3"/>
        <v>0</v>
      </c>
      <c r="N75" s="104">
        <f t="shared" si="4"/>
        <v>0</v>
      </c>
      <c r="O75" s="104">
        <f t="shared" si="5"/>
        <v>0</v>
      </c>
      <c r="P75" s="104">
        <f t="shared" si="6"/>
        <v>0</v>
      </c>
    </row>
    <row r="76" spans="1:16" s="104" customFormat="1" x14ac:dyDescent="0.4">
      <c r="C76" s="104" t="s">
        <v>278</v>
      </c>
      <c r="D76" s="104">
        <f t="shared" si="3"/>
        <v>0</v>
      </c>
      <c r="E76" s="104">
        <f t="shared" si="3"/>
        <v>0</v>
      </c>
      <c r="F76" s="104">
        <f t="shared" si="3"/>
        <v>0</v>
      </c>
      <c r="G76" s="104">
        <f t="shared" si="3"/>
        <v>0</v>
      </c>
      <c r="H76" s="104">
        <f t="shared" si="3"/>
        <v>0</v>
      </c>
      <c r="I76" s="104">
        <f t="shared" si="3"/>
        <v>0</v>
      </c>
      <c r="J76" s="104">
        <f t="shared" si="3"/>
        <v>0</v>
      </c>
      <c r="K76" s="104">
        <f t="shared" si="3"/>
        <v>0</v>
      </c>
      <c r="L76" s="104">
        <f t="shared" si="3"/>
        <v>0</v>
      </c>
      <c r="M76" s="104">
        <f t="shared" si="3"/>
        <v>0</v>
      </c>
      <c r="N76" s="104">
        <f t="shared" si="4"/>
        <v>0</v>
      </c>
      <c r="O76" s="104">
        <f t="shared" si="5"/>
        <v>0</v>
      </c>
      <c r="P76" s="104">
        <f t="shared" si="6"/>
        <v>0</v>
      </c>
    </row>
    <row r="77" spans="1:16" s="104" customFormat="1" x14ac:dyDescent="0.4">
      <c r="C77" s="104" t="s">
        <v>279</v>
      </c>
      <c r="D77" s="104">
        <f t="shared" si="3"/>
        <v>0</v>
      </c>
      <c r="E77" s="104">
        <f t="shared" si="3"/>
        <v>0</v>
      </c>
      <c r="F77" s="104">
        <f t="shared" si="3"/>
        <v>0</v>
      </c>
      <c r="G77" s="104">
        <f t="shared" si="3"/>
        <v>0</v>
      </c>
      <c r="H77" s="104">
        <f t="shared" si="3"/>
        <v>0</v>
      </c>
      <c r="I77" s="104">
        <f t="shared" si="3"/>
        <v>0</v>
      </c>
      <c r="J77" s="104">
        <f t="shared" si="3"/>
        <v>0</v>
      </c>
      <c r="K77" s="104">
        <f t="shared" si="3"/>
        <v>0</v>
      </c>
      <c r="L77" s="104">
        <f t="shared" si="3"/>
        <v>0</v>
      </c>
      <c r="M77" s="104">
        <f t="shared" si="3"/>
        <v>0</v>
      </c>
      <c r="N77" s="104">
        <f t="shared" si="4"/>
        <v>0</v>
      </c>
      <c r="O77" s="104">
        <f t="shared" si="5"/>
        <v>0</v>
      </c>
      <c r="P77" s="104">
        <f t="shared" si="6"/>
        <v>0</v>
      </c>
    </row>
    <row r="78" spans="1:16" s="104" customFormat="1" x14ac:dyDescent="0.4">
      <c r="C78" s="104" t="s">
        <v>280</v>
      </c>
      <c r="D78" s="104">
        <f t="shared" si="3"/>
        <v>0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  <c r="I78" s="104">
        <f t="shared" si="3"/>
        <v>0</v>
      </c>
      <c r="J78" s="104">
        <f t="shared" si="3"/>
        <v>0</v>
      </c>
      <c r="K78" s="104">
        <f t="shared" si="3"/>
        <v>0</v>
      </c>
      <c r="L78" s="104">
        <f t="shared" si="3"/>
        <v>0</v>
      </c>
      <c r="M78" s="104">
        <f t="shared" si="3"/>
        <v>0</v>
      </c>
      <c r="N78" s="104">
        <f t="shared" si="4"/>
        <v>0</v>
      </c>
      <c r="O78" s="104">
        <f t="shared" si="5"/>
        <v>0</v>
      </c>
      <c r="P78" s="104">
        <f t="shared" si="6"/>
        <v>0</v>
      </c>
    </row>
    <row r="79" spans="1:16" s="104" customFormat="1" x14ac:dyDescent="0.4">
      <c r="C79" s="104" t="s">
        <v>281</v>
      </c>
      <c r="D79" s="104">
        <f t="shared" si="3"/>
        <v>0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  <c r="I79" s="104">
        <f t="shared" si="3"/>
        <v>0</v>
      </c>
      <c r="J79" s="104">
        <f t="shared" si="3"/>
        <v>0</v>
      </c>
      <c r="K79" s="104">
        <f t="shared" si="3"/>
        <v>0</v>
      </c>
      <c r="L79" s="104">
        <f t="shared" si="3"/>
        <v>0</v>
      </c>
      <c r="M79" s="104">
        <f t="shared" si="3"/>
        <v>0</v>
      </c>
      <c r="N79" s="104">
        <f t="shared" si="4"/>
        <v>0</v>
      </c>
      <c r="O79" s="104">
        <f t="shared" si="5"/>
        <v>0</v>
      </c>
      <c r="P79" s="104">
        <f t="shared" si="6"/>
        <v>0</v>
      </c>
    </row>
    <row r="80" spans="1:16" s="104" customFormat="1" x14ac:dyDescent="0.4">
      <c r="C80" s="104" t="s">
        <v>282</v>
      </c>
      <c r="D80" s="104">
        <f t="shared" si="3"/>
        <v>0</v>
      </c>
      <c r="E80" s="104">
        <f t="shared" si="3"/>
        <v>0</v>
      </c>
      <c r="F80" s="104">
        <f t="shared" si="3"/>
        <v>0</v>
      </c>
      <c r="G80" s="104">
        <f t="shared" si="3"/>
        <v>0</v>
      </c>
      <c r="H80" s="104">
        <f t="shared" si="3"/>
        <v>0</v>
      </c>
      <c r="I80" s="104">
        <f t="shared" si="3"/>
        <v>0</v>
      </c>
      <c r="J80" s="104">
        <f t="shared" si="3"/>
        <v>0</v>
      </c>
      <c r="K80" s="104">
        <f t="shared" si="3"/>
        <v>0</v>
      </c>
      <c r="L80" s="104">
        <f t="shared" si="3"/>
        <v>0</v>
      </c>
      <c r="M80" s="104">
        <f t="shared" si="3"/>
        <v>0</v>
      </c>
      <c r="N80" s="104">
        <f t="shared" si="4"/>
        <v>0</v>
      </c>
      <c r="O80" s="104">
        <f t="shared" si="5"/>
        <v>0</v>
      </c>
      <c r="P80" s="104">
        <f t="shared" si="6"/>
        <v>0</v>
      </c>
    </row>
    <row r="81" spans="3:76" s="104" customFormat="1" x14ac:dyDescent="0.4">
      <c r="C81" s="104" t="s">
        <v>283</v>
      </c>
      <c r="D81" s="104">
        <f t="shared" si="3"/>
        <v>0</v>
      </c>
      <c r="E81" s="104">
        <f t="shared" si="3"/>
        <v>0</v>
      </c>
      <c r="F81" s="104">
        <f t="shared" si="3"/>
        <v>0</v>
      </c>
      <c r="G81" s="104">
        <f t="shared" si="3"/>
        <v>0</v>
      </c>
      <c r="H81" s="104">
        <f t="shared" si="3"/>
        <v>0</v>
      </c>
      <c r="I81" s="104">
        <f t="shared" si="3"/>
        <v>0</v>
      </c>
      <c r="J81" s="104">
        <f t="shared" si="3"/>
        <v>0</v>
      </c>
      <c r="K81" s="104">
        <f t="shared" si="3"/>
        <v>0</v>
      </c>
      <c r="L81" s="104">
        <f t="shared" si="3"/>
        <v>0</v>
      </c>
      <c r="M81" s="104">
        <f t="shared" si="3"/>
        <v>0</v>
      </c>
      <c r="N81" s="104">
        <f t="shared" si="4"/>
        <v>0</v>
      </c>
      <c r="O81" s="104">
        <f t="shared" si="5"/>
        <v>0</v>
      </c>
      <c r="P81" s="104">
        <f t="shared" si="6"/>
        <v>0</v>
      </c>
    </row>
    <row r="82" spans="3:76" s="104" customFormat="1" x14ac:dyDescent="0.4">
      <c r="C82" s="104" t="s">
        <v>284</v>
      </c>
      <c r="D82" s="104">
        <f t="shared" si="3"/>
        <v>0</v>
      </c>
      <c r="E82" s="104">
        <f t="shared" si="3"/>
        <v>0</v>
      </c>
      <c r="F82" s="104">
        <f t="shared" si="3"/>
        <v>0</v>
      </c>
      <c r="G82" s="104">
        <f t="shared" si="3"/>
        <v>0</v>
      </c>
      <c r="H82" s="104">
        <f t="shared" si="3"/>
        <v>0</v>
      </c>
      <c r="I82" s="104">
        <f t="shared" si="3"/>
        <v>0</v>
      </c>
      <c r="J82" s="104">
        <f t="shared" si="3"/>
        <v>0</v>
      </c>
      <c r="K82" s="104">
        <f t="shared" si="3"/>
        <v>0</v>
      </c>
      <c r="L82" s="104">
        <f t="shared" si="3"/>
        <v>0</v>
      </c>
      <c r="M82" s="104">
        <f t="shared" si="3"/>
        <v>0</v>
      </c>
      <c r="N82" s="104">
        <f t="shared" si="4"/>
        <v>0</v>
      </c>
      <c r="O82" s="104">
        <f t="shared" si="5"/>
        <v>0</v>
      </c>
      <c r="P82" s="104">
        <f t="shared" si="6"/>
        <v>0</v>
      </c>
    </row>
    <row r="83" spans="3:76" s="104" customFormat="1" x14ac:dyDescent="0.4">
      <c r="C83" s="104" t="s">
        <v>269</v>
      </c>
      <c r="D83" s="104">
        <f t="shared" si="3"/>
        <v>0</v>
      </c>
      <c r="E83" s="104">
        <f t="shared" si="3"/>
        <v>0</v>
      </c>
      <c r="F83" s="104">
        <f t="shared" si="3"/>
        <v>0</v>
      </c>
      <c r="G83" s="104">
        <f t="shared" si="3"/>
        <v>0</v>
      </c>
      <c r="H83" s="104">
        <f t="shared" si="3"/>
        <v>0</v>
      </c>
      <c r="I83" s="104">
        <f t="shared" si="3"/>
        <v>0</v>
      </c>
      <c r="J83" s="104">
        <f t="shared" si="3"/>
        <v>0</v>
      </c>
      <c r="K83" s="104">
        <f t="shared" si="3"/>
        <v>0</v>
      </c>
      <c r="L83" s="104">
        <f t="shared" si="3"/>
        <v>0</v>
      </c>
      <c r="M83" s="104">
        <f t="shared" si="3"/>
        <v>0</v>
      </c>
      <c r="N83" s="104">
        <f t="shared" si="4"/>
        <v>0</v>
      </c>
      <c r="O83" s="104">
        <f t="shared" si="5"/>
        <v>0</v>
      </c>
      <c r="P83" s="104">
        <f t="shared" si="6"/>
        <v>0</v>
      </c>
    </row>
    <row r="84" spans="3:76" s="104" customFormat="1" x14ac:dyDescent="0.4">
      <c r="C84" s="104" t="s">
        <v>270</v>
      </c>
      <c r="D84" s="104">
        <f t="shared" si="3"/>
        <v>0</v>
      </c>
      <c r="E84" s="104">
        <f t="shared" si="3"/>
        <v>0</v>
      </c>
      <c r="F84" s="104">
        <f t="shared" si="3"/>
        <v>0</v>
      </c>
      <c r="G84" s="104">
        <f t="shared" si="3"/>
        <v>0</v>
      </c>
      <c r="H84" s="104">
        <f t="shared" si="3"/>
        <v>0</v>
      </c>
      <c r="I84" s="104">
        <f t="shared" si="3"/>
        <v>0</v>
      </c>
      <c r="J84" s="104">
        <f t="shared" si="3"/>
        <v>0</v>
      </c>
      <c r="K84" s="104">
        <f t="shared" si="3"/>
        <v>0</v>
      </c>
      <c r="L84" s="104">
        <f t="shared" si="3"/>
        <v>0</v>
      </c>
      <c r="M84" s="104">
        <f t="shared" si="3"/>
        <v>0</v>
      </c>
      <c r="N84" s="104">
        <f t="shared" si="4"/>
        <v>0</v>
      </c>
      <c r="O84" s="104">
        <f t="shared" si="5"/>
        <v>0</v>
      </c>
      <c r="P84" s="104">
        <f t="shared" si="6"/>
        <v>0</v>
      </c>
    </row>
    <row r="85" spans="3:76" s="104" customFormat="1" x14ac:dyDescent="0.4">
      <c r="C85" s="104" t="s">
        <v>271</v>
      </c>
      <c r="E85" s="104">
        <f t="shared" ref="E85:P85" si="7">COUNTA(E8)</f>
        <v>0</v>
      </c>
      <c r="F85" s="104">
        <f t="shared" si="7"/>
        <v>0</v>
      </c>
      <c r="G85" s="104">
        <f t="shared" si="7"/>
        <v>0</v>
      </c>
      <c r="H85" s="104">
        <f t="shared" si="7"/>
        <v>0</v>
      </c>
      <c r="I85" s="104">
        <f t="shared" si="7"/>
        <v>0</v>
      </c>
      <c r="J85" s="104">
        <f t="shared" si="7"/>
        <v>0</v>
      </c>
      <c r="K85" s="104">
        <f t="shared" si="7"/>
        <v>0</v>
      </c>
      <c r="L85" s="104">
        <f t="shared" si="7"/>
        <v>0</v>
      </c>
      <c r="M85" s="104">
        <f t="shared" si="7"/>
        <v>0</v>
      </c>
      <c r="N85" s="104">
        <f t="shared" si="7"/>
        <v>0</v>
      </c>
      <c r="O85" s="104">
        <f t="shared" si="7"/>
        <v>0</v>
      </c>
      <c r="P85" s="104">
        <f t="shared" si="7"/>
        <v>0</v>
      </c>
      <c r="T85" s="104">
        <f t="shared" ref="T85:AE85" si="8">COUNTA(T8)</f>
        <v>0</v>
      </c>
      <c r="U85" s="104">
        <f t="shared" si="8"/>
        <v>0</v>
      </c>
      <c r="V85" s="104">
        <f t="shared" si="8"/>
        <v>0</v>
      </c>
      <c r="W85" s="104">
        <f t="shared" si="8"/>
        <v>0</v>
      </c>
      <c r="X85" s="104">
        <f t="shared" si="8"/>
        <v>0</v>
      </c>
      <c r="Y85" s="104">
        <f t="shared" si="8"/>
        <v>0</v>
      </c>
      <c r="Z85" s="104">
        <f t="shared" si="8"/>
        <v>0</v>
      </c>
      <c r="AA85" s="104">
        <f t="shared" si="8"/>
        <v>0</v>
      </c>
      <c r="AB85" s="104">
        <f t="shared" si="8"/>
        <v>0</v>
      </c>
      <c r="AC85" s="104">
        <f t="shared" si="8"/>
        <v>0</v>
      </c>
      <c r="AD85" s="104">
        <f t="shared" si="8"/>
        <v>0</v>
      </c>
      <c r="AE85" s="104">
        <f t="shared" si="8"/>
        <v>0</v>
      </c>
      <c r="AI85" s="104">
        <f t="shared" ref="AI85:AT85" si="9">COUNTA(AI8)</f>
        <v>0</v>
      </c>
      <c r="AJ85" s="104">
        <f t="shared" si="9"/>
        <v>0</v>
      </c>
      <c r="AK85" s="104">
        <f t="shared" si="9"/>
        <v>0</v>
      </c>
      <c r="AL85" s="104">
        <f t="shared" si="9"/>
        <v>0</v>
      </c>
      <c r="AM85" s="104">
        <f t="shared" si="9"/>
        <v>0</v>
      </c>
      <c r="AN85" s="104">
        <f t="shared" si="9"/>
        <v>0</v>
      </c>
      <c r="AO85" s="104">
        <f t="shared" si="9"/>
        <v>0</v>
      </c>
      <c r="AP85" s="104">
        <f t="shared" si="9"/>
        <v>0</v>
      </c>
      <c r="AQ85" s="104">
        <f t="shared" si="9"/>
        <v>0</v>
      </c>
      <c r="AR85" s="104">
        <f t="shared" si="9"/>
        <v>0</v>
      </c>
      <c r="AS85" s="104">
        <f t="shared" si="9"/>
        <v>0</v>
      </c>
      <c r="AT85" s="104">
        <f t="shared" si="9"/>
        <v>0</v>
      </c>
      <c r="AX85" s="104">
        <f t="shared" ref="AX85:BI85" si="10">COUNTA(AX8)</f>
        <v>0</v>
      </c>
      <c r="AY85" s="104">
        <f t="shared" si="10"/>
        <v>0</v>
      </c>
      <c r="AZ85" s="104">
        <f t="shared" si="10"/>
        <v>0</v>
      </c>
      <c r="BA85" s="104">
        <f t="shared" si="10"/>
        <v>0</v>
      </c>
      <c r="BB85" s="104">
        <f t="shared" si="10"/>
        <v>0</v>
      </c>
      <c r="BC85" s="104">
        <f t="shared" si="10"/>
        <v>0</v>
      </c>
      <c r="BD85" s="104">
        <f t="shared" si="10"/>
        <v>0</v>
      </c>
      <c r="BE85" s="104">
        <f t="shared" si="10"/>
        <v>0</v>
      </c>
      <c r="BF85" s="104">
        <f t="shared" si="10"/>
        <v>0</v>
      </c>
      <c r="BG85" s="104">
        <f t="shared" si="10"/>
        <v>0</v>
      </c>
      <c r="BH85" s="104">
        <f t="shared" si="10"/>
        <v>0</v>
      </c>
      <c r="BI85" s="104">
        <f t="shared" si="10"/>
        <v>0</v>
      </c>
      <c r="BM85" s="104">
        <f t="shared" ref="BM85:BX85" si="11">COUNTA(BM8)</f>
        <v>0</v>
      </c>
      <c r="BN85" s="104">
        <f t="shared" si="11"/>
        <v>0</v>
      </c>
      <c r="BO85" s="104">
        <f t="shared" si="11"/>
        <v>0</v>
      </c>
      <c r="BP85" s="104">
        <f t="shared" si="11"/>
        <v>0</v>
      </c>
      <c r="BQ85" s="104">
        <f t="shared" si="11"/>
        <v>0</v>
      </c>
      <c r="BR85" s="104">
        <f t="shared" si="11"/>
        <v>0</v>
      </c>
      <c r="BS85" s="104">
        <f t="shared" si="11"/>
        <v>0</v>
      </c>
      <c r="BT85" s="104">
        <f t="shared" si="11"/>
        <v>0</v>
      </c>
      <c r="BU85" s="104">
        <f t="shared" si="11"/>
        <v>0</v>
      </c>
      <c r="BV85" s="104">
        <f t="shared" si="11"/>
        <v>0</v>
      </c>
      <c r="BW85" s="104">
        <f t="shared" si="11"/>
        <v>0</v>
      </c>
      <c r="BX85" s="104">
        <f t="shared" si="11"/>
        <v>0</v>
      </c>
    </row>
    <row r="86" spans="3:76" s="104" customFormat="1" x14ac:dyDescent="0.4">
      <c r="C86" s="104" t="s">
        <v>272</v>
      </c>
      <c r="E86" s="104">
        <f t="shared" ref="E86:P86" si="12">COUNTA(E9)</f>
        <v>0</v>
      </c>
      <c r="F86" s="104">
        <f t="shared" si="12"/>
        <v>0</v>
      </c>
      <c r="G86" s="104">
        <f t="shared" si="12"/>
        <v>0</v>
      </c>
      <c r="H86" s="104">
        <f t="shared" si="12"/>
        <v>0</v>
      </c>
      <c r="I86" s="104">
        <f t="shared" si="12"/>
        <v>0</v>
      </c>
      <c r="J86" s="104">
        <f t="shared" si="12"/>
        <v>0</v>
      </c>
      <c r="K86" s="104">
        <f t="shared" si="12"/>
        <v>0</v>
      </c>
      <c r="L86" s="104">
        <f t="shared" si="12"/>
        <v>0</v>
      </c>
      <c r="M86" s="104">
        <f t="shared" si="12"/>
        <v>0</v>
      </c>
      <c r="N86" s="104">
        <f t="shared" si="12"/>
        <v>0</v>
      </c>
      <c r="O86" s="104">
        <f t="shared" si="12"/>
        <v>0</v>
      </c>
      <c r="P86" s="104">
        <f t="shared" si="12"/>
        <v>0</v>
      </c>
      <c r="T86" s="104">
        <f t="shared" ref="T86:AE86" si="13">COUNTA(T9)</f>
        <v>0</v>
      </c>
      <c r="U86" s="104">
        <f t="shared" si="13"/>
        <v>0</v>
      </c>
      <c r="V86" s="104">
        <f t="shared" si="13"/>
        <v>0</v>
      </c>
      <c r="W86" s="104">
        <f t="shared" si="13"/>
        <v>0</v>
      </c>
      <c r="X86" s="104">
        <f t="shared" si="13"/>
        <v>0</v>
      </c>
      <c r="Y86" s="104">
        <f t="shared" si="13"/>
        <v>0</v>
      </c>
      <c r="Z86" s="104">
        <f t="shared" si="13"/>
        <v>0</v>
      </c>
      <c r="AA86" s="104">
        <f t="shared" si="13"/>
        <v>0</v>
      </c>
      <c r="AB86" s="104">
        <f t="shared" si="13"/>
        <v>0</v>
      </c>
      <c r="AC86" s="104">
        <f t="shared" si="13"/>
        <v>0</v>
      </c>
      <c r="AD86" s="104">
        <f t="shared" si="13"/>
        <v>0</v>
      </c>
      <c r="AE86" s="104">
        <f t="shared" si="13"/>
        <v>0</v>
      </c>
      <c r="AI86" s="104">
        <f t="shared" ref="AI86:AT86" si="14">COUNTA(AI9)</f>
        <v>0</v>
      </c>
      <c r="AJ86" s="104">
        <f t="shared" si="14"/>
        <v>0</v>
      </c>
      <c r="AK86" s="104">
        <f t="shared" si="14"/>
        <v>0</v>
      </c>
      <c r="AL86" s="104">
        <f t="shared" si="14"/>
        <v>0</v>
      </c>
      <c r="AM86" s="104">
        <f t="shared" si="14"/>
        <v>0</v>
      </c>
      <c r="AN86" s="104">
        <f t="shared" si="14"/>
        <v>0</v>
      </c>
      <c r="AO86" s="104">
        <f t="shared" si="14"/>
        <v>0</v>
      </c>
      <c r="AP86" s="104">
        <f t="shared" si="14"/>
        <v>0</v>
      </c>
      <c r="AQ86" s="104">
        <f t="shared" si="14"/>
        <v>0</v>
      </c>
      <c r="AR86" s="104">
        <f t="shared" si="14"/>
        <v>0</v>
      </c>
      <c r="AS86" s="104">
        <f t="shared" si="14"/>
        <v>0</v>
      </c>
      <c r="AT86" s="104">
        <f t="shared" si="14"/>
        <v>0</v>
      </c>
      <c r="AX86" s="104">
        <f t="shared" ref="AX86:BI86" si="15">COUNTA(AX9)</f>
        <v>0</v>
      </c>
      <c r="AY86" s="104">
        <f t="shared" si="15"/>
        <v>0</v>
      </c>
      <c r="AZ86" s="104">
        <f t="shared" si="15"/>
        <v>0</v>
      </c>
      <c r="BA86" s="104">
        <f t="shared" si="15"/>
        <v>0</v>
      </c>
      <c r="BB86" s="104">
        <f t="shared" si="15"/>
        <v>0</v>
      </c>
      <c r="BC86" s="104">
        <f t="shared" si="15"/>
        <v>0</v>
      </c>
      <c r="BD86" s="104">
        <f t="shared" si="15"/>
        <v>0</v>
      </c>
      <c r="BE86" s="104">
        <f t="shared" si="15"/>
        <v>0</v>
      </c>
      <c r="BF86" s="104">
        <f t="shared" si="15"/>
        <v>0</v>
      </c>
      <c r="BG86" s="104">
        <f t="shared" si="15"/>
        <v>0</v>
      </c>
      <c r="BH86" s="104">
        <f t="shared" si="15"/>
        <v>0</v>
      </c>
      <c r="BI86" s="104">
        <f t="shared" si="15"/>
        <v>0</v>
      </c>
      <c r="BM86" s="104">
        <f t="shared" ref="BM86:BX86" si="16">COUNTA(BM9)</f>
        <v>0</v>
      </c>
      <c r="BN86" s="104">
        <f t="shared" si="16"/>
        <v>0</v>
      </c>
      <c r="BO86" s="104">
        <f t="shared" si="16"/>
        <v>0</v>
      </c>
      <c r="BP86" s="104">
        <f t="shared" si="16"/>
        <v>0</v>
      </c>
      <c r="BQ86" s="104">
        <f t="shared" si="16"/>
        <v>0</v>
      </c>
      <c r="BR86" s="104">
        <f t="shared" si="16"/>
        <v>0</v>
      </c>
      <c r="BS86" s="104">
        <f t="shared" si="16"/>
        <v>0</v>
      </c>
      <c r="BT86" s="104">
        <f t="shared" si="16"/>
        <v>0</v>
      </c>
      <c r="BU86" s="104">
        <f t="shared" si="16"/>
        <v>0</v>
      </c>
      <c r="BV86" s="104">
        <f t="shared" si="16"/>
        <v>0</v>
      </c>
      <c r="BW86" s="104">
        <f t="shared" si="16"/>
        <v>0</v>
      </c>
      <c r="BX86" s="104">
        <f t="shared" si="16"/>
        <v>0</v>
      </c>
    </row>
    <row r="87" spans="3:76" s="104" customFormat="1" x14ac:dyDescent="0.4">
      <c r="C87" s="104" t="s">
        <v>273</v>
      </c>
      <c r="E87" s="104">
        <f t="shared" ref="E87:P87" si="17">COUNTA(E13)</f>
        <v>0</v>
      </c>
      <c r="F87" s="104">
        <f t="shared" si="17"/>
        <v>0</v>
      </c>
      <c r="G87" s="104">
        <f t="shared" si="17"/>
        <v>0</v>
      </c>
      <c r="H87" s="104">
        <f t="shared" si="17"/>
        <v>0</v>
      </c>
      <c r="I87" s="104">
        <f t="shared" si="17"/>
        <v>0</v>
      </c>
      <c r="J87" s="104">
        <f t="shared" si="17"/>
        <v>0</v>
      </c>
      <c r="K87" s="104">
        <f t="shared" si="17"/>
        <v>0</v>
      </c>
      <c r="L87" s="104">
        <f t="shared" si="17"/>
        <v>0</v>
      </c>
      <c r="M87" s="104">
        <f t="shared" si="17"/>
        <v>0</v>
      </c>
      <c r="N87" s="104">
        <f t="shared" si="17"/>
        <v>0</v>
      </c>
      <c r="O87" s="104">
        <f t="shared" si="17"/>
        <v>0</v>
      </c>
      <c r="P87" s="104">
        <f t="shared" si="17"/>
        <v>0</v>
      </c>
      <c r="T87" s="104">
        <f t="shared" ref="T87:AE87" si="18">COUNTA(T13)</f>
        <v>0</v>
      </c>
      <c r="U87" s="104">
        <f t="shared" si="18"/>
        <v>0</v>
      </c>
      <c r="V87" s="104">
        <f t="shared" si="18"/>
        <v>0</v>
      </c>
      <c r="W87" s="104">
        <f t="shared" si="18"/>
        <v>0</v>
      </c>
      <c r="X87" s="104">
        <f t="shared" si="18"/>
        <v>0</v>
      </c>
      <c r="Y87" s="104">
        <f t="shared" si="18"/>
        <v>0</v>
      </c>
      <c r="Z87" s="104">
        <f t="shared" si="18"/>
        <v>0</v>
      </c>
      <c r="AA87" s="104">
        <f t="shared" si="18"/>
        <v>0</v>
      </c>
      <c r="AB87" s="104">
        <f t="shared" si="18"/>
        <v>0</v>
      </c>
      <c r="AC87" s="104">
        <f t="shared" si="18"/>
        <v>0</v>
      </c>
      <c r="AD87" s="104">
        <f t="shared" si="18"/>
        <v>0</v>
      </c>
      <c r="AE87" s="104">
        <f t="shared" si="18"/>
        <v>0</v>
      </c>
      <c r="AI87" s="104">
        <f t="shared" ref="AI87:AT87" si="19">COUNTA(AI13)</f>
        <v>0</v>
      </c>
      <c r="AJ87" s="104">
        <f t="shared" si="19"/>
        <v>0</v>
      </c>
      <c r="AK87" s="104">
        <f t="shared" si="19"/>
        <v>0</v>
      </c>
      <c r="AL87" s="104">
        <f t="shared" si="19"/>
        <v>0</v>
      </c>
      <c r="AM87" s="104">
        <f t="shared" si="19"/>
        <v>0</v>
      </c>
      <c r="AN87" s="104">
        <f t="shared" si="19"/>
        <v>0</v>
      </c>
      <c r="AO87" s="104">
        <f t="shared" si="19"/>
        <v>0</v>
      </c>
      <c r="AP87" s="104">
        <f t="shared" si="19"/>
        <v>0</v>
      </c>
      <c r="AQ87" s="104">
        <f t="shared" si="19"/>
        <v>0</v>
      </c>
      <c r="AR87" s="104">
        <f t="shared" si="19"/>
        <v>0</v>
      </c>
      <c r="AS87" s="104">
        <f t="shared" si="19"/>
        <v>0</v>
      </c>
      <c r="AT87" s="104">
        <f t="shared" si="19"/>
        <v>0</v>
      </c>
      <c r="AX87" s="104">
        <f t="shared" ref="AX87:BI87" si="20">COUNTA(AX13)</f>
        <v>0</v>
      </c>
      <c r="AY87" s="104">
        <f t="shared" si="20"/>
        <v>0</v>
      </c>
      <c r="AZ87" s="104">
        <f t="shared" si="20"/>
        <v>0</v>
      </c>
      <c r="BA87" s="104">
        <f t="shared" si="20"/>
        <v>0</v>
      </c>
      <c r="BB87" s="104">
        <f t="shared" si="20"/>
        <v>0</v>
      </c>
      <c r="BC87" s="104">
        <f t="shared" si="20"/>
        <v>0</v>
      </c>
      <c r="BD87" s="104">
        <f t="shared" si="20"/>
        <v>0</v>
      </c>
      <c r="BE87" s="104">
        <f t="shared" si="20"/>
        <v>0</v>
      </c>
      <c r="BF87" s="104">
        <f t="shared" si="20"/>
        <v>0</v>
      </c>
      <c r="BG87" s="104">
        <f t="shared" si="20"/>
        <v>0</v>
      </c>
      <c r="BH87" s="104">
        <f t="shared" si="20"/>
        <v>0</v>
      </c>
      <c r="BI87" s="104">
        <f t="shared" si="20"/>
        <v>0</v>
      </c>
      <c r="BM87" s="104">
        <f t="shared" ref="BM87:BX87" si="21">COUNTA(BM13)</f>
        <v>0</v>
      </c>
      <c r="BN87" s="104">
        <f t="shared" si="21"/>
        <v>0</v>
      </c>
      <c r="BO87" s="104">
        <f t="shared" si="21"/>
        <v>0</v>
      </c>
      <c r="BP87" s="104">
        <f t="shared" si="21"/>
        <v>0</v>
      </c>
      <c r="BQ87" s="104">
        <f t="shared" si="21"/>
        <v>0</v>
      </c>
      <c r="BR87" s="104">
        <f t="shared" si="21"/>
        <v>0</v>
      </c>
      <c r="BS87" s="104">
        <f t="shared" si="21"/>
        <v>0</v>
      </c>
      <c r="BT87" s="104">
        <f t="shared" si="21"/>
        <v>0</v>
      </c>
      <c r="BU87" s="104">
        <f t="shared" si="21"/>
        <v>0</v>
      </c>
      <c r="BV87" s="104">
        <f t="shared" si="21"/>
        <v>0</v>
      </c>
      <c r="BW87" s="104">
        <f t="shared" si="21"/>
        <v>0</v>
      </c>
      <c r="BX87" s="104">
        <f t="shared" si="21"/>
        <v>0</v>
      </c>
    </row>
    <row r="88" spans="3:76" s="104" customFormat="1" x14ac:dyDescent="0.4">
      <c r="C88" s="104" t="s">
        <v>274</v>
      </c>
      <c r="E88" s="104">
        <f t="shared" ref="E88:P88" si="22">COUNTA(E14)</f>
        <v>0</v>
      </c>
      <c r="F88" s="104">
        <f t="shared" si="22"/>
        <v>0</v>
      </c>
      <c r="G88" s="104">
        <f t="shared" si="22"/>
        <v>0</v>
      </c>
      <c r="H88" s="104">
        <f t="shared" si="22"/>
        <v>0</v>
      </c>
      <c r="I88" s="104">
        <f t="shared" si="22"/>
        <v>0</v>
      </c>
      <c r="J88" s="104">
        <f t="shared" si="22"/>
        <v>0</v>
      </c>
      <c r="K88" s="104">
        <f t="shared" si="22"/>
        <v>0</v>
      </c>
      <c r="L88" s="104">
        <f t="shared" si="22"/>
        <v>0</v>
      </c>
      <c r="M88" s="104">
        <f t="shared" si="22"/>
        <v>0</v>
      </c>
      <c r="N88" s="104">
        <f t="shared" si="22"/>
        <v>0</v>
      </c>
      <c r="O88" s="104">
        <f t="shared" si="22"/>
        <v>0</v>
      </c>
      <c r="P88" s="104">
        <f t="shared" si="22"/>
        <v>0</v>
      </c>
      <c r="T88" s="104">
        <f t="shared" ref="T88:AE88" si="23">COUNTA(T14)</f>
        <v>0</v>
      </c>
      <c r="U88" s="104">
        <f t="shared" si="23"/>
        <v>0</v>
      </c>
      <c r="V88" s="104">
        <f t="shared" si="23"/>
        <v>0</v>
      </c>
      <c r="W88" s="104">
        <f t="shared" si="23"/>
        <v>0</v>
      </c>
      <c r="X88" s="104">
        <f t="shared" si="23"/>
        <v>0</v>
      </c>
      <c r="Y88" s="104">
        <f t="shared" si="23"/>
        <v>0</v>
      </c>
      <c r="Z88" s="104">
        <f t="shared" si="23"/>
        <v>0</v>
      </c>
      <c r="AA88" s="104">
        <f t="shared" si="23"/>
        <v>0</v>
      </c>
      <c r="AB88" s="104">
        <f t="shared" si="23"/>
        <v>0</v>
      </c>
      <c r="AC88" s="104">
        <f t="shared" si="23"/>
        <v>0</v>
      </c>
      <c r="AD88" s="104">
        <f t="shared" si="23"/>
        <v>0</v>
      </c>
      <c r="AE88" s="104">
        <f t="shared" si="23"/>
        <v>0</v>
      </c>
      <c r="AI88" s="104">
        <f t="shared" ref="AI88:AT88" si="24">COUNTA(AI14)</f>
        <v>0</v>
      </c>
      <c r="AJ88" s="104">
        <f t="shared" si="24"/>
        <v>0</v>
      </c>
      <c r="AK88" s="104">
        <f t="shared" si="24"/>
        <v>0</v>
      </c>
      <c r="AL88" s="104">
        <f t="shared" si="24"/>
        <v>0</v>
      </c>
      <c r="AM88" s="104">
        <f t="shared" si="24"/>
        <v>0</v>
      </c>
      <c r="AN88" s="104">
        <f t="shared" si="24"/>
        <v>0</v>
      </c>
      <c r="AO88" s="104">
        <f t="shared" si="24"/>
        <v>0</v>
      </c>
      <c r="AP88" s="104">
        <f t="shared" si="24"/>
        <v>0</v>
      </c>
      <c r="AQ88" s="104">
        <f t="shared" si="24"/>
        <v>0</v>
      </c>
      <c r="AR88" s="104">
        <f t="shared" si="24"/>
        <v>0</v>
      </c>
      <c r="AS88" s="104">
        <f t="shared" si="24"/>
        <v>0</v>
      </c>
      <c r="AT88" s="104">
        <f t="shared" si="24"/>
        <v>0</v>
      </c>
      <c r="AX88" s="104">
        <f t="shared" ref="AX88:BI88" si="25">COUNTA(AX14)</f>
        <v>0</v>
      </c>
      <c r="AY88" s="104">
        <f t="shared" si="25"/>
        <v>0</v>
      </c>
      <c r="AZ88" s="104">
        <f t="shared" si="25"/>
        <v>0</v>
      </c>
      <c r="BA88" s="104">
        <f t="shared" si="25"/>
        <v>0</v>
      </c>
      <c r="BB88" s="104">
        <f t="shared" si="25"/>
        <v>0</v>
      </c>
      <c r="BC88" s="104">
        <f t="shared" si="25"/>
        <v>0</v>
      </c>
      <c r="BD88" s="104">
        <f t="shared" si="25"/>
        <v>0</v>
      </c>
      <c r="BE88" s="104">
        <f t="shared" si="25"/>
        <v>0</v>
      </c>
      <c r="BF88" s="104">
        <f t="shared" si="25"/>
        <v>0</v>
      </c>
      <c r="BG88" s="104">
        <f t="shared" si="25"/>
        <v>0</v>
      </c>
      <c r="BH88" s="104">
        <f t="shared" si="25"/>
        <v>0</v>
      </c>
      <c r="BI88" s="104">
        <f t="shared" si="25"/>
        <v>0</v>
      </c>
      <c r="BM88" s="104">
        <f t="shared" ref="BM88:BX88" si="26">COUNTA(BM14)</f>
        <v>0</v>
      </c>
      <c r="BN88" s="104">
        <f t="shared" si="26"/>
        <v>0</v>
      </c>
      <c r="BO88" s="104">
        <f t="shared" si="26"/>
        <v>0</v>
      </c>
      <c r="BP88" s="104">
        <f t="shared" si="26"/>
        <v>0</v>
      </c>
      <c r="BQ88" s="104">
        <f t="shared" si="26"/>
        <v>0</v>
      </c>
      <c r="BR88" s="104">
        <f t="shared" si="26"/>
        <v>0</v>
      </c>
      <c r="BS88" s="104">
        <f t="shared" si="26"/>
        <v>0</v>
      </c>
      <c r="BT88" s="104">
        <f t="shared" si="26"/>
        <v>0</v>
      </c>
      <c r="BU88" s="104">
        <f t="shared" si="26"/>
        <v>0</v>
      </c>
      <c r="BV88" s="104">
        <f t="shared" si="26"/>
        <v>0</v>
      </c>
      <c r="BW88" s="104">
        <f t="shared" si="26"/>
        <v>0</v>
      </c>
      <c r="BX88" s="104">
        <f t="shared" si="26"/>
        <v>0</v>
      </c>
    </row>
    <row r="89" spans="3:76" s="104" customFormat="1" x14ac:dyDescent="0.4">
      <c r="C89" s="104" t="s">
        <v>275</v>
      </c>
      <c r="E89" s="104">
        <f>COUNTA(E18)</f>
        <v>0</v>
      </c>
      <c r="F89" s="104">
        <f t="shared" ref="F89:P89" si="27">COUNTA(F18)</f>
        <v>0</v>
      </c>
      <c r="G89" s="104">
        <f t="shared" si="27"/>
        <v>0</v>
      </c>
      <c r="H89" s="104">
        <f t="shared" si="27"/>
        <v>0</v>
      </c>
      <c r="I89" s="104">
        <f t="shared" si="27"/>
        <v>0</v>
      </c>
      <c r="J89" s="104">
        <f t="shared" si="27"/>
        <v>0</v>
      </c>
      <c r="K89" s="104">
        <f t="shared" si="27"/>
        <v>0</v>
      </c>
      <c r="L89" s="104">
        <f t="shared" si="27"/>
        <v>0</v>
      </c>
      <c r="M89" s="104">
        <f t="shared" si="27"/>
        <v>0</v>
      </c>
      <c r="N89" s="104">
        <f t="shared" si="27"/>
        <v>0</v>
      </c>
      <c r="O89" s="104">
        <f t="shared" si="27"/>
        <v>0</v>
      </c>
      <c r="P89" s="104">
        <f t="shared" si="27"/>
        <v>0</v>
      </c>
      <c r="T89" s="104">
        <f>COUNTA(T18)</f>
        <v>0</v>
      </c>
      <c r="U89" s="104">
        <f t="shared" ref="U89:AE89" si="28">COUNTA(U18)</f>
        <v>0</v>
      </c>
      <c r="V89" s="104">
        <f t="shared" si="28"/>
        <v>0</v>
      </c>
      <c r="W89" s="104">
        <f t="shared" si="28"/>
        <v>0</v>
      </c>
      <c r="X89" s="104">
        <f t="shared" si="28"/>
        <v>0</v>
      </c>
      <c r="Y89" s="104">
        <f t="shared" si="28"/>
        <v>0</v>
      </c>
      <c r="Z89" s="104">
        <f t="shared" si="28"/>
        <v>0</v>
      </c>
      <c r="AA89" s="104">
        <f t="shared" si="28"/>
        <v>0</v>
      </c>
      <c r="AB89" s="104">
        <f t="shared" si="28"/>
        <v>0</v>
      </c>
      <c r="AC89" s="104">
        <f t="shared" si="28"/>
        <v>0</v>
      </c>
      <c r="AD89" s="104">
        <f t="shared" si="28"/>
        <v>0</v>
      </c>
      <c r="AE89" s="104">
        <f t="shared" si="28"/>
        <v>0</v>
      </c>
      <c r="AI89" s="104">
        <f>COUNTA(AI18)</f>
        <v>0</v>
      </c>
      <c r="AJ89" s="104">
        <f t="shared" ref="AJ89:AT89" si="29">COUNTA(AJ18)</f>
        <v>0</v>
      </c>
      <c r="AK89" s="104">
        <f t="shared" si="29"/>
        <v>0</v>
      </c>
      <c r="AL89" s="104">
        <f t="shared" si="29"/>
        <v>0</v>
      </c>
      <c r="AM89" s="104">
        <f t="shared" si="29"/>
        <v>0</v>
      </c>
      <c r="AN89" s="104">
        <f t="shared" si="29"/>
        <v>0</v>
      </c>
      <c r="AO89" s="104">
        <f t="shared" si="29"/>
        <v>0</v>
      </c>
      <c r="AP89" s="104">
        <f t="shared" si="29"/>
        <v>0</v>
      </c>
      <c r="AQ89" s="104">
        <f t="shared" si="29"/>
        <v>0</v>
      </c>
      <c r="AR89" s="104">
        <f t="shared" si="29"/>
        <v>0</v>
      </c>
      <c r="AS89" s="104">
        <f t="shared" si="29"/>
        <v>0</v>
      </c>
      <c r="AT89" s="104">
        <f t="shared" si="29"/>
        <v>0</v>
      </c>
      <c r="AX89" s="104">
        <f>COUNTA(AX18)</f>
        <v>0</v>
      </c>
      <c r="AY89" s="104">
        <f t="shared" ref="AY89:BI89" si="30">COUNTA(AY18)</f>
        <v>0</v>
      </c>
      <c r="AZ89" s="104">
        <f t="shared" si="30"/>
        <v>0</v>
      </c>
      <c r="BA89" s="104">
        <f t="shared" si="30"/>
        <v>0</v>
      </c>
      <c r="BB89" s="104">
        <f t="shared" si="30"/>
        <v>0</v>
      </c>
      <c r="BC89" s="104">
        <f t="shared" si="30"/>
        <v>0</v>
      </c>
      <c r="BD89" s="104">
        <f t="shared" si="30"/>
        <v>0</v>
      </c>
      <c r="BE89" s="104">
        <f t="shared" si="30"/>
        <v>0</v>
      </c>
      <c r="BF89" s="104">
        <f t="shared" si="30"/>
        <v>0</v>
      </c>
      <c r="BG89" s="104">
        <f t="shared" si="30"/>
        <v>0</v>
      </c>
      <c r="BH89" s="104">
        <f t="shared" si="30"/>
        <v>0</v>
      </c>
      <c r="BI89" s="104">
        <f t="shared" si="30"/>
        <v>0</v>
      </c>
      <c r="BM89" s="104">
        <f>COUNTA(BM18)</f>
        <v>0</v>
      </c>
      <c r="BN89" s="104">
        <f t="shared" ref="BN89:BX89" si="31">COUNTA(BN18)</f>
        <v>0</v>
      </c>
      <c r="BO89" s="104">
        <f t="shared" si="31"/>
        <v>0</v>
      </c>
      <c r="BP89" s="104">
        <f t="shared" si="31"/>
        <v>0</v>
      </c>
      <c r="BQ89" s="104">
        <f t="shared" si="31"/>
        <v>0</v>
      </c>
      <c r="BR89" s="104">
        <f t="shared" si="31"/>
        <v>0</v>
      </c>
      <c r="BS89" s="104">
        <f t="shared" si="31"/>
        <v>0</v>
      </c>
      <c r="BT89" s="104">
        <f t="shared" si="31"/>
        <v>0</v>
      </c>
      <c r="BU89" s="104">
        <f t="shared" si="31"/>
        <v>0</v>
      </c>
      <c r="BV89" s="104">
        <f t="shared" si="31"/>
        <v>0</v>
      </c>
      <c r="BW89" s="104">
        <f t="shared" si="31"/>
        <v>0</v>
      </c>
      <c r="BX89" s="104">
        <f t="shared" si="31"/>
        <v>0</v>
      </c>
    </row>
    <row r="90" spans="3:76" s="104" customFormat="1" x14ac:dyDescent="0.4">
      <c r="C90" s="104" t="s">
        <v>276</v>
      </c>
      <c r="E90" s="104">
        <f>COUNTA(E19)</f>
        <v>0</v>
      </c>
      <c r="F90" s="104">
        <f t="shared" ref="F90:P90" si="32">COUNTA(F19)</f>
        <v>0</v>
      </c>
      <c r="G90" s="104">
        <f t="shared" si="32"/>
        <v>0</v>
      </c>
      <c r="H90" s="104">
        <f t="shared" si="32"/>
        <v>0</v>
      </c>
      <c r="I90" s="104">
        <f t="shared" si="32"/>
        <v>0</v>
      </c>
      <c r="J90" s="104">
        <f t="shared" si="32"/>
        <v>0</v>
      </c>
      <c r="K90" s="104">
        <f t="shared" si="32"/>
        <v>0</v>
      </c>
      <c r="L90" s="104">
        <f t="shared" si="32"/>
        <v>0</v>
      </c>
      <c r="M90" s="104">
        <f t="shared" si="32"/>
        <v>0</v>
      </c>
      <c r="N90" s="104">
        <f t="shared" si="32"/>
        <v>0</v>
      </c>
      <c r="O90" s="104">
        <f t="shared" si="32"/>
        <v>0</v>
      </c>
      <c r="P90" s="104">
        <f t="shared" si="32"/>
        <v>0</v>
      </c>
      <c r="T90" s="104">
        <f>COUNTA(T19)</f>
        <v>0</v>
      </c>
      <c r="U90" s="104">
        <f t="shared" ref="U90:AE90" si="33">COUNTA(U19)</f>
        <v>0</v>
      </c>
      <c r="V90" s="104">
        <f t="shared" si="33"/>
        <v>0</v>
      </c>
      <c r="W90" s="104">
        <f t="shared" si="33"/>
        <v>0</v>
      </c>
      <c r="X90" s="104">
        <f t="shared" si="33"/>
        <v>0</v>
      </c>
      <c r="Y90" s="104">
        <f t="shared" si="33"/>
        <v>0</v>
      </c>
      <c r="Z90" s="104">
        <f t="shared" si="33"/>
        <v>0</v>
      </c>
      <c r="AA90" s="104">
        <f t="shared" si="33"/>
        <v>0</v>
      </c>
      <c r="AB90" s="104">
        <f t="shared" si="33"/>
        <v>0</v>
      </c>
      <c r="AC90" s="104">
        <f t="shared" si="33"/>
        <v>0</v>
      </c>
      <c r="AD90" s="104">
        <f t="shared" si="33"/>
        <v>0</v>
      </c>
      <c r="AE90" s="104">
        <f t="shared" si="33"/>
        <v>0</v>
      </c>
      <c r="AI90" s="104">
        <f>COUNTA(AI19)</f>
        <v>0</v>
      </c>
      <c r="AJ90" s="104">
        <f t="shared" ref="AJ90:AT90" si="34">COUNTA(AJ19)</f>
        <v>0</v>
      </c>
      <c r="AK90" s="104">
        <f t="shared" si="34"/>
        <v>0</v>
      </c>
      <c r="AL90" s="104">
        <f t="shared" si="34"/>
        <v>0</v>
      </c>
      <c r="AM90" s="104">
        <f t="shared" si="34"/>
        <v>0</v>
      </c>
      <c r="AN90" s="104">
        <f t="shared" si="34"/>
        <v>0</v>
      </c>
      <c r="AO90" s="104">
        <f t="shared" si="34"/>
        <v>0</v>
      </c>
      <c r="AP90" s="104">
        <f t="shared" si="34"/>
        <v>0</v>
      </c>
      <c r="AQ90" s="104">
        <f t="shared" si="34"/>
        <v>0</v>
      </c>
      <c r="AR90" s="104">
        <f t="shared" si="34"/>
        <v>0</v>
      </c>
      <c r="AS90" s="104">
        <f t="shared" si="34"/>
        <v>0</v>
      </c>
      <c r="AT90" s="104">
        <f t="shared" si="34"/>
        <v>0</v>
      </c>
      <c r="AX90" s="104">
        <f>COUNTA(AX19)</f>
        <v>0</v>
      </c>
      <c r="AY90" s="104">
        <f t="shared" ref="AY90:BI90" si="35">COUNTA(AY19)</f>
        <v>0</v>
      </c>
      <c r="AZ90" s="104">
        <f t="shared" si="35"/>
        <v>0</v>
      </c>
      <c r="BA90" s="104">
        <f t="shared" si="35"/>
        <v>0</v>
      </c>
      <c r="BB90" s="104">
        <f t="shared" si="35"/>
        <v>0</v>
      </c>
      <c r="BC90" s="104">
        <f t="shared" si="35"/>
        <v>0</v>
      </c>
      <c r="BD90" s="104">
        <f t="shared" si="35"/>
        <v>0</v>
      </c>
      <c r="BE90" s="104">
        <f t="shared" si="35"/>
        <v>0</v>
      </c>
      <c r="BF90" s="104">
        <f t="shared" si="35"/>
        <v>0</v>
      </c>
      <c r="BG90" s="104">
        <f t="shared" si="35"/>
        <v>0</v>
      </c>
      <c r="BH90" s="104">
        <f t="shared" si="35"/>
        <v>0</v>
      </c>
      <c r="BI90" s="104">
        <f t="shared" si="35"/>
        <v>0</v>
      </c>
      <c r="BM90" s="104">
        <f>COUNTA(BM19)</f>
        <v>0</v>
      </c>
      <c r="BN90" s="104">
        <f t="shared" ref="BN90:BX90" si="36">COUNTA(BN19)</f>
        <v>0</v>
      </c>
      <c r="BO90" s="104">
        <f t="shared" si="36"/>
        <v>0</v>
      </c>
      <c r="BP90" s="104">
        <f t="shared" si="36"/>
        <v>0</v>
      </c>
      <c r="BQ90" s="104">
        <f t="shared" si="36"/>
        <v>0</v>
      </c>
      <c r="BR90" s="104">
        <f t="shared" si="36"/>
        <v>0</v>
      </c>
      <c r="BS90" s="104">
        <f t="shared" si="36"/>
        <v>0</v>
      </c>
      <c r="BT90" s="104">
        <f t="shared" si="36"/>
        <v>0</v>
      </c>
      <c r="BU90" s="104">
        <f t="shared" si="36"/>
        <v>0</v>
      </c>
      <c r="BV90" s="104">
        <f t="shared" si="36"/>
        <v>0</v>
      </c>
      <c r="BW90" s="104">
        <f t="shared" si="36"/>
        <v>0</v>
      </c>
      <c r="BX90" s="104">
        <f t="shared" si="36"/>
        <v>0</v>
      </c>
    </row>
    <row r="91" spans="3:76" s="104" customFormat="1" x14ac:dyDescent="0.4">
      <c r="C91" s="104" t="s">
        <v>277</v>
      </c>
      <c r="E91" s="104">
        <f>COUNTA(E23)</f>
        <v>0</v>
      </c>
      <c r="F91" s="104">
        <f t="shared" ref="F91:P91" si="37">COUNTA(F23)</f>
        <v>0</v>
      </c>
      <c r="G91" s="104">
        <f t="shared" si="37"/>
        <v>0</v>
      </c>
      <c r="H91" s="104">
        <f t="shared" si="37"/>
        <v>0</v>
      </c>
      <c r="I91" s="104">
        <f t="shared" si="37"/>
        <v>0</v>
      </c>
      <c r="J91" s="104">
        <f t="shared" si="37"/>
        <v>0</v>
      </c>
      <c r="K91" s="104">
        <f t="shared" si="37"/>
        <v>0</v>
      </c>
      <c r="L91" s="104">
        <f t="shared" si="37"/>
        <v>0</v>
      </c>
      <c r="M91" s="104">
        <f t="shared" si="37"/>
        <v>0</v>
      </c>
      <c r="N91" s="104">
        <f t="shared" si="37"/>
        <v>0</v>
      </c>
      <c r="O91" s="104">
        <f t="shared" si="37"/>
        <v>0</v>
      </c>
      <c r="P91" s="104">
        <f t="shared" si="37"/>
        <v>0</v>
      </c>
      <c r="T91" s="104">
        <f>COUNTA(T23)</f>
        <v>0</v>
      </c>
      <c r="U91" s="104">
        <f t="shared" ref="U91:AE91" si="38">COUNTA(U23)</f>
        <v>0</v>
      </c>
      <c r="V91" s="104">
        <f t="shared" si="38"/>
        <v>0</v>
      </c>
      <c r="W91" s="104">
        <f t="shared" si="38"/>
        <v>0</v>
      </c>
      <c r="X91" s="104">
        <f t="shared" si="38"/>
        <v>0</v>
      </c>
      <c r="Y91" s="104">
        <f t="shared" si="38"/>
        <v>0</v>
      </c>
      <c r="Z91" s="104">
        <f t="shared" si="38"/>
        <v>0</v>
      </c>
      <c r="AA91" s="104">
        <f t="shared" si="38"/>
        <v>0</v>
      </c>
      <c r="AB91" s="104">
        <f t="shared" si="38"/>
        <v>0</v>
      </c>
      <c r="AC91" s="104">
        <f t="shared" si="38"/>
        <v>0</v>
      </c>
      <c r="AD91" s="104">
        <f t="shared" si="38"/>
        <v>0</v>
      </c>
      <c r="AE91" s="104">
        <f t="shared" si="38"/>
        <v>0</v>
      </c>
      <c r="AI91" s="104">
        <f>COUNTA(AI23)</f>
        <v>0</v>
      </c>
      <c r="AJ91" s="104">
        <f t="shared" ref="AJ91:AT91" si="39">COUNTA(AJ23)</f>
        <v>0</v>
      </c>
      <c r="AK91" s="104">
        <f t="shared" si="39"/>
        <v>0</v>
      </c>
      <c r="AL91" s="104">
        <f t="shared" si="39"/>
        <v>0</v>
      </c>
      <c r="AM91" s="104">
        <f t="shared" si="39"/>
        <v>0</v>
      </c>
      <c r="AN91" s="104">
        <f t="shared" si="39"/>
        <v>0</v>
      </c>
      <c r="AO91" s="104">
        <f t="shared" si="39"/>
        <v>0</v>
      </c>
      <c r="AP91" s="104">
        <f t="shared" si="39"/>
        <v>0</v>
      </c>
      <c r="AQ91" s="104">
        <f t="shared" si="39"/>
        <v>0</v>
      </c>
      <c r="AR91" s="104">
        <f t="shared" si="39"/>
        <v>0</v>
      </c>
      <c r="AS91" s="104">
        <f t="shared" si="39"/>
        <v>0</v>
      </c>
      <c r="AT91" s="104">
        <f t="shared" si="39"/>
        <v>0</v>
      </c>
      <c r="AX91" s="104">
        <f>COUNTA(AX23)</f>
        <v>0</v>
      </c>
      <c r="AY91" s="104">
        <f t="shared" ref="AY91:BI91" si="40">COUNTA(AY23)</f>
        <v>0</v>
      </c>
      <c r="AZ91" s="104">
        <f t="shared" si="40"/>
        <v>0</v>
      </c>
      <c r="BA91" s="104">
        <f t="shared" si="40"/>
        <v>0</v>
      </c>
      <c r="BB91" s="104">
        <f t="shared" si="40"/>
        <v>0</v>
      </c>
      <c r="BC91" s="104">
        <f t="shared" si="40"/>
        <v>0</v>
      </c>
      <c r="BD91" s="104">
        <f t="shared" si="40"/>
        <v>0</v>
      </c>
      <c r="BE91" s="104">
        <f t="shared" si="40"/>
        <v>0</v>
      </c>
      <c r="BF91" s="104">
        <f t="shared" si="40"/>
        <v>0</v>
      </c>
      <c r="BG91" s="104">
        <f t="shared" si="40"/>
        <v>0</v>
      </c>
      <c r="BH91" s="104">
        <f t="shared" si="40"/>
        <v>0</v>
      </c>
      <c r="BI91" s="104">
        <f t="shared" si="40"/>
        <v>0</v>
      </c>
      <c r="BM91" s="104">
        <f>COUNTA(BM23)</f>
        <v>0</v>
      </c>
      <c r="BN91" s="104">
        <f t="shared" ref="BN91:BX91" si="41">COUNTA(BN23)</f>
        <v>0</v>
      </c>
      <c r="BO91" s="104">
        <f t="shared" si="41"/>
        <v>0</v>
      </c>
      <c r="BP91" s="104">
        <f t="shared" si="41"/>
        <v>0</v>
      </c>
      <c r="BQ91" s="104">
        <f t="shared" si="41"/>
        <v>0</v>
      </c>
      <c r="BR91" s="104">
        <f t="shared" si="41"/>
        <v>0</v>
      </c>
      <c r="BS91" s="104">
        <f t="shared" si="41"/>
        <v>0</v>
      </c>
      <c r="BT91" s="104">
        <f t="shared" si="41"/>
        <v>0</v>
      </c>
      <c r="BU91" s="104">
        <f t="shared" si="41"/>
        <v>0</v>
      </c>
      <c r="BV91" s="104">
        <f t="shared" si="41"/>
        <v>0</v>
      </c>
      <c r="BW91" s="104">
        <f t="shared" si="41"/>
        <v>0</v>
      </c>
      <c r="BX91" s="104">
        <f t="shared" si="41"/>
        <v>0</v>
      </c>
    </row>
    <row r="92" spans="3:76" s="104" customFormat="1" x14ac:dyDescent="0.4">
      <c r="C92" s="104" t="s">
        <v>278</v>
      </c>
      <c r="E92" s="104">
        <f>COUNTA(E24)</f>
        <v>0</v>
      </c>
      <c r="F92" s="104">
        <f t="shared" ref="F92:P92" si="42">COUNTA(F24)</f>
        <v>0</v>
      </c>
      <c r="G92" s="104">
        <f t="shared" si="42"/>
        <v>0</v>
      </c>
      <c r="H92" s="104">
        <f t="shared" si="42"/>
        <v>0</v>
      </c>
      <c r="I92" s="104">
        <f t="shared" si="42"/>
        <v>0</v>
      </c>
      <c r="J92" s="104">
        <f t="shared" si="42"/>
        <v>0</v>
      </c>
      <c r="K92" s="104">
        <f t="shared" si="42"/>
        <v>0</v>
      </c>
      <c r="L92" s="104">
        <f t="shared" si="42"/>
        <v>0</v>
      </c>
      <c r="M92" s="104">
        <f t="shared" si="42"/>
        <v>0</v>
      </c>
      <c r="N92" s="104">
        <f t="shared" si="42"/>
        <v>0</v>
      </c>
      <c r="O92" s="104">
        <f t="shared" si="42"/>
        <v>0</v>
      </c>
      <c r="P92" s="104">
        <f t="shared" si="42"/>
        <v>0</v>
      </c>
      <c r="T92" s="104">
        <f>COUNTA(T24)</f>
        <v>0</v>
      </c>
      <c r="U92" s="104">
        <f t="shared" ref="U92:AE92" si="43">COUNTA(U24)</f>
        <v>0</v>
      </c>
      <c r="V92" s="104">
        <f t="shared" si="43"/>
        <v>0</v>
      </c>
      <c r="W92" s="104">
        <f t="shared" si="43"/>
        <v>0</v>
      </c>
      <c r="X92" s="104">
        <f t="shared" si="43"/>
        <v>0</v>
      </c>
      <c r="Y92" s="104">
        <f t="shared" si="43"/>
        <v>0</v>
      </c>
      <c r="Z92" s="104">
        <f t="shared" si="43"/>
        <v>0</v>
      </c>
      <c r="AA92" s="104">
        <f t="shared" si="43"/>
        <v>0</v>
      </c>
      <c r="AB92" s="104">
        <f t="shared" si="43"/>
        <v>0</v>
      </c>
      <c r="AC92" s="104">
        <f t="shared" si="43"/>
        <v>0</v>
      </c>
      <c r="AD92" s="104">
        <f t="shared" si="43"/>
        <v>0</v>
      </c>
      <c r="AE92" s="104">
        <f t="shared" si="43"/>
        <v>0</v>
      </c>
      <c r="AI92" s="104">
        <f>COUNTA(AI24)</f>
        <v>0</v>
      </c>
      <c r="AJ92" s="104">
        <f t="shared" ref="AJ92:AT92" si="44">COUNTA(AJ24)</f>
        <v>0</v>
      </c>
      <c r="AK92" s="104">
        <f t="shared" si="44"/>
        <v>0</v>
      </c>
      <c r="AL92" s="104">
        <f t="shared" si="44"/>
        <v>0</v>
      </c>
      <c r="AM92" s="104">
        <f t="shared" si="44"/>
        <v>0</v>
      </c>
      <c r="AN92" s="104">
        <f t="shared" si="44"/>
        <v>0</v>
      </c>
      <c r="AO92" s="104">
        <f t="shared" si="44"/>
        <v>0</v>
      </c>
      <c r="AP92" s="104">
        <f t="shared" si="44"/>
        <v>0</v>
      </c>
      <c r="AQ92" s="104">
        <f t="shared" si="44"/>
        <v>0</v>
      </c>
      <c r="AR92" s="104">
        <f t="shared" si="44"/>
        <v>0</v>
      </c>
      <c r="AS92" s="104">
        <f t="shared" si="44"/>
        <v>0</v>
      </c>
      <c r="AT92" s="104">
        <f t="shared" si="44"/>
        <v>0</v>
      </c>
      <c r="AX92" s="104">
        <f>COUNTA(AX24)</f>
        <v>0</v>
      </c>
      <c r="AY92" s="104">
        <f t="shared" ref="AY92:BI92" si="45">COUNTA(AY24)</f>
        <v>0</v>
      </c>
      <c r="AZ92" s="104">
        <f t="shared" si="45"/>
        <v>0</v>
      </c>
      <c r="BA92" s="104">
        <f t="shared" si="45"/>
        <v>0</v>
      </c>
      <c r="BB92" s="104">
        <f t="shared" si="45"/>
        <v>0</v>
      </c>
      <c r="BC92" s="104">
        <f t="shared" si="45"/>
        <v>0</v>
      </c>
      <c r="BD92" s="104">
        <f t="shared" si="45"/>
        <v>0</v>
      </c>
      <c r="BE92" s="104">
        <f t="shared" si="45"/>
        <v>0</v>
      </c>
      <c r="BF92" s="104">
        <f t="shared" si="45"/>
        <v>0</v>
      </c>
      <c r="BG92" s="104">
        <f t="shared" si="45"/>
        <v>0</v>
      </c>
      <c r="BH92" s="104">
        <f t="shared" si="45"/>
        <v>0</v>
      </c>
      <c r="BI92" s="104">
        <f t="shared" si="45"/>
        <v>0</v>
      </c>
      <c r="BM92" s="104">
        <f>COUNTA(BM24)</f>
        <v>0</v>
      </c>
      <c r="BN92" s="104">
        <f t="shared" ref="BN92:BX92" si="46">COUNTA(BN24)</f>
        <v>0</v>
      </c>
      <c r="BO92" s="104">
        <f t="shared" si="46"/>
        <v>0</v>
      </c>
      <c r="BP92" s="104">
        <f t="shared" si="46"/>
        <v>0</v>
      </c>
      <c r="BQ92" s="104">
        <f t="shared" si="46"/>
        <v>0</v>
      </c>
      <c r="BR92" s="104">
        <f t="shared" si="46"/>
        <v>0</v>
      </c>
      <c r="BS92" s="104">
        <f t="shared" si="46"/>
        <v>0</v>
      </c>
      <c r="BT92" s="104">
        <f t="shared" si="46"/>
        <v>0</v>
      </c>
      <c r="BU92" s="104">
        <f t="shared" si="46"/>
        <v>0</v>
      </c>
      <c r="BV92" s="104">
        <f t="shared" si="46"/>
        <v>0</v>
      </c>
      <c r="BW92" s="104">
        <f t="shared" si="46"/>
        <v>0</v>
      </c>
      <c r="BX92" s="104">
        <f t="shared" si="46"/>
        <v>0</v>
      </c>
    </row>
    <row r="93" spans="3:76" s="104" customFormat="1" x14ac:dyDescent="0.4">
      <c r="C93" s="104" t="s">
        <v>279</v>
      </c>
      <c r="E93" s="104">
        <f>COUNTA(E28)</f>
        <v>0</v>
      </c>
      <c r="F93" s="104">
        <f t="shared" ref="F93:P93" si="47">COUNTA(F28)</f>
        <v>0</v>
      </c>
      <c r="G93" s="104">
        <f t="shared" si="47"/>
        <v>0</v>
      </c>
      <c r="H93" s="104">
        <f t="shared" si="47"/>
        <v>0</v>
      </c>
      <c r="I93" s="104">
        <f t="shared" si="47"/>
        <v>0</v>
      </c>
      <c r="J93" s="104">
        <f t="shared" si="47"/>
        <v>0</v>
      </c>
      <c r="K93" s="104">
        <f t="shared" si="47"/>
        <v>0</v>
      </c>
      <c r="L93" s="104">
        <f t="shared" si="47"/>
        <v>0</v>
      </c>
      <c r="M93" s="104">
        <f t="shared" si="47"/>
        <v>0</v>
      </c>
      <c r="N93" s="104">
        <f t="shared" si="47"/>
        <v>0</v>
      </c>
      <c r="O93" s="104">
        <f t="shared" si="47"/>
        <v>0</v>
      </c>
      <c r="P93" s="104">
        <f t="shared" si="47"/>
        <v>0</v>
      </c>
      <c r="T93" s="104">
        <f>COUNTA(T28)</f>
        <v>0</v>
      </c>
      <c r="U93" s="104">
        <f t="shared" ref="U93:AE93" si="48">COUNTA(U28)</f>
        <v>0</v>
      </c>
      <c r="V93" s="104">
        <f t="shared" si="48"/>
        <v>0</v>
      </c>
      <c r="W93" s="104">
        <f t="shared" si="48"/>
        <v>0</v>
      </c>
      <c r="X93" s="104">
        <f t="shared" si="48"/>
        <v>0</v>
      </c>
      <c r="Y93" s="104">
        <f t="shared" si="48"/>
        <v>0</v>
      </c>
      <c r="Z93" s="104">
        <f t="shared" si="48"/>
        <v>0</v>
      </c>
      <c r="AA93" s="104">
        <f t="shared" si="48"/>
        <v>0</v>
      </c>
      <c r="AB93" s="104">
        <f t="shared" si="48"/>
        <v>0</v>
      </c>
      <c r="AC93" s="104">
        <f t="shared" si="48"/>
        <v>0</v>
      </c>
      <c r="AD93" s="104">
        <f t="shared" si="48"/>
        <v>0</v>
      </c>
      <c r="AE93" s="104">
        <f t="shared" si="48"/>
        <v>0</v>
      </c>
      <c r="AI93" s="104">
        <f>COUNTA(AI28)</f>
        <v>0</v>
      </c>
      <c r="AJ93" s="104">
        <f t="shared" ref="AJ93:AT93" si="49">COUNTA(AJ28)</f>
        <v>0</v>
      </c>
      <c r="AK93" s="104">
        <f t="shared" si="49"/>
        <v>0</v>
      </c>
      <c r="AL93" s="104">
        <f t="shared" si="49"/>
        <v>0</v>
      </c>
      <c r="AM93" s="104">
        <f t="shared" si="49"/>
        <v>0</v>
      </c>
      <c r="AN93" s="104">
        <f t="shared" si="49"/>
        <v>0</v>
      </c>
      <c r="AO93" s="104">
        <f t="shared" si="49"/>
        <v>0</v>
      </c>
      <c r="AP93" s="104">
        <f t="shared" si="49"/>
        <v>0</v>
      </c>
      <c r="AQ93" s="104">
        <f t="shared" si="49"/>
        <v>0</v>
      </c>
      <c r="AR93" s="104">
        <f t="shared" si="49"/>
        <v>0</v>
      </c>
      <c r="AS93" s="104">
        <f t="shared" si="49"/>
        <v>0</v>
      </c>
      <c r="AT93" s="104">
        <f t="shared" si="49"/>
        <v>0</v>
      </c>
      <c r="AX93" s="104">
        <f>COUNTA(AX28)</f>
        <v>0</v>
      </c>
      <c r="AY93" s="104">
        <f t="shared" ref="AY93:BI93" si="50">COUNTA(AY28)</f>
        <v>0</v>
      </c>
      <c r="AZ93" s="104">
        <f t="shared" si="50"/>
        <v>0</v>
      </c>
      <c r="BA93" s="104">
        <f t="shared" si="50"/>
        <v>0</v>
      </c>
      <c r="BB93" s="104">
        <f t="shared" si="50"/>
        <v>0</v>
      </c>
      <c r="BC93" s="104">
        <f t="shared" si="50"/>
        <v>0</v>
      </c>
      <c r="BD93" s="104">
        <f t="shared" si="50"/>
        <v>0</v>
      </c>
      <c r="BE93" s="104">
        <f t="shared" si="50"/>
        <v>0</v>
      </c>
      <c r="BF93" s="104">
        <f t="shared" si="50"/>
        <v>0</v>
      </c>
      <c r="BG93" s="104">
        <f t="shared" si="50"/>
        <v>0</v>
      </c>
      <c r="BH93" s="104">
        <f t="shared" si="50"/>
        <v>0</v>
      </c>
      <c r="BI93" s="104">
        <f t="shared" si="50"/>
        <v>0</v>
      </c>
      <c r="BM93" s="104">
        <f>COUNTA(BM28)</f>
        <v>0</v>
      </c>
      <c r="BN93" s="104">
        <f t="shared" ref="BN93:BX93" si="51">COUNTA(BN28)</f>
        <v>0</v>
      </c>
      <c r="BO93" s="104">
        <f t="shared" si="51"/>
        <v>0</v>
      </c>
      <c r="BP93" s="104">
        <f t="shared" si="51"/>
        <v>0</v>
      </c>
      <c r="BQ93" s="104">
        <f t="shared" si="51"/>
        <v>0</v>
      </c>
      <c r="BR93" s="104">
        <f t="shared" si="51"/>
        <v>0</v>
      </c>
      <c r="BS93" s="104">
        <f t="shared" si="51"/>
        <v>0</v>
      </c>
      <c r="BT93" s="104">
        <f t="shared" si="51"/>
        <v>0</v>
      </c>
      <c r="BU93" s="104">
        <f t="shared" si="51"/>
        <v>0</v>
      </c>
      <c r="BV93" s="104">
        <f t="shared" si="51"/>
        <v>0</v>
      </c>
      <c r="BW93" s="104">
        <f t="shared" si="51"/>
        <v>0</v>
      </c>
      <c r="BX93" s="104">
        <f t="shared" si="51"/>
        <v>0</v>
      </c>
    </row>
    <row r="94" spans="3:76" s="104" customFormat="1" x14ac:dyDescent="0.4">
      <c r="C94" s="104" t="s">
        <v>280</v>
      </c>
      <c r="E94" s="104">
        <f>COUNTA(E29)</f>
        <v>0</v>
      </c>
      <c r="F94" s="104">
        <f t="shared" ref="F94:P94" si="52">COUNTA(F29)</f>
        <v>0</v>
      </c>
      <c r="G94" s="104">
        <f t="shared" si="52"/>
        <v>0</v>
      </c>
      <c r="H94" s="104">
        <f t="shared" si="52"/>
        <v>0</v>
      </c>
      <c r="I94" s="104">
        <f t="shared" si="52"/>
        <v>0</v>
      </c>
      <c r="J94" s="104">
        <f t="shared" si="52"/>
        <v>0</v>
      </c>
      <c r="K94" s="104">
        <f t="shared" si="52"/>
        <v>0</v>
      </c>
      <c r="L94" s="104">
        <f t="shared" si="52"/>
        <v>0</v>
      </c>
      <c r="M94" s="104">
        <f t="shared" si="52"/>
        <v>0</v>
      </c>
      <c r="N94" s="104">
        <f t="shared" si="52"/>
        <v>0</v>
      </c>
      <c r="O94" s="104">
        <f t="shared" si="52"/>
        <v>0</v>
      </c>
      <c r="P94" s="104">
        <f t="shared" si="52"/>
        <v>0</v>
      </c>
      <c r="T94" s="104">
        <f>COUNTA(T29)</f>
        <v>0</v>
      </c>
      <c r="U94" s="104">
        <f t="shared" ref="U94:AE94" si="53">COUNTA(U29)</f>
        <v>0</v>
      </c>
      <c r="V94" s="104">
        <f t="shared" si="53"/>
        <v>0</v>
      </c>
      <c r="W94" s="104">
        <f t="shared" si="53"/>
        <v>0</v>
      </c>
      <c r="X94" s="104">
        <f t="shared" si="53"/>
        <v>0</v>
      </c>
      <c r="Y94" s="104">
        <f t="shared" si="53"/>
        <v>0</v>
      </c>
      <c r="Z94" s="104">
        <f t="shared" si="53"/>
        <v>0</v>
      </c>
      <c r="AA94" s="104">
        <f t="shared" si="53"/>
        <v>0</v>
      </c>
      <c r="AB94" s="104">
        <f t="shared" si="53"/>
        <v>0</v>
      </c>
      <c r="AC94" s="104">
        <f t="shared" si="53"/>
        <v>0</v>
      </c>
      <c r="AD94" s="104">
        <f t="shared" si="53"/>
        <v>0</v>
      </c>
      <c r="AE94" s="104">
        <f t="shared" si="53"/>
        <v>0</v>
      </c>
      <c r="AI94" s="104">
        <f>COUNTA(AI29)</f>
        <v>0</v>
      </c>
      <c r="AJ94" s="104">
        <f t="shared" ref="AJ94:AT94" si="54">COUNTA(AJ29)</f>
        <v>0</v>
      </c>
      <c r="AK94" s="104">
        <f t="shared" si="54"/>
        <v>0</v>
      </c>
      <c r="AL94" s="104">
        <f t="shared" si="54"/>
        <v>0</v>
      </c>
      <c r="AM94" s="104">
        <f t="shared" si="54"/>
        <v>0</v>
      </c>
      <c r="AN94" s="104">
        <f t="shared" si="54"/>
        <v>0</v>
      </c>
      <c r="AO94" s="104">
        <f t="shared" si="54"/>
        <v>0</v>
      </c>
      <c r="AP94" s="104">
        <f t="shared" si="54"/>
        <v>0</v>
      </c>
      <c r="AQ94" s="104">
        <f t="shared" si="54"/>
        <v>0</v>
      </c>
      <c r="AR94" s="104">
        <f t="shared" si="54"/>
        <v>0</v>
      </c>
      <c r="AS94" s="104">
        <f t="shared" si="54"/>
        <v>0</v>
      </c>
      <c r="AT94" s="104">
        <f t="shared" si="54"/>
        <v>0</v>
      </c>
      <c r="AX94" s="104">
        <f>COUNTA(AX29)</f>
        <v>0</v>
      </c>
      <c r="AY94" s="104">
        <f t="shared" ref="AY94:BI94" si="55">COUNTA(AY29)</f>
        <v>0</v>
      </c>
      <c r="AZ94" s="104">
        <f t="shared" si="55"/>
        <v>0</v>
      </c>
      <c r="BA94" s="104">
        <f t="shared" si="55"/>
        <v>0</v>
      </c>
      <c r="BB94" s="104">
        <f t="shared" si="55"/>
        <v>0</v>
      </c>
      <c r="BC94" s="104">
        <f t="shared" si="55"/>
        <v>0</v>
      </c>
      <c r="BD94" s="104">
        <f t="shared" si="55"/>
        <v>0</v>
      </c>
      <c r="BE94" s="104">
        <f t="shared" si="55"/>
        <v>0</v>
      </c>
      <c r="BF94" s="104">
        <f t="shared" si="55"/>
        <v>0</v>
      </c>
      <c r="BG94" s="104">
        <f t="shared" si="55"/>
        <v>0</v>
      </c>
      <c r="BH94" s="104">
        <f t="shared" si="55"/>
        <v>0</v>
      </c>
      <c r="BI94" s="104">
        <f t="shared" si="55"/>
        <v>0</v>
      </c>
      <c r="BM94" s="104">
        <f>COUNTA(BM29)</f>
        <v>0</v>
      </c>
      <c r="BN94" s="104">
        <f t="shared" ref="BN94:BX94" si="56">COUNTA(BN29)</f>
        <v>0</v>
      </c>
      <c r="BO94" s="104">
        <f t="shared" si="56"/>
        <v>0</v>
      </c>
      <c r="BP94" s="104">
        <f t="shared" si="56"/>
        <v>0</v>
      </c>
      <c r="BQ94" s="104">
        <f t="shared" si="56"/>
        <v>0</v>
      </c>
      <c r="BR94" s="104">
        <f t="shared" si="56"/>
        <v>0</v>
      </c>
      <c r="BS94" s="104">
        <f t="shared" si="56"/>
        <v>0</v>
      </c>
      <c r="BT94" s="104">
        <f t="shared" si="56"/>
        <v>0</v>
      </c>
      <c r="BU94" s="104">
        <f t="shared" si="56"/>
        <v>0</v>
      </c>
      <c r="BV94" s="104">
        <f t="shared" si="56"/>
        <v>0</v>
      </c>
      <c r="BW94" s="104">
        <f t="shared" si="56"/>
        <v>0</v>
      </c>
      <c r="BX94" s="104">
        <f t="shared" si="56"/>
        <v>0</v>
      </c>
    </row>
    <row r="95" spans="3:76" s="104" customFormat="1" x14ac:dyDescent="0.4">
      <c r="C95" s="104" t="s">
        <v>281</v>
      </c>
      <c r="E95" s="104">
        <f>COUNTA(E33)</f>
        <v>0</v>
      </c>
      <c r="F95" s="104">
        <f t="shared" ref="F95:P95" si="57">COUNTA(F33)</f>
        <v>0</v>
      </c>
      <c r="G95" s="104">
        <f t="shared" si="57"/>
        <v>0</v>
      </c>
      <c r="H95" s="104">
        <f t="shared" si="57"/>
        <v>0</v>
      </c>
      <c r="I95" s="104">
        <f t="shared" si="57"/>
        <v>0</v>
      </c>
      <c r="J95" s="104">
        <f t="shared" si="57"/>
        <v>0</v>
      </c>
      <c r="K95" s="104">
        <f t="shared" si="57"/>
        <v>0</v>
      </c>
      <c r="L95" s="104">
        <f t="shared" si="57"/>
        <v>0</v>
      </c>
      <c r="M95" s="104">
        <f t="shared" si="57"/>
        <v>0</v>
      </c>
      <c r="N95" s="104">
        <f t="shared" si="57"/>
        <v>0</v>
      </c>
      <c r="O95" s="104">
        <f t="shared" si="57"/>
        <v>0</v>
      </c>
      <c r="P95" s="104">
        <f t="shared" si="57"/>
        <v>0</v>
      </c>
      <c r="T95" s="104">
        <f>COUNTA(T33)</f>
        <v>0</v>
      </c>
      <c r="U95" s="104">
        <f t="shared" ref="U95:AE95" si="58">COUNTA(U33)</f>
        <v>0</v>
      </c>
      <c r="V95" s="104">
        <f t="shared" si="58"/>
        <v>0</v>
      </c>
      <c r="W95" s="104">
        <f t="shared" si="58"/>
        <v>0</v>
      </c>
      <c r="X95" s="104">
        <f t="shared" si="58"/>
        <v>0</v>
      </c>
      <c r="Y95" s="104">
        <f t="shared" si="58"/>
        <v>0</v>
      </c>
      <c r="Z95" s="104">
        <f t="shared" si="58"/>
        <v>0</v>
      </c>
      <c r="AA95" s="104">
        <f t="shared" si="58"/>
        <v>0</v>
      </c>
      <c r="AB95" s="104">
        <f t="shared" si="58"/>
        <v>0</v>
      </c>
      <c r="AC95" s="104">
        <f t="shared" si="58"/>
        <v>0</v>
      </c>
      <c r="AD95" s="104">
        <f t="shared" si="58"/>
        <v>0</v>
      </c>
      <c r="AE95" s="104">
        <f t="shared" si="58"/>
        <v>0</v>
      </c>
      <c r="AI95" s="104">
        <f>COUNTA(AI33)</f>
        <v>0</v>
      </c>
      <c r="AJ95" s="104">
        <f t="shared" ref="AJ95:AT95" si="59">COUNTA(AJ33)</f>
        <v>0</v>
      </c>
      <c r="AK95" s="104">
        <f t="shared" si="59"/>
        <v>0</v>
      </c>
      <c r="AL95" s="104">
        <f t="shared" si="59"/>
        <v>0</v>
      </c>
      <c r="AM95" s="104">
        <f t="shared" si="59"/>
        <v>0</v>
      </c>
      <c r="AN95" s="104">
        <f t="shared" si="59"/>
        <v>0</v>
      </c>
      <c r="AO95" s="104">
        <f t="shared" si="59"/>
        <v>0</v>
      </c>
      <c r="AP95" s="104">
        <f t="shared" si="59"/>
        <v>0</v>
      </c>
      <c r="AQ95" s="104">
        <f t="shared" si="59"/>
        <v>0</v>
      </c>
      <c r="AR95" s="104">
        <f t="shared" si="59"/>
        <v>0</v>
      </c>
      <c r="AS95" s="104">
        <f t="shared" si="59"/>
        <v>0</v>
      </c>
      <c r="AT95" s="104">
        <f t="shared" si="59"/>
        <v>0</v>
      </c>
      <c r="AX95" s="104">
        <f>COUNTA(AX33)</f>
        <v>0</v>
      </c>
      <c r="AY95" s="104">
        <f t="shared" ref="AY95:BI95" si="60">COUNTA(AY33)</f>
        <v>0</v>
      </c>
      <c r="AZ95" s="104">
        <f t="shared" si="60"/>
        <v>0</v>
      </c>
      <c r="BA95" s="104">
        <f t="shared" si="60"/>
        <v>0</v>
      </c>
      <c r="BB95" s="104">
        <f t="shared" si="60"/>
        <v>0</v>
      </c>
      <c r="BC95" s="104">
        <f t="shared" si="60"/>
        <v>0</v>
      </c>
      <c r="BD95" s="104">
        <f t="shared" si="60"/>
        <v>0</v>
      </c>
      <c r="BE95" s="104">
        <f t="shared" si="60"/>
        <v>0</v>
      </c>
      <c r="BF95" s="104">
        <f t="shared" si="60"/>
        <v>0</v>
      </c>
      <c r="BG95" s="104">
        <f t="shared" si="60"/>
        <v>0</v>
      </c>
      <c r="BH95" s="104">
        <f t="shared" si="60"/>
        <v>0</v>
      </c>
      <c r="BI95" s="104">
        <f t="shared" si="60"/>
        <v>0</v>
      </c>
      <c r="BM95" s="104">
        <f>COUNTA(BM33)</f>
        <v>0</v>
      </c>
      <c r="BN95" s="104">
        <f t="shared" ref="BN95:BX95" si="61">COUNTA(BN33)</f>
        <v>0</v>
      </c>
      <c r="BO95" s="104">
        <f t="shared" si="61"/>
        <v>0</v>
      </c>
      <c r="BP95" s="104">
        <f t="shared" si="61"/>
        <v>0</v>
      </c>
      <c r="BQ95" s="104">
        <f t="shared" si="61"/>
        <v>0</v>
      </c>
      <c r="BR95" s="104">
        <f t="shared" si="61"/>
        <v>0</v>
      </c>
      <c r="BS95" s="104">
        <f t="shared" si="61"/>
        <v>0</v>
      </c>
      <c r="BT95" s="104">
        <f t="shared" si="61"/>
        <v>0</v>
      </c>
      <c r="BU95" s="104">
        <f t="shared" si="61"/>
        <v>0</v>
      </c>
      <c r="BV95" s="104">
        <f t="shared" si="61"/>
        <v>0</v>
      </c>
      <c r="BW95" s="104">
        <f t="shared" si="61"/>
        <v>0</v>
      </c>
      <c r="BX95" s="104">
        <f t="shared" si="61"/>
        <v>0</v>
      </c>
    </row>
    <row r="96" spans="3:76" s="104" customFormat="1" x14ac:dyDescent="0.4">
      <c r="C96" s="104" t="s">
        <v>282</v>
      </c>
      <c r="E96" s="104">
        <f>COUNTA(E34)</f>
        <v>0</v>
      </c>
      <c r="F96" s="104">
        <f t="shared" ref="F96:P96" si="62">COUNTA(F34)</f>
        <v>0</v>
      </c>
      <c r="G96" s="104">
        <f t="shared" si="62"/>
        <v>0</v>
      </c>
      <c r="H96" s="104">
        <f t="shared" si="62"/>
        <v>0</v>
      </c>
      <c r="I96" s="104">
        <f t="shared" si="62"/>
        <v>0</v>
      </c>
      <c r="J96" s="104">
        <f t="shared" si="62"/>
        <v>0</v>
      </c>
      <c r="K96" s="104">
        <f t="shared" si="62"/>
        <v>0</v>
      </c>
      <c r="L96" s="104">
        <f t="shared" si="62"/>
        <v>0</v>
      </c>
      <c r="M96" s="104">
        <f t="shared" si="62"/>
        <v>0</v>
      </c>
      <c r="N96" s="104">
        <f t="shared" si="62"/>
        <v>0</v>
      </c>
      <c r="O96" s="104">
        <f t="shared" si="62"/>
        <v>0</v>
      </c>
      <c r="P96" s="104">
        <f t="shared" si="62"/>
        <v>0</v>
      </c>
      <c r="T96" s="104">
        <f>COUNTA(T34)</f>
        <v>0</v>
      </c>
      <c r="U96" s="104">
        <f t="shared" ref="U96:AE96" si="63">COUNTA(U34)</f>
        <v>0</v>
      </c>
      <c r="V96" s="104">
        <f t="shared" si="63"/>
        <v>0</v>
      </c>
      <c r="W96" s="104">
        <f t="shared" si="63"/>
        <v>0</v>
      </c>
      <c r="X96" s="104">
        <f t="shared" si="63"/>
        <v>0</v>
      </c>
      <c r="Y96" s="104">
        <f t="shared" si="63"/>
        <v>0</v>
      </c>
      <c r="Z96" s="104">
        <f t="shared" si="63"/>
        <v>0</v>
      </c>
      <c r="AA96" s="104">
        <f t="shared" si="63"/>
        <v>0</v>
      </c>
      <c r="AB96" s="104">
        <f t="shared" si="63"/>
        <v>0</v>
      </c>
      <c r="AC96" s="104">
        <f t="shared" si="63"/>
        <v>0</v>
      </c>
      <c r="AD96" s="104">
        <f t="shared" si="63"/>
        <v>0</v>
      </c>
      <c r="AE96" s="104">
        <f t="shared" si="63"/>
        <v>0</v>
      </c>
      <c r="AI96" s="104">
        <f>COUNTA(AI34)</f>
        <v>0</v>
      </c>
      <c r="AJ96" s="104">
        <f t="shared" ref="AJ96:AT96" si="64">COUNTA(AJ34)</f>
        <v>0</v>
      </c>
      <c r="AK96" s="104">
        <f t="shared" si="64"/>
        <v>0</v>
      </c>
      <c r="AL96" s="104">
        <f t="shared" si="64"/>
        <v>0</v>
      </c>
      <c r="AM96" s="104">
        <f t="shared" si="64"/>
        <v>0</v>
      </c>
      <c r="AN96" s="104">
        <f t="shared" si="64"/>
        <v>0</v>
      </c>
      <c r="AO96" s="104">
        <f t="shared" si="64"/>
        <v>0</v>
      </c>
      <c r="AP96" s="104">
        <f t="shared" si="64"/>
        <v>0</v>
      </c>
      <c r="AQ96" s="104">
        <f t="shared" si="64"/>
        <v>0</v>
      </c>
      <c r="AR96" s="104">
        <f t="shared" si="64"/>
        <v>0</v>
      </c>
      <c r="AS96" s="104">
        <f t="shared" si="64"/>
        <v>0</v>
      </c>
      <c r="AT96" s="104">
        <f t="shared" si="64"/>
        <v>0</v>
      </c>
      <c r="AX96" s="104">
        <f>COUNTA(AX34)</f>
        <v>0</v>
      </c>
      <c r="AY96" s="104">
        <f t="shared" ref="AY96:BI96" si="65">COUNTA(AY34)</f>
        <v>0</v>
      </c>
      <c r="AZ96" s="104">
        <f t="shared" si="65"/>
        <v>0</v>
      </c>
      <c r="BA96" s="104">
        <f t="shared" si="65"/>
        <v>0</v>
      </c>
      <c r="BB96" s="104">
        <f t="shared" si="65"/>
        <v>0</v>
      </c>
      <c r="BC96" s="104">
        <f t="shared" si="65"/>
        <v>0</v>
      </c>
      <c r="BD96" s="104">
        <f t="shared" si="65"/>
        <v>0</v>
      </c>
      <c r="BE96" s="104">
        <f t="shared" si="65"/>
        <v>0</v>
      </c>
      <c r="BF96" s="104">
        <f t="shared" si="65"/>
        <v>0</v>
      </c>
      <c r="BG96" s="104">
        <f t="shared" si="65"/>
        <v>0</v>
      </c>
      <c r="BH96" s="104">
        <f t="shared" si="65"/>
        <v>0</v>
      </c>
      <c r="BI96" s="104">
        <f t="shared" si="65"/>
        <v>0</v>
      </c>
      <c r="BM96" s="104">
        <f>COUNTA(BM34)</f>
        <v>0</v>
      </c>
      <c r="BN96" s="104">
        <f t="shared" ref="BN96:BX96" si="66">COUNTA(BN34)</f>
        <v>0</v>
      </c>
      <c r="BO96" s="104">
        <f t="shared" si="66"/>
        <v>0</v>
      </c>
      <c r="BP96" s="104">
        <f t="shared" si="66"/>
        <v>0</v>
      </c>
      <c r="BQ96" s="104">
        <f t="shared" si="66"/>
        <v>0</v>
      </c>
      <c r="BR96" s="104">
        <f t="shared" si="66"/>
        <v>0</v>
      </c>
      <c r="BS96" s="104">
        <f t="shared" si="66"/>
        <v>0</v>
      </c>
      <c r="BT96" s="104">
        <f t="shared" si="66"/>
        <v>0</v>
      </c>
      <c r="BU96" s="104">
        <f t="shared" si="66"/>
        <v>0</v>
      </c>
      <c r="BV96" s="104">
        <f t="shared" si="66"/>
        <v>0</v>
      </c>
      <c r="BW96" s="104">
        <f t="shared" si="66"/>
        <v>0</v>
      </c>
      <c r="BX96" s="104">
        <f t="shared" si="66"/>
        <v>0</v>
      </c>
    </row>
    <row r="97" spans="3:76" s="104" customFormat="1" x14ac:dyDescent="0.4">
      <c r="C97" s="104" t="s">
        <v>283</v>
      </c>
      <c r="E97" s="104">
        <f>COUNTA(E38)</f>
        <v>0</v>
      </c>
      <c r="F97" s="104">
        <f t="shared" ref="F97:P97" si="67">COUNTA(F38)</f>
        <v>0</v>
      </c>
      <c r="G97" s="104">
        <f t="shared" si="67"/>
        <v>0</v>
      </c>
      <c r="H97" s="104">
        <f t="shared" si="67"/>
        <v>0</v>
      </c>
      <c r="I97" s="104">
        <f t="shared" si="67"/>
        <v>0</v>
      </c>
      <c r="J97" s="104">
        <f t="shared" si="67"/>
        <v>0</v>
      </c>
      <c r="K97" s="104">
        <f t="shared" si="67"/>
        <v>0</v>
      </c>
      <c r="L97" s="104">
        <f t="shared" si="67"/>
        <v>0</v>
      </c>
      <c r="M97" s="104">
        <f t="shared" si="67"/>
        <v>0</v>
      </c>
      <c r="N97" s="104">
        <f t="shared" si="67"/>
        <v>0</v>
      </c>
      <c r="O97" s="104">
        <f t="shared" si="67"/>
        <v>0</v>
      </c>
      <c r="P97" s="104">
        <f t="shared" si="67"/>
        <v>0</v>
      </c>
      <c r="T97" s="104">
        <f>COUNTA(T38)</f>
        <v>0</v>
      </c>
      <c r="U97" s="104">
        <f t="shared" ref="U97:AE97" si="68">COUNTA(U38)</f>
        <v>0</v>
      </c>
      <c r="V97" s="104">
        <f t="shared" si="68"/>
        <v>0</v>
      </c>
      <c r="W97" s="104">
        <f t="shared" si="68"/>
        <v>0</v>
      </c>
      <c r="X97" s="104">
        <f t="shared" si="68"/>
        <v>0</v>
      </c>
      <c r="Y97" s="104">
        <f t="shared" si="68"/>
        <v>0</v>
      </c>
      <c r="Z97" s="104">
        <f t="shared" si="68"/>
        <v>0</v>
      </c>
      <c r="AA97" s="104">
        <f t="shared" si="68"/>
        <v>0</v>
      </c>
      <c r="AB97" s="104">
        <f t="shared" si="68"/>
        <v>0</v>
      </c>
      <c r="AC97" s="104">
        <f t="shared" si="68"/>
        <v>0</v>
      </c>
      <c r="AD97" s="104">
        <f t="shared" si="68"/>
        <v>0</v>
      </c>
      <c r="AE97" s="104">
        <f t="shared" si="68"/>
        <v>0</v>
      </c>
      <c r="AI97" s="104">
        <f>COUNTA(AI38)</f>
        <v>0</v>
      </c>
      <c r="AJ97" s="104">
        <f t="shared" ref="AJ97:AT97" si="69">COUNTA(AJ38)</f>
        <v>0</v>
      </c>
      <c r="AK97" s="104">
        <f t="shared" si="69"/>
        <v>0</v>
      </c>
      <c r="AL97" s="104">
        <f t="shared" si="69"/>
        <v>0</v>
      </c>
      <c r="AM97" s="104">
        <f t="shared" si="69"/>
        <v>0</v>
      </c>
      <c r="AN97" s="104">
        <f t="shared" si="69"/>
        <v>0</v>
      </c>
      <c r="AO97" s="104">
        <f t="shared" si="69"/>
        <v>0</v>
      </c>
      <c r="AP97" s="104">
        <f t="shared" si="69"/>
        <v>0</v>
      </c>
      <c r="AQ97" s="104">
        <f t="shared" si="69"/>
        <v>0</v>
      </c>
      <c r="AR97" s="104">
        <f t="shared" si="69"/>
        <v>0</v>
      </c>
      <c r="AS97" s="104">
        <f t="shared" si="69"/>
        <v>0</v>
      </c>
      <c r="AT97" s="104">
        <f t="shared" si="69"/>
        <v>0</v>
      </c>
      <c r="AX97" s="104">
        <f>COUNTA(AX38)</f>
        <v>0</v>
      </c>
      <c r="AY97" s="104">
        <f t="shared" ref="AY97:BI97" si="70">COUNTA(AY38)</f>
        <v>0</v>
      </c>
      <c r="AZ97" s="104">
        <f t="shared" si="70"/>
        <v>0</v>
      </c>
      <c r="BA97" s="104">
        <f t="shared" si="70"/>
        <v>0</v>
      </c>
      <c r="BB97" s="104">
        <f t="shared" si="70"/>
        <v>0</v>
      </c>
      <c r="BC97" s="104">
        <f t="shared" si="70"/>
        <v>0</v>
      </c>
      <c r="BD97" s="104">
        <f t="shared" si="70"/>
        <v>0</v>
      </c>
      <c r="BE97" s="104">
        <f t="shared" si="70"/>
        <v>0</v>
      </c>
      <c r="BF97" s="104">
        <f t="shared" si="70"/>
        <v>0</v>
      </c>
      <c r="BG97" s="104">
        <f t="shared" si="70"/>
        <v>0</v>
      </c>
      <c r="BH97" s="104">
        <f t="shared" si="70"/>
        <v>0</v>
      </c>
      <c r="BI97" s="104">
        <f t="shared" si="70"/>
        <v>0</v>
      </c>
      <c r="BM97" s="104">
        <f>COUNTA(BM38)</f>
        <v>0</v>
      </c>
      <c r="BN97" s="104">
        <f t="shared" ref="BN97:BX97" si="71">COUNTA(BN38)</f>
        <v>0</v>
      </c>
      <c r="BO97" s="104">
        <f t="shared" si="71"/>
        <v>0</v>
      </c>
      <c r="BP97" s="104">
        <f t="shared" si="71"/>
        <v>0</v>
      </c>
      <c r="BQ97" s="104">
        <f t="shared" si="71"/>
        <v>0</v>
      </c>
      <c r="BR97" s="104">
        <f t="shared" si="71"/>
        <v>0</v>
      </c>
      <c r="BS97" s="104">
        <f t="shared" si="71"/>
        <v>0</v>
      </c>
      <c r="BT97" s="104">
        <f t="shared" si="71"/>
        <v>0</v>
      </c>
      <c r="BU97" s="104">
        <f t="shared" si="71"/>
        <v>0</v>
      </c>
      <c r="BV97" s="104">
        <f t="shared" si="71"/>
        <v>0</v>
      </c>
      <c r="BW97" s="104">
        <f t="shared" si="71"/>
        <v>0</v>
      </c>
      <c r="BX97" s="104">
        <f t="shared" si="71"/>
        <v>0</v>
      </c>
    </row>
    <row r="98" spans="3:76" s="104" customFormat="1" x14ac:dyDescent="0.4">
      <c r="C98" s="104" t="s">
        <v>284</v>
      </c>
      <c r="E98" s="104">
        <f>COUNTA(E39)</f>
        <v>0</v>
      </c>
      <c r="F98" s="104">
        <f t="shared" ref="F98:P98" si="72">COUNTA(F39)</f>
        <v>0</v>
      </c>
      <c r="G98" s="104">
        <f t="shared" si="72"/>
        <v>0</v>
      </c>
      <c r="H98" s="104">
        <f t="shared" si="72"/>
        <v>0</v>
      </c>
      <c r="I98" s="104">
        <f t="shared" si="72"/>
        <v>0</v>
      </c>
      <c r="J98" s="104">
        <f t="shared" si="72"/>
        <v>0</v>
      </c>
      <c r="K98" s="104">
        <f t="shared" si="72"/>
        <v>0</v>
      </c>
      <c r="L98" s="104">
        <f t="shared" si="72"/>
        <v>0</v>
      </c>
      <c r="M98" s="104">
        <f t="shared" si="72"/>
        <v>0</v>
      </c>
      <c r="N98" s="104">
        <f t="shared" si="72"/>
        <v>0</v>
      </c>
      <c r="O98" s="104">
        <f t="shared" si="72"/>
        <v>0</v>
      </c>
      <c r="P98" s="104">
        <f t="shared" si="72"/>
        <v>0</v>
      </c>
      <c r="T98" s="104">
        <f>COUNTA(T39)</f>
        <v>0</v>
      </c>
      <c r="U98" s="104">
        <f t="shared" ref="U98:AE98" si="73">COUNTA(U39)</f>
        <v>0</v>
      </c>
      <c r="V98" s="104">
        <f t="shared" si="73"/>
        <v>0</v>
      </c>
      <c r="W98" s="104">
        <f t="shared" si="73"/>
        <v>0</v>
      </c>
      <c r="X98" s="104">
        <f t="shared" si="73"/>
        <v>0</v>
      </c>
      <c r="Y98" s="104">
        <f t="shared" si="73"/>
        <v>0</v>
      </c>
      <c r="Z98" s="104">
        <f t="shared" si="73"/>
        <v>0</v>
      </c>
      <c r="AA98" s="104">
        <f t="shared" si="73"/>
        <v>0</v>
      </c>
      <c r="AB98" s="104">
        <f t="shared" si="73"/>
        <v>0</v>
      </c>
      <c r="AC98" s="104">
        <f t="shared" si="73"/>
        <v>0</v>
      </c>
      <c r="AD98" s="104">
        <f t="shared" si="73"/>
        <v>0</v>
      </c>
      <c r="AE98" s="104">
        <f t="shared" si="73"/>
        <v>0</v>
      </c>
      <c r="AI98" s="104">
        <f>COUNTA(AI39)</f>
        <v>0</v>
      </c>
      <c r="AJ98" s="104">
        <f t="shared" ref="AJ98:AT98" si="74">COUNTA(AJ39)</f>
        <v>0</v>
      </c>
      <c r="AK98" s="104">
        <f t="shared" si="74"/>
        <v>0</v>
      </c>
      <c r="AL98" s="104">
        <f t="shared" si="74"/>
        <v>0</v>
      </c>
      <c r="AM98" s="104">
        <f t="shared" si="74"/>
        <v>0</v>
      </c>
      <c r="AN98" s="104">
        <f t="shared" si="74"/>
        <v>0</v>
      </c>
      <c r="AO98" s="104">
        <f t="shared" si="74"/>
        <v>0</v>
      </c>
      <c r="AP98" s="104">
        <f t="shared" si="74"/>
        <v>0</v>
      </c>
      <c r="AQ98" s="104">
        <f t="shared" si="74"/>
        <v>0</v>
      </c>
      <c r="AR98" s="104">
        <f t="shared" si="74"/>
        <v>0</v>
      </c>
      <c r="AS98" s="104">
        <f t="shared" si="74"/>
        <v>0</v>
      </c>
      <c r="AT98" s="104">
        <f t="shared" si="74"/>
        <v>0</v>
      </c>
      <c r="AX98" s="104">
        <f>COUNTA(AX39)</f>
        <v>0</v>
      </c>
      <c r="AY98" s="104">
        <f t="shared" ref="AY98:BI98" si="75">COUNTA(AY39)</f>
        <v>0</v>
      </c>
      <c r="AZ98" s="104">
        <f t="shared" si="75"/>
        <v>0</v>
      </c>
      <c r="BA98" s="104">
        <f t="shared" si="75"/>
        <v>0</v>
      </c>
      <c r="BB98" s="104">
        <f t="shared" si="75"/>
        <v>0</v>
      </c>
      <c r="BC98" s="104">
        <f t="shared" si="75"/>
        <v>0</v>
      </c>
      <c r="BD98" s="104">
        <f t="shared" si="75"/>
        <v>0</v>
      </c>
      <c r="BE98" s="104">
        <f t="shared" si="75"/>
        <v>0</v>
      </c>
      <c r="BF98" s="104">
        <f t="shared" si="75"/>
        <v>0</v>
      </c>
      <c r="BG98" s="104">
        <f t="shared" si="75"/>
        <v>0</v>
      </c>
      <c r="BH98" s="104">
        <f t="shared" si="75"/>
        <v>0</v>
      </c>
      <c r="BI98" s="104">
        <f t="shared" si="75"/>
        <v>0</v>
      </c>
      <c r="BM98" s="104">
        <f>COUNTA(BM39)</f>
        <v>0</v>
      </c>
      <c r="BN98" s="104">
        <f t="shared" ref="BN98:BX98" si="76">COUNTA(BN39)</f>
        <v>0</v>
      </c>
      <c r="BO98" s="104">
        <f t="shared" si="76"/>
        <v>0</v>
      </c>
      <c r="BP98" s="104">
        <f t="shared" si="76"/>
        <v>0</v>
      </c>
      <c r="BQ98" s="104">
        <f t="shared" si="76"/>
        <v>0</v>
      </c>
      <c r="BR98" s="104">
        <f t="shared" si="76"/>
        <v>0</v>
      </c>
      <c r="BS98" s="104">
        <f t="shared" si="76"/>
        <v>0</v>
      </c>
      <c r="BT98" s="104">
        <f t="shared" si="76"/>
        <v>0</v>
      </c>
      <c r="BU98" s="104">
        <f t="shared" si="76"/>
        <v>0</v>
      </c>
      <c r="BV98" s="104">
        <f t="shared" si="76"/>
        <v>0</v>
      </c>
      <c r="BW98" s="104">
        <f t="shared" si="76"/>
        <v>0</v>
      </c>
      <c r="BX98" s="104">
        <f t="shared" si="76"/>
        <v>0</v>
      </c>
    </row>
    <row r="99" spans="3:76" s="104" customFormat="1" x14ac:dyDescent="0.4">
      <c r="C99" s="104" t="s">
        <v>269</v>
      </c>
      <c r="E99" s="104">
        <f>COUNTA(E43)</f>
        <v>0</v>
      </c>
      <c r="F99" s="104">
        <f t="shared" ref="F99:P100" si="77">COUNTA(F43)</f>
        <v>0</v>
      </c>
      <c r="G99" s="104">
        <f t="shared" si="77"/>
        <v>0</v>
      </c>
      <c r="H99" s="104">
        <f t="shared" si="77"/>
        <v>0</v>
      </c>
      <c r="I99" s="104">
        <f t="shared" si="77"/>
        <v>0</v>
      </c>
      <c r="J99" s="104">
        <f t="shared" si="77"/>
        <v>0</v>
      </c>
      <c r="K99" s="104">
        <f t="shared" si="77"/>
        <v>0</v>
      </c>
      <c r="L99" s="104">
        <f t="shared" si="77"/>
        <v>0</v>
      </c>
      <c r="M99" s="104">
        <f t="shared" si="77"/>
        <v>0</v>
      </c>
      <c r="N99" s="104">
        <f t="shared" si="77"/>
        <v>0</v>
      </c>
      <c r="O99" s="104">
        <f t="shared" si="77"/>
        <v>0</v>
      </c>
      <c r="P99" s="104">
        <f t="shared" si="77"/>
        <v>0</v>
      </c>
      <c r="T99" s="104">
        <f>COUNTA(T43)</f>
        <v>0</v>
      </c>
      <c r="U99" s="104">
        <f t="shared" ref="U99:AE99" si="78">COUNTA(U43)</f>
        <v>0</v>
      </c>
      <c r="V99" s="104">
        <f t="shared" si="78"/>
        <v>0</v>
      </c>
      <c r="W99" s="104">
        <f t="shared" si="78"/>
        <v>0</v>
      </c>
      <c r="X99" s="104">
        <f t="shared" si="78"/>
        <v>0</v>
      </c>
      <c r="Y99" s="104">
        <f t="shared" si="78"/>
        <v>0</v>
      </c>
      <c r="Z99" s="104">
        <f t="shared" si="78"/>
        <v>0</v>
      </c>
      <c r="AA99" s="104">
        <f t="shared" si="78"/>
        <v>0</v>
      </c>
      <c r="AB99" s="104">
        <f t="shared" si="78"/>
        <v>0</v>
      </c>
      <c r="AC99" s="104">
        <f t="shared" si="78"/>
        <v>0</v>
      </c>
      <c r="AD99" s="104">
        <f t="shared" si="78"/>
        <v>0</v>
      </c>
      <c r="AE99" s="104">
        <f t="shared" si="78"/>
        <v>0</v>
      </c>
      <c r="AI99" s="104">
        <f>COUNTA(AI43)</f>
        <v>0</v>
      </c>
      <c r="AJ99" s="104">
        <f t="shared" ref="AJ99:AT99" si="79">COUNTA(AJ43)</f>
        <v>0</v>
      </c>
      <c r="AK99" s="104">
        <f t="shared" si="79"/>
        <v>0</v>
      </c>
      <c r="AL99" s="104">
        <f t="shared" si="79"/>
        <v>0</v>
      </c>
      <c r="AM99" s="104">
        <f t="shared" si="79"/>
        <v>0</v>
      </c>
      <c r="AN99" s="104">
        <f t="shared" si="79"/>
        <v>0</v>
      </c>
      <c r="AO99" s="104">
        <f t="shared" si="79"/>
        <v>0</v>
      </c>
      <c r="AP99" s="104">
        <f t="shared" si="79"/>
        <v>0</v>
      </c>
      <c r="AQ99" s="104">
        <f t="shared" si="79"/>
        <v>0</v>
      </c>
      <c r="AR99" s="104">
        <f t="shared" si="79"/>
        <v>0</v>
      </c>
      <c r="AS99" s="104">
        <f t="shared" si="79"/>
        <v>0</v>
      </c>
      <c r="AT99" s="104">
        <f t="shared" si="79"/>
        <v>0</v>
      </c>
      <c r="AX99" s="104">
        <f>COUNTA(AX43)</f>
        <v>0</v>
      </c>
      <c r="AY99" s="104">
        <f t="shared" ref="AY99:BI99" si="80">COUNTA(AY43)</f>
        <v>0</v>
      </c>
      <c r="AZ99" s="104">
        <f t="shared" si="80"/>
        <v>0</v>
      </c>
      <c r="BA99" s="104">
        <f t="shared" si="80"/>
        <v>0</v>
      </c>
      <c r="BB99" s="104">
        <f t="shared" si="80"/>
        <v>0</v>
      </c>
      <c r="BC99" s="104">
        <f t="shared" si="80"/>
        <v>0</v>
      </c>
      <c r="BD99" s="104">
        <f t="shared" si="80"/>
        <v>0</v>
      </c>
      <c r="BE99" s="104">
        <f t="shared" si="80"/>
        <v>0</v>
      </c>
      <c r="BF99" s="104">
        <f t="shared" si="80"/>
        <v>0</v>
      </c>
      <c r="BG99" s="104">
        <f t="shared" si="80"/>
        <v>0</v>
      </c>
      <c r="BH99" s="104">
        <f t="shared" si="80"/>
        <v>0</v>
      </c>
      <c r="BI99" s="104">
        <f t="shared" si="80"/>
        <v>0</v>
      </c>
      <c r="BM99" s="104">
        <f>COUNTA(BM43)</f>
        <v>0</v>
      </c>
      <c r="BN99" s="104">
        <f t="shared" ref="BN99:BX99" si="81">COUNTA(BN43)</f>
        <v>0</v>
      </c>
      <c r="BO99" s="104">
        <f t="shared" si="81"/>
        <v>0</v>
      </c>
      <c r="BP99" s="104">
        <f t="shared" si="81"/>
        <v>0</v>
      </c>
      <c r="BQ99" s="104">
        <f t="shared" si="81"/>
        <v>0</v>
      </c>
      <c r="BR99" s="104">
        <f t="shared" si="81"/>
        <v>0</v>
      </c>
      <c r="BS99" s="104">
        <f t="shared" si="81"/>
        <v>0</v>
      </c>
      <c r="BT99" s="104">
        <f t="shared" si="81"/>
        <v>0</v>
      </c>
      <c r="BU99" s="104">
        <f t="shared" si="81"/>
        <v>0</v>
      </c>
      <c r="BV99" s="104">
        <f t="shared" si="81"/>
        <v>0</v>
      </c>
      <c r="BW99" s="104">
        <f t="shared" si="81"/>
        <v>0</v>
      </c>
      <c r="BX99" s="104">
        <f t="shared" si="81"/>
        <v>0</v>
      </c>
    </row>
    <row r="100" spans="3:76" s="104" customFormat="1" x14ac:dyDescent="0.4">
      <c r="C100" s="104" t="s">
        <v>270</v>
      </c>
      <c r="E100" s="104">
        <f>COUNTA(E44)</f>
        <v>0</v>
      </c>
      <c r="F100" s="104">
        <f t="shared" si="77"/>
        <v>0</v>
      </c>
      <c r="G100" s="104">
        <f t="shared" si="77"/>
        <v>0</v>
      </c>
      <c r="H100" s="104">
        <f t="shared" si="77"/>
        <v>0</v>
      </c>
      <c r="I100" s="104">
        <f t="shared" si="77"/>
        <v>0</v>
      </c>
      <c r="J100" s="104">
        <f t="shared" si="77"/>
        <v>0</v>
      </c>
      <c r="K100" s="104">
        <f t="shared" si="77"/>
        <v>0</v>
      </c>
      <c r="L100" s="104">
        <f t="shared" si="77"/>
        <v>0</v>
      </c>
      <c r="M100" s="104">
        <f t="shared" si="77"/>
        <v>0</v>
      </c>
      <c r="N100" s="104">
        <f t="shared" si="77"/>
        <v>0</v>
      </c>
      <c r="O100" s="104">
        <f t="shared" si="77"/>
        <v>0</v>
      </c>
      <c r="P100" s="104">
        <f t="shared" si="77"/>
        <v>0</v>
      </c>
      <c r="T100" s="104">
        <f>COUNTA(T44)</f>
        <v>0</v>
      </c>
      <c r="U100" s="104">
        <f t="shared" ref="U100:AE100" si="82">COUNTA(U44)</f>
        <v>0</v>
      </c>
      <c r="V100" s="104">
        <f t="shared" si="82"/>
        <v>0</v>
      </c>
      <c r="W100" s="104">
        <f t="shared" si="82"/>
        <v>0</v>
      </c>
      <c r="X100" s="104">
        <f t="shared" si="82"/>
        <v>0</v>
      </c>
      <c r="Y100" s="104">
        <f t="shared" si="82"/>
        <v>0</v>
      </c>
      <c r="Z100" s="104">
        <f t="shared" si="82"/>
        <v>0</v>
      </c>
      <c r="AA100" s="104">
        <f t="shared" si="82"/>
        <v>0</v>
      </c>
      <c r="AB100" s="104">
        <f t="shared" si="82"/>
        <v>0</v>
      </c>
      <c r="AC100" s="104">
        <f t="shared" si="82"/>
        <v>0</v>
      </c>
      <c r="AD100" s="104">
        <f t="shared" si="82"/>
        <v>0</v>
      </c>
      <c r="AE100" s="104">
        <f t="shared" si="82"/>
        <v>0</v>
      </c>
      <c r="AI100" s="104">
        <f>COUNTA(AI44)</f>
        <v>0</v>
      </c>
      <c r="AJ100" s="104">
        <f t="shared" ref="AJ100:AT100" si="83">COUNTA(AJ44)</f>
        <v>0</v>
      </c>
      <c r="AK100" s="104">
        <f t="shared" si="83"/>
        <v>0</v>
      </c>
      <c r="AL100" s="104">
        <f t="shared" si="83"/>
        <v>0</v>
      </c>
      <c r="AM100" s="104">
        <f t="shared" si="83"/>
        <v>0</v>
      </c>
      <c r="AN100" s="104">
        <f t="shared" si="83"/>
        <v>0</v>
      </c>
      <c r="AO100" s="104">
        <f t="shared" si="83"/>
        <v>0</v>
      </c>
      <c r="AP100" s="104">
        <f t="shared" si="83"/>
        <v>0</v>
      </c>
      <c r="AQ100" s="104">
        <f t="shared" si="83"/>
        <v>0</v>
      </c>
      <c r="AR100" s="104">
        <f t="shared" si="83"/>
        <v>0</v>
      </c>
      <c r="AS100" s="104">
        <f t="shared" si="83"/>
        <v>0</v>
      </c>
      <c r="AT100" s="104">
        <f t="shared" si="83"/>
        <v>0</v>
      </c>
      <c r="AX100" s="104">
        <f>COUNTA(AX44)</f>
        <v>0</v>
      </c>
      <c r="AY100" s="104">
        <f t="shared" ref="AY100:BI100" si="84">COUNTA(AY44)</f>
        <v>0</v>
      </c>
      <c r="AZ100" s="104">
        <f t="shared" si="84"/>
        <v>0</v>
      </c>
      <c r="BA100" s="104">
        <f t="shared" si="84"/>
        <v>0</v>
      </c>
      <c r="BB100" s="104">
        <f t="shared" si="84"/>
        <v>0</v>
      </c>
      <c r="BC100" s="104">
        <f t="shared" si="84"/>
        <v>0</v>
      </c>
      <c r="BD100" s="104">
        <f t="shared" si="84"/>
        <v>0</v>
      </c>
      <c r="BE100" s="104">
        <f t="shared" si="84"/>
        <v>0</v>
      </c>
      <c r="BF100" s="104">
        <f t="shared" si="84"/>
        <v>0</v>
      </c>
      <c r="BG100" s="104">
        <f t="shared" si="84"/>
        <v>0</v>
      </c>
      <c r="BH100" s="104">
        <f t="shared" si="84"/>
        <v>0</v>
      </c>
      <c r="BI100" s="104">
        <f t="shared" si="84"/>
        <v>0</v>
      </c>
      <c r="BM100" s="104">
        <f>COUNTA(BM44)</f>
        <v>0</v>
      </c>
      <c r="BN100" s="104">
        <f t="shared" ref="BN100:BX100" si="85">COUNTA(BN44)</f>
        <v>0</v>
      </c>
      <c r="BO100" s="104">
        <f t="shared" si="85"/>
        <v>0</v>
      </c>
      <c r="BP100" s="104">
        <f t="shared" si="85"/>
        <v>0</v>
      </c>
      <c r="BQ100" s="104">
        <f t="shared" si="85"/>
        <v>0</v>
      </c>
      <c r="BR100" s="104">
        <f t="shared" si="85"/>
        <v>0</v>
      </c>
      <c r="BS100" s="104">
        <f t="shared" si="85"/>
        <v>0</v>
      </c>
      <c r="BT100" s="104">
        <f t="shared" si="85"/>
        <v>0</v>
      </c>
      <c r="BU100" s="104">
        <f t="shared" si="85"/>
        <v>0</v>
      </c>
      <c r="BV100" s="104">
        <f t="shared" si="85"/>
        <v>0</v>
      </c>
      <c r="BW100" s="104">
        <f t="shared" si="85"/>
        <v>0</v>
      </c>
      <c r="BX100" s="104">
        <f t="shared" si="85"/>
        <v>0</v>
      </c>
    </row>
    <row r="101" spans="3:76" s="104" customFormat="1" x14ac:dyDescent="0.4"/>
    <row r="102" spans="3:76" s="104" customFormat="1" x14ac:dyDescent="0.4"/>
    <row r="103" spans="3:76" s="104" customFormat="1" x14ac:dyDescent="0.4"/>
    <row r="104" spans="3:76" s="104" customFormat="1" x14ac:dyDescent="0.4"/>
  </sheetData>
  <mergeCells count="8">
    <mergeCell ref="C38:C40"/>
    <mergeCell ref="C43:C45"/>
    <mergeCell ref="C8:C10"/>
    <mergeCell ref="C13:C15"/>
    <mergeCell ref="C18:C20"/>
    <mergeCell ref="C23:C25"/>
    <mergeCell ref="C28:C30"/>
    <mergeCell ref="C33:C35"/>
  </mergeCells>
  <phoneticPr fontId="5" type="noConversion"/>
  <conditionalFormatting sqref="E10:R10">
    <cfRule type="cellIs" dxfId="931" priority="591" operator="greaterThan">
      <formula>0</formula>
    </cfRule>
    <cfRule type="cellIs" dxfId="930" priority="590" operator="lessThan">
      <formula>0</formula>
    </cfRule>
  </conditionalFormatting>
  <conditionalFormatting sqref="E15:R15">
    <cfRule type="cellIs" dxfId="926" priority="230" operator="greaterThan">
      <formula>0</formula>
    </cfRule>
    <cfRule type="cellIs" dxfId="925" priority="229" operator="lessThan">
      <formula>0</formula>
    </cfRule>
  </conditionalFormatting>
  <conditionalFormatting sqref="E20:R20">
    <cfRule type="cellIs" dxfId="921" priority="220" operator="greaterThan">
      <formula>0</formula>
    </cfRule>
    <cfRule type="cellIs" dxfId="920" priority="219" operator="lessThan">
      <formula>0</formula>
    </cfRule>
  </conditionalFormatting>
  <conditionalFormatting sqref="E25:R25">
    <cfRule type="cellIs" dxfId="916" priority="209" operator="lessThan">
      <formula>0</formula>
    </cfRule>
    <cfRule type="cellIs" dxfId="915" priority="210" operator="greaterThan">
      <formula>0</formula>
    </cfRule>
  </conditionalFormatting>
  <conditionalFormatting sqref="E30:R30">
    <cfRule type="cellIs" dxfId="911" priority="199" operator="lessThan">
      <formula>0</formula>
    </cfRule>
    <cfRule type="cellIs" dxfId="910" priority="200" operator="greaterThan">
      <formula>0</formula>
    </cfRule>
  </conditionalFormatting>
  <conditionalFormatting sqref="E35:R35">
    <cfRule type="cellIs" dxfId="906" priority="189" operator="lessThan">
      <formula>0</formula>
    </cfRule>
    <cfRule type="cellIs" dxfId="905" priority="190" operator="greaterThan">
      <formula>0</formula>
    </cfRule>
  </conditionalFormatting>
  <conditionalFormatting sqref="E40:R40">
    <cfRule type="cellIs" dxfId="901" priority="180" operator="greaterThan">
      <formula>0</formula>
    </cfRule>
    <cfRule type="cellIs" dxfId="900" priority="179" operator="lessThan">
      <formula>0</formula>
    </cfRule>
  </conditionalFormatting>
  <conditionalFormatting sqref="E45:R45">
    <cfRule type="cellIs" dxfId="896" priority="170" operator="greaterThan">
      <formula>0</formula>
    </cfRule>
    <cfRule type="cellIs" dxfId="895" priority="169" operator="lessThan">
      <formula>0</formula>
    </cfRule>
  </conditionalFormatting>
  <conditionalFormatting sqref="T10:AG10">
    <cfRule type="cellIs" dxfId="891" priority="157" operator="greaterThan">
      <formula>0</formula>
    </cfRule>
    <cfRule type="cellIs" dxfId="890" priority="156" operator="lessThan">
      <formula>0</formula>
    </cfRule>
  </conditionalFormatting>
  <conditionalFormatting sqref="T15:AG15">
    <cfRule type="cellIs" dxfId="886" priority="133" operator="lessThan">
      <formula>0</formula>
    </cfRule>
    <cfRule type="cellIs" dxfId="885" priority="134" operator="greaterThan">
      <formula>0</formula>
    </cfRule>
  </conditionalFormatting>
  <conditionalFormatting sqref="T20:AG20">
    <cfRule type="cellIs" dxfId="881" priority="132" operator="greaterThan">
      <formula>0</formula>
    </cfRule>
    <cfRule type="cellIs" dxfId="880" priority="131" operator="lessThan">
      <formula>0</formula>
    </cfRule>
  </conditionalFormatting>
  <conditionalFormatting sqref="T25:AG25">
    <cfRule type="cellIs" dxfId="876" priority="129" operator="lessThan">
      <formula>0</formula>
    </cfRule>
    <cfRule type="cellIs" dxfId="875" priority="130" operator="greaterThan">
      <formula>0</formula>
    </cfRule>
  </conditionalFormatting>
  <conditionalFormatting sqref="T30:AG30">
    <cfRule type="cellIs" dxfId="871" priority="128" operator="greaterThan">
      <formula>0</formula>
    </cfRule>
    <cfRule type="cellIs" dxfId="870" priority="127" operator="lessThan">
      <formula>0</formula>
    </cfRule>
  </conditionalFormatting>
  <conditionalFormatting sqref="T35:AG35">
    <cfRule type="cellIs" dxfId="866" priority="125" operator="lessThan">
      <formula>0</formula>
    </cfRule>
    <cfRule type="cellIs" dxfId="865" priority="126" operator="greaterThan">
      <formula>0</formula>
    </cfRule>
  </conditionalFormatting>
  <conditionalFormatting sqref="T40:AG40">
    <cfRule type="cellIs" dxfId="861" priority="124" operator="greaterThan">
      <formula>0</formula>
    </cfRule>
    <cfRule type="cellIs" dxfId="860" priority="123" operator="lessThan">
      <formula>0</formula>
    </cfRule>
  </conditionalFormatting>
  <conditionalFormatting sqref="T45:AG45">
    <cfRule type="cellIs" dxfId="856" priority="122" operator="greaterThan">
      <formula>0</formula>
    </cfRule>
    <cfRule type="cellIs" dxfId="855" priority="121" operator="lessThan">
      <formula>0</formula>
    </cfRule>
  </conditionalFormatting>
  <conditionalFormatting sqref="AI10:AV10">
    <cfRule type="cellIs" dxfId="851" priority="116" operator="lessThan">
      <formula>0</formula>
    </cfRule>
    <cfRule type="cellIs" dxfId="850" priority="117" operator="greaterThan">
      <formula>0</formula>
    </cfRule>
  </conditionalFormatting>
  <conditionalFormatting sqref="AI15:AV15">
    <cfRule type="cellIs" dxfId="846" priority="93" operator="lessThan">
      <formula>0</formula>
    </cfRule>
    <cfRule type="cellIs" dxfId="845" priority="94" operator="greaterThan">
      <formula>0</formula>
    </cfRule>
  </conditionalFormatting>
  <conditionalFormatting sqref="AI20:AV20">
    <cfRule type="cellIs" dxfId="841" priority="91" operator="lessThan">
      <formula>0</formula>
    </cfRule>
    <cfRule type="cellIs" dxfId="840" priority="92" operator="greaterThan">
      <formula>0</formula>
    </cfRule>
  </conditionalFormatting>
  <conditionalFormatting sqref="AI25:AV25">
    <cfRule type="cellIs" dxfId="836" priority="89" operator="lessThan">
      <formula>0</formula>
    </cfRule>
    <cfRule type="cellIs" dxfId="835" priority="90" operator="greaterThan">
      <formula>0</formula>
    </cfRule>
  </conditionalFormatting>
  <conditionalFormatting sqref="AI30:AV30">
    <cfRule type="cellIs" dxfId="831" priority="87" operator="lessThan">
      <formula>0</formula>
    </cfRule>
    <cfRule type="cellIs" dxfId="830" priority="88" operator="greaterThan">
      <formula>0</formula>
    </cfRule>
  </conditionalFormatting>
  <conditionalFormatting sqref="AI35:AV35">
    <cfRule type="cellIs" dxfId="826" priority="86" operator="greaterThan">
      <formula>0</formula>
    </cfRule>
    <cfRule type="cellIs" dxfId="825" priority="85" operator="lessThan">
      <formula>0</formula>
    </cfRule>
  </conditionalFormatting>
  <conditionalFormatting sqref="AI40:AV40">
    <cfRule type="cellIs" dxfId="821" priority="84" operator="greaterThan">
      <formula>0</formula>
    </cfRule>
    <cfRule type="cellIs" dxfId="820" priority="83" operator="lessThan">
      <formula>0</formula>
    </cfRule>
  </conditionalFormatting>
  <conditionalFormatting sqref="AI45:AV45">
    <cfRule type="cellIs" dxfId="816" priority="82" operator="greaterThan">
      <formula>0</formula>
    </cfRule>
    <cfRule type="cellIs" dxfId="815" priority="81" operator="lessThan">
      <formula>0</formula>
    </cfRule>
  </conditionalFormatting>
  <conditionalFormatting sqref="AX10:BK10">
    <cfRule type="cellIs" dxfId="811" priority="77" operator="greaterThan">
      <formula>0</formula>
    </cfRule>
    <cfRule type="cellIs" dxfId="810" priority="76" operator="lessThan">
      <formula>0</formula>
    </cfRule>
  </conditionalFormatting>
  <conditionalFormatting sqref="AX15:BK15">
    <cfRule type="cellIs" dxfId="806" priority="53" operator="lessThan">
      <formula>0</formula>
    </cfRule>
    <cfRule type="cellIs" dxfId="805" priority="54" operator="greaterThan">
      <formula>0</formula>
    </cfRule>
  </conditionalFormatting>
  <conditionalFormatting sqref="AX20:BK20">
    <cfRule type="cellIs" dxfId="801" priority="52" operator="greaterThan">
      <formula>0</formula>
    </cfRule>
    <cfRule type="cellIs" dxfId="800" priority="51" operator="lessThan">
      <formula>0</formula>
    </cfRule>
  </conditionalFormatting>
  <conditionalFormatting sqref="AX25:BK25">
    <cfRule type="cellIs" dxfId="796" priority="50" operator="greaterThan">
      <formula>0</formula>
    </cfRule>
    <cfRule type="cellIs" dxfId="795" priority="49" operator="lessThan">
      <formula>0</formula>
    </cfRule>
  </conditionalFormatting>
  <conditionalFormatting sqref="AX30:BK30">
    <cfRule type="cellIs" dxfId="791" priority="48" operator="greaterThan">
      <formula>0</formula>
    </cfRule>
    <cfRule type="cellIs" dxfId="790" priority="47" operator="lessThan">
      <formula>0</formula>
    </cfRule>
  </conditionalFormatting>
  <conditionalFormatting sqref="AX35:BK35">
    <cfRule type="cellIs" dxfId="786" priority="46" operator="greaterThan">
      <formula>0</formula>
    </cfRule>
    <cfRule type="cellIs" dxfId="785" priority="45" operator="lessThan">
      <formula>0</formula>
    </cfRule>
  </conditionalFormatting>
  <conditionalFormatting sqref="AX40:BK40">
    <cfRule type="cellIs" dxfId="781" priority="43" operator="lessThan">
      <formula>0</formula>
    </cfRule>
    <cfRule type="cellIs" dxfId="780" priority="44" operator="greaterThan">
      <formula>0</formula>
    </cfRule>
  </conditionalFormatting>
  <conditionalFormatting sqref="AX45:BK45">
    <cfRule type="cellIs" dxfId="776" priority="41" operator="lessThan">
      <formula>0</formula>
    </cfRule>
    <cfRule type="cellIs" dxfId="775" priority="42" operator="greaterThan">
      <formula>0</formula>
    </cfRule>
  </conditionalFormatting>
  <conditionalFormatting sqref="BM10:BZ10">
    <cfRule type="cellIs" dxfId="771" priority="37" operator="greaterThan">
      <formula>0</formula>
    </cfRule>
    <cfRule type="cellIs" dxfId="770" priority="36" operator="lessThan">
      <formula>0</formula>
    </cfRule>
  </conditionalFormatting>
  <conditionalFormatting sqref="BM15:BZ15">
    <cfRule type="cellIs" dxfId="766" priority="13" operator="lessThan">
      <formula>0</formula>
    </cfRule>
    <cfRule type="cellIs" dxfId="765" priority="14" operator="greaterThan">
      <formula>0</formula>
    </cfRule>
  </conditionalFormatting>
  <conditionalFormatting sqref="BM20:BZ20">
    <cfRule type="cellIs" dxfId="761" priority="12" operator="greaterThan">
      <formula>0</formula>
    </cfRule>
    <cfRule type="cellIs" dxfId="760" priority="11" operator="lessThan">
      <formula>0</formula>
    </cfRule>
  </conditionalFormatting>
  <conditionalFormatting sqref="BM25:BZ25">
    <cfRule type="cellIs" dxfId="756" priority="10" operator="greaterThan">
      <formula>0</formula>
    </cfRule>
    <cfRule type="cellIs" dxfId="755" priority="9" operator="lessThan">
      <formula>0</formula>
    </cfRule>
  </conditionalFormatting>
  <conditionalFormatting sqref="BM30:BZ30">
    <cfRule type="cellIs" dxfId="751" priority="8" operator="greaterThan">
      <formula>0</formula>
    </cfRule>
    <cfRule type="cellIs" dxfId="750" priority="7" operator="lessThan">
      <formula>0</formula>
    </cfRule>
  </conditionalFormatting>
  <conditionalFormatting sqref="BM35:BZ35">
    <cfRule type="cellIs" dxfId="746" priority="6" operator="greaterThan">
      <formula>0</formula>
    </cfRule>
    <cfRule type="cellIs" dxfId="745" priority="5" operator="lessThan">
      <formula>0</formula>
    </cfRule>
  </conditionalFormatting>
  <conditionalFormatting sqref="BM40:BZ40">
    <cfRule type="cellIs" dxfId="741" priority="4" operator="greaterThan">
      <formula>0</formula>
    </cfRule>
    <cfRule type="cellIs" dxfId="740" priority="3" operator="lessThan">
      <formula>0</formula>
    </cfRule>
  </conditionalFormatting>
  <conditionalFormatting sqref="BM45:BZ45">
    <cfRule type="cellIs" dxfId="736" priority="2" operator="greaterThan">
      <formula>0</formula>
    </cfRule>
    <cfRule type="cellIs" dxfId="735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7" id="{C79739FA-73C4-484D-8417-85ED039B0F6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20" id="{B0DD7170-E442-4A63-8F36-49F957F2E7E2}">
            <xm:f>$D$7=parametros!$J$2</xm:f>
            <x14:dxf>
              <numFmt numFmtId="2" formatCode="0.00"/>
            </x14:dxf>
          </x14:cfRule>
          <x14:cfRule type="expression" priority="619" id="{2E66563E-334B-46AD-A6B5-DE3E91A35193}">
            <xm:f>$D$7=parametros!$J$3</xm:f>
            <x14:dxf>
              <numFmt numFmtId="14" formatCode="0.00%"/>
            </x14:dxf>
          </x14:cfRule>
          <xm:sqref>E8:R9</xm:sqref>
        </x14:conditionalFormatting>
        <x14:conditionalFormatting xmlns:xm="http://schemas.microsoft.com/office/excel/2006/main">
          <x14:cfRule type="expression" priority="589" id="{C7745FAA-0538-4326-87C6-78F4E4238FF0}">
            <xm:f>$D$7=parametros!$J$2</xm:f>
            <x14:dxf>
              <numFmt numFmtId="2" formatCode="0.00"/>
            </x14:dxf>
          </x14:cfRule>
          <x14:cfRule type="expression" priority="588" id="{D275F514-17A8-414F-B9D7-60E1CC2AB98A}">
            <xm:f>$D$7=parametros!$J$3</xm:f>
            <x14:dxf>
              <numFmt numFmtId="14" formatCode="0.00%"/>
            </x14:dxf>
          </x14:cfRule>
          <x14:cfRule type="expression" priority="587" id="{94301458-D065-4874-8F2A-5F5607DABC5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E13:R14</xm:sqref>
        </x14:conditionalFormatting>
        <x14:conditionalFormatting xmlns:xm="http://schemas.microsoft.com/office/excel/2006/main">
          <x14:cfRule type="expression" priority="580" id="{639F83B9-0E0F-4388-881D-EFC9EDAB13F7}">
            <xm:f>$D$7=parametros!$J$2</xm:f>
            <x14:dxf>
              <numFmt numFmtId="2" formatCode="0.00"/>
            </x14:dxf>
          </x14:cfRule>
          <x14:cfRule type="expression" priority="579" id="{3C075E34-3500-4BEE-9287-D055A3CEA6D6}">
            <xm:f>$D$7=parametros!$J$3</xm:f>
            <x14:dxf>
              <numFmt numFmtId="14" formatCode="0.00%"/>
            </x14:dxf>
          </x14:cfRule>
          <x14:cfRule type="expression" priority="578" id="{C977CA91-A55F-4119-BA81-23BAC0B5A8F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E18:R19</xm:sqref>
        </x14:conditionalFormatting>
        <x14:conditionalFormatting xmlns:xm="http://schemas.microsoft.com/office/excel/2006/main">
          <x14:cfRule type="expression" priority="571" id="{7921CC2D-CA31-40D5-9857-8B8B1F7975BA}">
            <xm:f>$D$7=parametros!$J$2</xm:f>
            <x14:dxf>
              <numFmt numFmtId="2" formatCode="0.00"/>
            </x14:dxf>
          </x14:cfRule>
          <x14:cfRule type="expression" priority="570" id="{137157DE-1403-4544-A854-316B759FAFAC}">
            <xm:f>$D$7=parametros!$J$3</xm:f>
            <x14:dxf>
              <numFmt numFmtId="14" formatCode="0.00%"/>
            </x14:dxf>
          </x14:cfRule>
          <x14:cfRule type="expression" priority="569" id="{6164D252-B0D0-4B79-8B5E-387797FCD8F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E23:R24</xm:sqref>
        </x14:conditionalFormatting>
        <x14:conditionalFormatting xmlns:xm="http://schemas.microsoft.com/office/excel/2006/main">
          <x14:cfRule type="expression" priority="562" id="{0CDBD63F-23B6-42CC-BE61-A193D46AE123}">
            <xm:f>$D$7=parametros!$J$2</xm:f>
            <x14:dxf>
              <numFmt numFmtId="2" formatCode="0.00"/>
            </x14:dxf>
          </x14:cfRule>
          <x14:cfRule type="expression" priority="561" id="{38153810-FF9B-4226-A6AA-D40423E2D4B7}">
            <xm:f>$D$7=parametros!$J$3</xm:f>
            <x14:dxf>
              <numFmt numFmtId="14" formatCode="0.00%"/>
            </x14:dxf>
          </x14:cfRule>
          <x14:cfRule type="expression" priority="560" id="{1285D068-3D4E-44D9-8790-DF908E7DD5F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E28:R29</xm:sqref>
        </x14:conditionalFormatting>
        <x14:conditionalFormatting xmlns:xm="http://schemas.microsoft.com/office/excel/2006/main">
          <x14:cfRule type="expression" priority="553" id="{D00E84EB-D533-4803-9013-A9079E62F5AD}">
            <xm:f>$D$7=parametros!$J$2</xm:f>
            <x14:dxf>
              <numFmt numFmtId="2" formatCode="0.00"/>
            </x14:dxf>
          </x14:cfRule>
          <x14:cfRule type="expression" priority="551" id="{1CE22A69-62D5-495D-B002-5F5F987FA60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52" id="{58ECB47F-BFA8-4442-BC62-6D38F5B3F143}">
            <xm:f>$D$7=parametros!$J$3</xm:f>
            <x14:dxf>
              <numFmt numFmtId="14" formatCode="0.00%"/>
            </x14:dxf>
          </x14:cfRule>
          <xm:sqref>E33:R34</xm:sqref>
        </x14:conditionalFormatting>
        <x14:conditionalFormatting xmlns:xm="http://schemas.microsoft.com/office/excel/2006/main">
          <x14:cfRule type="expression" priority="544" id="{4E5B766F-72A3-4203-B2DB-29907A9B3E74}">
            <xm:f>$D$7=parametros!$J$2</xm:f>
            <x14:dxf>
              <numFmt numFmtId="2" formatCode="0.00"/>
            </x14:dxf>
          </x14:cfRule>
          <x14:cfRule type="expression" priority="542" id="{384F6437-39AF-4D62-87AC-6C57991F471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43" id="{252093FA-AA9F-49B8-9496-64134211091F}">
            <xm:f>$D$7=parametros!$J$3</xm:f>
            <x14:dxf>
              <numFmt numFmtId="14" formatCode="0.00%"/>
            </x14:dxf>
          </x14:cfRule>
          <xm:sqref>E38:R39</xm:sqref>
        </x14:conditionalFormatting>
        <x14:conditionalFormatting xmlns:xm="http://schemas.microsoft.com/office/excel/2006/main">
          <x14:cfRule type="expression" priority="533" id="{0DFACEB8-F516-4B02-A55B-BAC2786B831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34" id="{8947890B-4138-48F8-8A71-2FA8148CD334}">
            <xm:f>$D$7=parametros!$J$3</xm:f>
            <x14:dxf>
              <numFmt numFmtId="14" formatCode="0.00%"/>
            </x14:dxf>
          </x14:cfRule>
          <x14:cfRule type="expression" priority="535" id="{4320A1F5-C952-4D4E-A213-8833C5D1C3D5}">
            <xm:f>$D$7=parametros!$J$2</xm:f>
            <x14:dxf>
              <numFmt numFmtId="2" formatCode="0.00"/>
            </x14:dxf>
          </x14:cfRule>
          <xm:sqref>E43:R44</xm:sqref>
        </x14:conditionalFormatting>
        <x14:conditionalFormatting xmlns:xm="http://schemas.microsoft.com/office/excel/2006/main">
          <x14:cfRule type="expression" priority="160" id="{7765A67E-A925-469C-B770-4C9B18AD1E89}">
            <xm:f>$D$7=parametros!$J$2</xm:f>
            <x14:dxf>
              <numFmt numFmtId="2" formatCode="0.00"/>
            </x14:dxf>
          </x14:cfRule>
          <x14:cfRule type="expression" priority="159" id="{09F684B1-E423-4E73-A6E2-54B840107E51}">
            <xm:f>$D$7=parametros!$J$3</xm:f>
            <x14:dxf>
              <numFmt numFmtId="14" formatCode="0.00%"/>
            </x14:dxf>
          </x14:cfRule>
          <x14:cfRule type="expression" priority="158" id="{50B59B9C-12D5-4E9C-9E34-797FD1D2837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T8:AG9</xm:sqref>
        </x14:conditionalFormatting>
        <x14:conditionalFormatting xmlns:xm="http://schemas.microsoft.com/office/excel/2006/main">
          <x14:cfRule type="expression" priority="155" id="{51146A6B-0555-4AE2-AB2F-A968CC72B43F}">
            <xm:f>$D$7=parametros!$J$2</xm:f>
            <x14:dxf>
              <numFmt numFmtId="2" formatCode="0.00"/>
            </x14:dxf>
          </x14:cfRule>
          <x14:cfRule type="expression" priority="154" id="{A2FD1F8C-FC2A-42BC-98A3-E38836F3C173}">
            <xm:f>$D$7=parametros!$J$3</xm:f>
            <x14:dxf>
              <numFmt numFmtId="14" formatCode="0.00%"/>
            </x14:dxf>
          </x14:cfRule>
          <x14:cfRule type="expression" priority="153" id="{2B903FD5-A848-4B2B-BF6F-4D60D46AAB0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T13:AG14</xm:sqref>
        </x14:conditionalFormatting>
        <x14:conditionalFormatting xmlns:xm="http://schemas.microsoft.com/office/excel/2006/main">
          <x14:cfRule type="expression" priority="151" id="{D30B9630-9881-49E0-A8F6-FA2DF8C4EE65}">
            <xm:f>$D$7=parametros!$J$3</xm:f>
            <x14:dxf>
              <numFmt numFmtId="14" formatCode="0.00%"/>
            </x14:dxf>
          </x14:cfRule>
          <x14:cfRule type="expression" priority="150" id="{3F1F5BBF-E810-499E-A0AF-7B2D4C56702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52" id="{D9479B25-297D-4784-912A-D61DDBAA8BE1}">
            <xm:f>$D$7=parametros!$J$2</xm:f>
            <x14:dxf>
              <numFmt numFmtId="2" formatCode="0.00"/>
            </x14:dxf>
          </x14:cfRule>
          <xm:sqref>T18:AG19</xm:sqref>
        </x14:conditionalFormatting>
        <x14:conditionalFormatting xmlns:xm="http://schemas.microsoft.com/office/excel/2006/main">
          <x14:cfRule type="expression" priority="149" id="{03FD2AB8-51F7-4A05-9AC3-B772BDBF2F4C}">
            <xm:f>$D$7=parametros!$J$2</xm:f>
            <x14:dxf>
              <numFmt numFmtId="2" formatCode="0.00"/>
            </x14:dxf>
          </x14:cfRule>
          <x14:cfRule type="expression" priority="148" id="{745B3936-46A6-42D9-8239-551CCD47B248}">
            <xm:f>$D$7=parametros!$J$3</xm:f>
            <x14:dxf>
              <numFmt numFmtId="14" formatCode="0.00%"/>
            </x14:dxf>
          </x14:cfRule>
          <x14:cfRule type="expression" priority="147" id="{3A7D25A2-FDCB-451A-AFB7-52FEA2932A4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T23:AG24</xm:sqref>
        </x14:conditionalFormatting>
        <x14:conditionalFormatting xmlns:xm="http://schemas.microsoft.com/office/excel/2006/main">
          <x14:cfRule type="expression" priority="144" id="{CF0DC352-DE46-4E01-BB52-D131F4432AD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45" id="{6A1B740D-46A1-40A6-A4B7-E1472A815020}">
            <xm:f>$D$7=parametros!$J$3</xm:f>
            <x14:dxf>
              <numFmt numFmtId="14" formatCode="0.00%"/>
            </x14:dxf>
          </x14:cfRule>
          <x14:cfRule type="expression" priority="146" id="{591E639F-06CC-43D4-92BE-976FE4FC8D5C}">
            <xm:f>$D$7=parametros!$J$2</xm:f>
            <x14:dxf>
              <numFmt numFmtId="2" formatCode="0.00"/>
            </x14:dxf>
          </x14:cfRule>
          <xm:sqref>T28:AG29</xm:sqref>
        </x14:conditionalFormatting>
        <x14:conditionalFormatting xmlns:xm="http://schemas.microsoft.com/office/excel/2006/main">
          <x14:cfRule type="expression" priority="143" id="{C24A7DA7-3072-49EE-90CD-DE96E0FFEA70}">
            <xm:f>$D$7=parametros!$J$2</xm:f>
            <x14:dxf>
              <numFmt numFmtId="2" formatCode="0.00"/>
            </x14:dxf>
          </x14:cfRule>
          <x14:cfRule type="expression" priority="142" id="{21E39A68-72EF-4220-999C-7DD924020C75}">
            <xm:f>$D$7=parametros!$J$3</xm:f>
            <x14:dxf>
              <numFmt numFmtId="14" formatCode="0.00%"/>
            </x14:dxf>
          </x14:cfRule>
          <x14:cfRule type="expression" priority="141" id="{B17B6D56-0969-492E-BE00-6A411C18EAD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T33:AG34</xm:sqref>
        </x14:conditionalFormatting>
        <x14:conditionalFormatting xmlns:xm="http://schemas.microsoft.com/office/excel/2006/main">
          <x14:cfRule type="expression" priority="140" id="{18FA83EA-ACB9-419B-8619-04033DE0AABB}">
            <xm:f>$D$7=parametros!$J$2</xm:f>
            <x14:dxf>
              <numFmt numFmtId="2" formatCode="0.00"/>
            </x14:dxf>
          </x14:cfRule>
          <x14:cfRule type="expression" priority="139" id="{DF428EFB-DD31-449A-BB04-345041A17805}">
            <xm:f>$D$7=parametros!$J$3</xm:f>
            <x14:dxf>
              <numFmt numFmtId="14" formatCode="0.00%"/>
            </x14:dxf>
          </x14:cfRule>
          <x14:cfRule type="expression" priority="138" id="{8F4093C3-07ED-4193-A802-3836CD16612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T38:AG39</xm:sqref>
        </x14:conditionalFormatting>
        <x14:conditionalFormatting xmlns:xm="http://schemas.microsoft.com/office/excel/2006/main">
          <x14:cfRule type="expression" priority="135" id="{0F03D3C8-E87A-47B0-84B2-61411A68952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37" id="{9BCE1B8B-3859-4B18-9F17-AAE69743DF12}">
            <xm:f>$D$7=parametros!$J$2</xm:f>
            <x14:dxf>
              <numFmt numFmtId="2" formatCode="0.00"/>
            </x14:dxf>
          </x14:cfRule>
          <x14:cfRule type="expression" priority="136" id="{F12359A4-15D2-4684-82EF-4A5D7B9DDADA}">
            <xm:f>$D$7=parametros!$J$3</xm:f>
            <x14:dxf>
              <numFmt numFmtId="14" formatCode="0.00%"/>
            </x14:dxf>
          </x14:cfRule>
          <xm:sqref>T43:AG44</xm:sqref>
        </x14:conditionalFormatting>
        <x14:conditionalFormatting xmlns:xm="http://schemas.microsoft.com/office/excel/2006/main">
          <x14:cfRule type="expression" priority="120" id="{A823DB8C-1AF7-4397-B1C2-ED8D3B6A5959}">
            <xm:f>$D$7=parametros!$J$2</xm:f>
            <x14:dxf>
              <numFmt numFmtId="2" formatCode="0.00"/>
            </x14:dxf>
          </x14:cfRule>
          <x14:cfRule type="expression" priority="119" id="{DB3BDA3E-C063-4FD4-8770-2EEF42302ABB}">
            <xm:f>$D$7=parametros!$J$3</xm:f>
            <x14:dxf>
              <numFmt numFmtId="14" formatCode="0.00%"/>
            </x14:dxf>
          </x14:cfRule>
          <x14:cfRule type="expression" priority="118" id="{C9BD1263-F419-4644-BD35-7F408F6254B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AI8:AV9</xm:sqref>
        </x14:conditionalFormatting>
        <x14:conditionalFormatting xmlns:xm="http://schemas.microsoft.com/office/excel/2006/main">
          <x14:cfRule type="expression" priority="113" id="{A8DDA08C-BE69-457F-A8D4-20A70DDEF56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15" id="{79915FCA-05D9-4DBB-A2ED-6A9F269F058D}">
            <xm:f>$D$7=parametros!$J$2</xm:f>
            <x14:dxf>
              <numFmt numFmtId="2" formatCode="0.00"/>
            </x14:dxf>
          </x14:cfRule>
          <x14:cfRule type="expression" priority="114" id="{1D9A8F84-6F54-48C6-B871-FB2B46D84745}">
            <xm:f>$D$7=parametros!$J$3</xm:f>
            <x14:dxf>
              <numFmt numFmtId="14" formatCode="0.00%"/>
            </x14:dxf>
          </x14:cfRule>
          <xm:sqref>AI13:AV14</xm:sqref>
        </x14:conditionalFormatting>
        <x14:conditionalFormatting xmlns:xm="http://schemas.microsoft.com/office/excel/2006/main">
          <x14:cfRule type="expression" priority="112" id="{9B825C27-BC4E-42C6-8A78-AFBABAF7592A}">
            <xm:f>$D$7=parametros!$J$2</xm:f>
            <x14:dxf>
              <numFmt numFmtId="2" formatCode="0.00"/>
            </x14:dxf>
          </x14:cfRule>
          <x14:cfRule type="expression" priority="111" id="{8B058566-267F-4247-B585-507906E20C70}">
            <xm:f>$D$7=parametros!$J$3</xm:f>
            <x14:dxf>
              <numFmt numFmtId="14" formatCode="0.00%"/>
            </x14:dxf>
          </x14:cfRule>
          <x14:cfRule type="expression" priority="110" id="{DCFB06D6-69BE-4849-9C31-92BC52C5C64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AI18:AV19</xm:sqref>
        </x14:conditionalFormatting>
        <x14:conditionalFormatting xmlns:xm="http://schemas.microsoft.com/office/excel/2006/main">
          <x14:cfRule type="expression" priority="108" id="{52F14195-71DE-49FF-9121-7934757C0D64}">
            <xm:f>$D$7=parametros!$J$3</xm:f>
            <x14:dxf>
              <numFmt numFmtId="14" formatCode="0.00%"/>
            </x14:dxf>
          </x14:cfRule>
          <x14:cfRule type="expression" priority="107" id="{EDB395F0-1C37-4073-B3A7-52F6B28ED45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9" id="{0628D9D7-8E02-43B9-849B-54265CD2D139}">
            <xm:f>$D$7=parametros!$J$2</xm:f>
            <x14:dxf>
              <numFmt numFmtId="2" formatCode="0.00"/>
            </x14:dxf>
          </x14:cfRule>
          <xm:sqref>AI23:AV24</xm:sqref>
        </x14:conditionalFormatting>
        <x14:conditionalFormatting xmlns:xm="http://schemas.microsoft.com/office/excel/2006/main">
          <x14:cfRule type="expression" priority="106" id="{7C7297E0-CA4F-4C0D-8CC9-48F1DEC3F8C4}">
            <xm:f>$D$7=parametros!$J$2</xm:f>
            <x14:dxf>
              <numFmt numFmtId="2" formatCode="0.00"/>
            </x14:dxf>
          </x14:cfRule>
          <x14:cfRule type="expression" priority="105" id="{BD18AF50-2596-4514-A330-0466E7ABA8FE}">
            <xm:f>$D$7=parametros!$J$3</xm:f>
            <x14:dxf>
              <numFmt numFmtId="14" formatCode="0.00%"/>
            </x14:dxf>
          </x14:cfRule>
          <x14:cfRule type="expression" priority="104" id="{9A35F4C9-CD04-4566-A18F-2B62C618DC9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AI28:AV29</xm:sqref>
        </x14:conditionalFormatting>
        <x14:conditionalFormatting xmlns:xm="http://schemas.microsoft.com/office/excel/2006/main">
          <x14:cfRule type="expression" priority="103" id="{50BBC038-ECB3-4378-B7BD-76AD3FB0B157}">
            <xm:f>$D$7=parametros!$J$2</xm:f>
            <x14:dxf>
              <numFmt numFmtId="2" formatCode="0.00"/>
            </x14:dxf>
          </x14:cfRule>
          <x14:cfRule type="expression" priority="101" id="{966F5E1D-C1FF-457C-A8CB-3AA865754FA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2" id="{9E5F95C7-72A3-49F7-BCD0-5019A8CA569E}">
            <xm:f>$D$7=parametros!$J$3</xm:f>
            <x14:dxf>
              <numFmt numFmtId="14" formatCode="0.00%"/>
            </x14:dxf>
          </x14:cfRule>
          <xm:sqref>AI33:AV34</xm:sqref>
        </x14:conditionalFormatting>
        <x14:conditionalFormatting xmlns:xm="http://schemas.microsoft.com/office/excel/2006/main">
          <x14:cfRule type="expression" priority="100" id="{04FB6011-B6B8-49C2-9BF3-46A7CEFF35E5}">
            <xm:f>$D$7=parametros!$J$2</xm:f>
            <x14:dxf>
              <numFmt numFmtId="2" formatCode="0.00"/>
            </x14:dxf>
          </x14:cfRule>
          <x14:cfRule type="expression" priority="99" id="{F4596DD3-D0DC-4969-B3C9-F7509B661EB9}">
            <xm:f>$D$7=parametros!$J$3</xm:f>
            <x14:dxf>
              <numFmt numFmtId="14" formatCode="0.00%"/>
            </x14:dxf>
          </x14:cfRule>
          <x14:cfRule type="expression" priority="98" id="{D2370374-6F2A-4620-91FA-37AAF123D9F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AI38:AV39</xm:sqref>
        </x14:conditionalFormatting>
        <x14:conditionalFormatting xmlns:xm="http://schemas.microsoft.com/office/excel/2006/main">
          <x14:cfRule type="expression" priority="95" id="{169FC18F-B652-47FD-AAC6-0D71EA9FDC0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6" id="{48F11C6A-FE07-4119-86B9-18D79E9AFFDF}">
            <xm:f>$D$7=parametros!$J$3</xm:f>
            <x14:dxf>
              <numFmt numFmtId="14" formatCode="0.00%"/>
            </x14:dxf>
          </x14:cfRule>
          <x14:cfRule type="expression" priority="97" id="{348101C1-62D1-47C3-A774-99F740AE774E}">
            <xm:f>$D$7=parametros!$J$2</xm:f>
            <x14:dxf>
              <numFmt numFmtId="2" formatCode="0.00"/>
            </x14:dxf>
          </x14:cfRule>
          <xm:sqref>AI43:AV44</xm:sqref>
        </x14:conditionalFormatting>
        <x14:conditionalFormatting xmlns:xm="http://schemas.microsoft.com/office/excel/2006/main">
          <x14:cfRule type="expression" priority="80" id="{BB47DF2A-1FD6-4130-822B-C29B4DE36BEC}">
            <xm:f>$D$7=parametros!$J$2</xm:f>
            <x14:dxf>
              <numFmt numFmtId="2" formatCode="0.00"/>
            </x14:dxf>
          </x14:cfRule>
          <x14:cfRule type="expression" priority="79" id="{558855DF-38CD-4B0C-A29D-390CE5B0100D}">
            <xm:f>$D$7=parametros!$J$3</xm:f>
            <x14:dxf>
              <numFmt numFmtId="14" formatCode="0.00%"/>
            </x14:dxf>
          </x14:cfRule>
          <x14:cfRule type="expression" priority="78" id="{539AB68B-3B20-4D37-B427-929AFC3B093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AX8:BK9</xm:sqref>
        </x14:conditionalFormatting>
        <x14:conditionalFormatting xmlns:xm="http://schemas.microsoft.com/office/excel/2006/main">
          <x14:cfRule type="expression" priority="75" id="{E7C12CF9-918F-42CA-BE8A-4F0B62825D2F}">
            <xm:f>$D$7=parametros!$J$2</xm:f>
            <x14:dxf>
              <numFmt numFmtId="2" formatCode="0.00"/>
            </x14:dxf>
          </x14:cfRule>
          <x14:cfRule type="expression" priority="74" id="{205AA089-C5EA-4F6B-9BB8-E64740F3B7DC}">
            <xm:f>$D$7=parametros!$J$3</xm:f>
            <x14:dxf>
              <numFmt numFmtId="14" formatCode="0.00%"/>
            </x14:dxf>
          </x14:cfRule>
          <x14:cfRule type="expression" priority="73" id="{3B6D28D7-C8DE-4D75-B851-62B0A37AE79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AX13:BK14</xm:sqref>
        </x14:conditionalFormatting>
        <x14:conditionalFormatting xmlns:xm="http://schemas.microsoft.com/office/excel/2006/main">
          <x14:cfRule type="expression" priority="72" id="{079C3B9C-9537-4EE3-8D14-090AF73CACBA}">
            <xm:f>$D$7=parametros!$J$2</xm:f>
            <x14:dxf>
              <numFmt numFmtId="2" formatCode="0.00"/>
            </x14:dxf>
          </x14:cfRule>
          <x14:cfRule type="expression" priority="71" id="{741245C4-F18F-4CCD-85DB-92D4068B20EE}">
            <xm:f>$D$7=parametros!$J$3</xm:f>
            <x14:dxf>
              <numFmt numFmtId="14" formatCode="0.00%"/>
            </x14:dxf>
          </x14:cfRule>
          <x14:cfRule type="expression" priority="70" id="{372EA3FF-6632-4229-B570-2B01CDA2BAC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AX18:BK19</xm:sqref>
        </x14:conditionalFormatting>
        <x14:conditionalFormatting xmlns:xm="http://schemas.microsoft.com/office/excel/2006/main">
          <x14:cfRule type="expression" priority="69" id="{8448622E-D6B2-4DDA-A0EB-C3C62C00E3AE}">
            <xm:f>$D$7=parametros!$J$2</xm:f>
            <x14:dxf>
              <numFmt numFmtId="2" formatCode="0.00"/>
            </x14:dxf>
          </x14:cfRule>
          <x14:cfRule type="expression" priority="68" id="{436A3635-1A08-4E89-A38E-1FFA887F1C2B}">
            <xm:f>$D$7=parametros!$J$3</xm:f>
            <x14:dxf>
              <numFmt numFmtId="14" formatCode="0.00%"/>
            </x14:dxf>
          </x14:cfRule>
          <x14:cfRule type="expression" priority="67" id="{8A06C4AE-9E83-412F-87BC-669D59778E4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AX23:BK24</xm:sqref>
        </x14:conditionalFormatting>
        <x14:conditionalFormatting xmlns:xm="http://schemas.microsoft.com/office/excel/2006/main">
          <x14:cfRule type="expression" priority="64" id="{7515B963-348E-4257-8B92-369F40362CF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5" id="{318266CB-89A3-4C36-911A-5A122A6940F6}">
            <xm:f>$D$7=parametros!$J$3</xm:f>
            <x14:dxf>
              <numFmt numFmtId="14" formatCode="0.00%"/>
            </x14:dxf>
          </x14:cfRule>
          <x14:cfRule type="expression" priority="66" id="{8761F9F7-E929-4EB1-8F83-90C5712F59AC}">
            <xm:f>$D$7=parametros!$J$2</xm:f>
            <x14:dxf>
              <numFmt numFmtId="2" formatCode="0.00"/>
            </x14:dxf>
          </x14:cfRule>
          <xm:sqref>AX28:BK29</xm:sqref>
        </x14:conditionalFormatting>
        <x14:conditionalFormatting xmlns:xm="http://schemas.microsoft.com/office/excel/2006/main">
          <x14:cfRule type="expression" priority="63" id="{58CB3F4F-06E6-4E4C-B78F-7696A41CF3F4}">
            <xm:f>$D$7=parametros!$J$2</xm:f>
            <x14:dxf>
              <numFmt numFmtId="2" formatCode="0.00"/>
            </x14:dxf>
          </x14:cfRule>
          <x14:cfRule type="expression" priority="61" id="{E1B764EB-2945-40A2-B177-40B54F46358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2" id="{35F97DF0-C9C9-4E71-9218-0A1A6B922A0B}">
            <xm:f>$D$7=parametros!$J$3</xm:f>
            <x14:dxf>
              <numFmt numFmtId="14" formatCode="0.00%"/>
            </x14:dxf>
          </x14:cfRule>
          <xm:sqref>AX33:BK34</xm:sqref>
        </x14:conditionalFormatting>
        <x14:conditionalFormatting xmlns:xm="http://schemas.microsoft.com/office/excel/2006/main">
          <x14:cfRule type="expression" priority="60" id="{DBC0BBFA-7F4A-4937-8D45-9690C8D391C5}">
            <xm:f>$D$7=parametros!$J$2</xm:f>
            <x14:dxf>
              <numFmt numFmtId="2" formatCode="0.00"/>
            </x14:dxf>
          </x14:cfRule>
          <x14:cfRule type="expression" priority="59" id="{59780B68-84FB-44A4-AAFD-1943AC6E4219}">
            <xm:f>$D$7=parametros!$J$3</xm:f>
            <x14:dxf>
              <numFmt numFmtId="14" formatCode="0.00%"/>
            </x14:dxf>
          </x14:cfRule>
          <x14:cfRule type="expression" priority="58" id="{35B44C00-C21E-4599-9D66-74B0A35951B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AX38:BK39</xm:sqref>
        </x14:conditionalFormatting>
        <x14:conditionalFormatting xmlns:xm="http://schemas.microsoft.com/office/excel/2006/main">
          <x14:cfRule type="expression" priority="55" id="{69CB3A03-981B-464F-895F-42D12E381CC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7" id="{1CA94F41-527F-4772-8EB9-77099434DB05}">
            <xm:f>$D$7=parametros!$J$2</xm:f>
            <x14:dxf>
              <numFmt numFmtId="2" formatCode="0.00"/>
            </x14:dxf>
          </x14:cfRule>
          <x14:cfRule type="expression" priority="56" id="{28038589-F9C6-469D-9408-386577709B54}">
            <xm:f>$D$7=parametros!$J$3</xm:f>
            <x14:dxf>
              <numFmt numFmtId="14" formatCode="0.00%"/>
            </x14:dxf>
          </x14:cfRule>
          <xm:sqref>AX43:BK44</xm:sqref>
        </x14:conditionalFormatting>
        <x14:conditionalFormatting xmlns:xm="http://schemas.microsoft.com/office/excel/2006/main">
          <x14:cfRule type="expression" priority="40" id="{B87E601A-FCBE-4512-AAC3-54943E7C3D94}">
            <xm:f>$D$7=parametros!$J$2</xm:f>
            <x14:dxf>
              <numFmt numFmtId="2" formatCode="0.00"/>
            </x14:dxf>
          </x14:cfRule>
          <x14:cfRule type="expression" priority="39" id="{4BE868D7-C49C-4E61-B5D4-8E970359543F}">
            <xm:f>$D$7=parametros!$J$3</xm:f>
            <x14:dxf>
              <numFmt numFmtId="14" formatCode="0.00%"/>
            </x14:dxf>
          </x14:cfRule>
          <x14:cfRule type="expression" priority="38" id="{A33683DC-4464-4700-ADE9-C13B2647873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BM8:BZ9</xm:sqref>
        </x14:conditionalFormatting>
        <x14:conditionalFormatting xmlns:xm="http://schemas.microsoft.com/office/excel/2006/main">
          <x14:cfRule type="expression" priority="35" id="{3D8F2873-1B73-4F73-B430-73CB00919757}">
            <xm:f>$D$7=parametros!$J$2</xm:f>
            <x14:dxf>
              <numFmt numFmtId="2" formatCode="0.00"/>
            </x14:dxf>
          </x14:cfRule>
          <x14:cfRule type="expression" priority="34" id="{51AFAB9E-DEEC-4106-9C10-CF1DBD7F2A73}">
            <xm:f>$D$7=parametros!$J$3</xm:f>
            <x14:dxf>
              <numFmt numFmtId="14" formatCode="0.00%"/>
            </x14:dxf>
          </x14:cfRule>
          <x14:cfRule type="expression" priority="33" id="{CC80C880-9B6C-48B2-8DCF-9331345C6E4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BM13:BZ14</xm:sqref>
        </x14:conditionalFormatting>
        <x14:conditionalFormatting xmlns:xm="http://schemas.microsoft.com/office/excel/2006/main">
          <x14:cfRule type="expression" priority="32" id="{FD574C17-58DA-4B87-9A32-73156389A9DD}">
            <xm:f>$D$7=parametros!$J$2</xm:f>
            <x14:dxf>
              <numFmt numFmtId="2" formatCode="0.00"/>
            </x14:dxf>
          </x14:cfRule>
          <x14:cfRule type="expression" priority="31" id="{54F16F68-AE49-4894-927C-0ECB083A4B4E}">
            <xm:f>$D$7=parametros!$J$3</xm:f>
            <x14:dxf>
              <numFmt numFmtId="14" formatCode="0.00%"/>
            </x14:dxf>
          </x14:cfRule>
          <x14:cfRule type="expression" priority="30" id="{FE1D3023-84EA-483C-A9F8-0D017FC0FC8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BM18:BZ19</xm:sqref>
        </x14:conditionalFormatting>
        <x14:conditionalFormatting xmlns:xm="http://schemas.microsoft.com/office/excel/2006/main">
          <x14:cfRule type="expression" priority="29" id="{E184FFB6-2527-4650-A863-25E529D61A54}">
            <xm:f>$D$7=parametros!$J$2</xm:f>
            <x14:dxf>
              <numFmt numFmtId="2" formatCode="0.00"/>
            </x14:dxf>
          </x14:cfRule>
          <x14:cfRule type="expression" priority="28" id="{AA402954-4C61-437D-804D-34B452ADBE7B}">
            <xm:f>$D$7=parametros!$J$3</xm:f>
            <x14:dxf>
              <numFmt numFmtId="14" formatCode="0.00%"/>
            </x14:dxf>
          </x14:cfRule>
          <x14:cfRule type="expression" priority="27" id="{5510BD73-43DB-4D4D-95AD-B88D9E517E5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BM23:BZ24</xm:sqref>
        </x14:conditionalFormatting>
        <x14:conditionalFormatting xmlns:xm="http://schemas.microsoft.com/office/excel/2006/main">
          <x14:cfRule type="expression" priority="25" id="{980440EF-6486-4DB1-B74C-1062D0DEFFA5}">
            <xm:f>$D$7=parametros!$J$3</xm:f>
            <x14:dxf>
              <numFmt numFmtId="14" formatCode="0.00%"/>
            </x14:dxf>
          </x14:cfRule>
          <x14:cfRule type="expression" priority="24" id="{1FB730E2-C245-4186-9D56-6FCDF4FFBA7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26" id="{1796379E-21C4-4117-A5F2-05A72C7C0C34}">
            <xm:f>$D$7=parametros!$J$2</xm:f>
            <x14:dxf>
              <numFmt numFmtId="2" formatCode="0.00"/>
            </x14:dxf>
          </x14:cfRule>
          <xm:sqref>BM28:BZ29</xm:sqref>
        </x14:conditionalFormatting>
        <x14:conditionalFormatting xmlns:xm="http://schemas.microsoft.com/office/excel/2006/main">
          <x14:cfRule type="expression" priority="23" id="{E49483AF-E835-49A4-90DF-AA44C1954B9E}">
            <xm:f>$D$7=parametros!$J$2</xm:f>
            <x14:dxf>
              <numFmt numFmtId="2" formatCode="0.00"/>
            </x14:dxf>
          </x14:cfRule>
          <x14:cfRule type="expression" priority="22" id="{2E3D34D8-E288-4719-969D-0E6D51BF1AC7}">
            <xm:f>$D$7=parametros!$J$3</xm:f>
            <x14:dxf>
              <numFmt numFmtId="14" formatCode="0.00%"/>
            </x14:dxf>
          </x14:cfRule>
          <x14:cfRule type="expression" priority="21" id="{F6CF7CA4-47A2-4DC1-9A83-0CF97E305B4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BM33:BZ34</xm:sqref>
        </x14:conditionalFormatting>
        <x14:conditionalFormatting xmlns:xm="http://schemas.microsoft.com/office/excel/2006/main">
          <x14:cfRule type="expression" priority="20" id="{C801D5CC-C7AA-4EC2-B3F7-39C8F9A6E620}">
            <xm:f>$D$7=parametros!$J$2</xm:f>
            <x14:dxf>
              <numFmt numFmtId="2" formatCode="0.00"/>
            </x14:dxf>
          </x14:cfRule>
          <x14:cfRule type="expression" priority="19" id="{418A2314-FA28-4F35-80E4-6B717285D918}">
            <xm:f>$D$7=parametros!$J$3</xm:f>
            <x14:dxf>
              <numFmt numFmtId="14" formatCode="0.00%"/>
            </x14:dxf>
          </x14:cfRule>
          <x14:cfRule type="expression" priority="18" id="{11898AFF-486E-4E9D-B38F-2E4F0215D69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BM38:BZ39</xm:sqref>
        </x14:conditionalFormatting>
        <x14:conditionalFormatting xmlns:xm="http://schemas.microsoft.com/office/excel/2006/main">
          <x14:cfRule type="expression" priority="17" id="{B25B7229-6498-4161-B932-D1C1F7A1A4FF}">
            <xm:f>$D$7=parametros!$J$2</xm:f>
            <x14:dxf>
              <numFmt numFmtId="2" formatCode="0.00"/>
            </x14:dxf>
          </x14:cfRule>
          <x14:cfRule type="expression" priority="16" id="{09B1BB84-8623-4FF9-BD40-FF70239FFF86}">
            <xm:f>$D$7=parametros!$J$3</xm:f>
            <x14:dxf>
              <numFmt numFmtId="14" formatCode="0.00%"/>
            </x14:dxf>
          </x14:cfRule>
          <x14:cfRule type="expression" priority="15" id="{E5E023C8-3865-4E20-B66B-6329B26A011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BM43:BZ44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EA861B3-46D2-4481-96C4-166384AD6F9E}">
          <x14:formula1>
            <xm:f>parametros!$J$2:$J$4</xm:f>
          </x14:formula1>
          <xm:sqref>D7 D12 D17 D22 D27 D32 D37 D42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37E8-8015-49BE-890B-070CE8631622}">
  <dimension ref="A1:BZ122"/>
  <sheetViews>
    <sheetView showGridLines="0" zoomScale="107" zoomScaleNormal="107" workbookViewId="0">
      <selection activeCell="I8" sqref="I8:P9"/>
    </sheetView>
  </sheetViews>
  <sheetFormatPr defaultRowHeight="13.2" x14ac:dyDescent="0.4"/>
  <cols>
    <col min="1" max="2" width="2.21875" style="104" customWidth="1"/>
    <col min="3" max="3" width="16.6640625" style="7" customWidth="1"/>
    <col min="4" max="4" width="9.77734375" style="7" customWidth="1"/>
    <col min="5" max="18" width="12.77734375" style="7" customWidth="1"/>
    <col min="19" max="19" width="1.21875" style="7" customWidth="1"/>
    <col min="20" max="33" width="12.77734375" style="7" customWidth="1"/>
    <col min="34" max="34" width="1.21875" style="7" customWidth="1"/>
    <col min="35" max="48" width="12.77734375" style="7" customWidth="1"/>
    <col min="49" max="49" width="1.21875" style="7" customWidth="1"/>
    <col min="50" max="63" width="12.77734375" style="7" customWidth="1"/>
    <col min="64" max="64" width="1.21875" style="7" customWidth="1"/>
    <col min="65" max="78" width="12.77734375" style="7" customWidth="1"/>
    <col min="79" max="16384" width="8.88671875" style="7"/>
  </cols>
  <sheetData>
    <row r="1" spans="1:78" s="3" customFormat="1" ht="27.6" customHeight="1" x14ac:dyDescent="0.4">
      <c r="A1" s="234"/>
      <c r="B1" s="234"/>
      <c r="E1" s="4"/>
    </row>
    <row r="2" spans="1:78" s="5" customFormat="1" ht="21.6" customHeight="1" x14ac:dyDescent="0.4">
      <c r="A2" s="235"/>
      <c r="B2" s="235"/>
    </row>
    <row r="3" spans="1:78" ht="4.95" customHeight="1" x14ac:dyDescent="0.4"/>
    <row r="4" spans="1:78" ht="22.05" customHeight="1" x14ac:dyDescent="0.4">
      <c r="C4" s="76" t="s">
        <v>41</v>
      </c>
      <c r="D4" s="162" t="s">
        <v>33</v>
      </c>
      <c r="E4" s="15"/>
      <c r="F4" s="16"/>
    </row>
    <row r="5" spans="1:78" ht="4.95" customHeight="1" x14ac:dyDescent="0.4">
      <c r="D5" s="7">
        <v>1</v>
      </c>
      <c r="Q5" s="7" t="str">
        <f>_xlfn.CONCAT(Q7,D5)</f>
        <v>Parcial1</v>
      </c>
      <c r="R5" s="7" t="str">
        <f>_xlfn.CONCAT(R7,D5)</f>
        <v>Total1</v>
      </c>
      <c r="T5" s="7">
        <v>2</v>
      </c>
      <c r="AF5" s="7" t="str">
        <f>_xlfn.CONCAT(AF7,T5)</f>
        <v>Parcial2</v>
      </c>
      <c r="AG5" s="7" t="str">
        <f>_xlfn.CONCAT(AG7,T5)</f>
        <v>Total2</v>
      </c>
      <c r="AI5" s="7">
        <v>3</v>
      </c>
      <c r="AU5" s="7" t="str">
        <f>_xlfn.CONCAT(AU7,AI5)</f>
        <v>Parcial3</v>
      </c>
      <c r="AV5" s="7" t="str">
        <f>_xlfn.CONCAT(AV7,AI5)</f>
        <v>Total3</v>
      </c>
      <c r="AX5" s="7">
        <v>4</v>
      </c>
      <c r="BJ5" s="7" t="str">
        <f>_xlfn.CONCAT(BJ7,AX5)</f>
        <v>Parcial4</v>
      </c>
      <c r="BK5" s="7" t="str">
        <f>_xlfn.CONCAT(BK7,AX5)</f>
        <v>Total4</v>
      </c>
      <c r="BM5" s="7">
        <v>5</v>
      </c>
      <c r="BY5" s="7" t="str">
        <f>_xlfn.CONCAT(BY7,BM5)</f>
        <v>Parcial5</v>
      </c>
      <c r="BZ5" s="7" t="str">
        <f>_xlfn.CONCAT(BZ7,BM5)</f>
        <v>Total5</v>
      </c>
    </row>
    <row r="6" spans="1:78" ht="22.05" customHeight="1" x14ac:dyDescent="0.55000000000000004">
      <c r="D6" s="39" t="s">
        <v>64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T6" s="39" t="s">
        <v>72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I6" s="39" t="s">
        <v>73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X6" s="39" t="s">
        <v>74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M6" s="39" t="s">
        <v>75</v>
      </c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</row>
    <row r="7" spans="1:78" ht="22.05" customHeight="1" thickBot="1" x14ac:dyDescent="0.45">
      <c r="B7" s="104">
        <f>1</f>
        <v>1</v>
      </c>
      <c r="C7" s="33" t="s">
        <v>42</v>
      </c>
      <c r="D7" s="41" t="s">
        <v>45</v>
      </c>
      <c r="E7" s="34" t="s">
        <v>47</v>
      </c>
      <c r="F7" s="34" t="s">
        <v>48</v>
      </c>
      <c r="G7" s="34" t="s">
        <v>49</v>
      </c>
      <c r="H7" s="34" t="s">
        <v>50</v>
      </c>
      <c r="I7" s="34" t="s">
        <v>51</v>
      </c>
      <c r="J7" s="34" t="s">
        <v>52</v>
      </c>
      <c r="K7" s="34" t="s">
        <v>53</v>
      </c>
      <c r="L7" s="34" t="s">
        <v>54</v>
      </c>
      <c r="M7" s="34" t="s">
        <v>55</v>
      </c>
      <c r="N7" s="34" t="s">
        <v>56</v>
      </c>
      <c r="O7" s="34" t="s">
        <v>57</v>
      </c>
      <c r="P7" s="34" t="s">
        <v>58</v>
      </c>
      <c r="Q7" s="34" t="s">
        <v>59</v>
      </c>
      <c r="R7" s="35" t="s">
        <v>60</v>
      </c>
      <c r="T7" s="34" t="s">
        <v>47</v>
      </c>
      <c r="U7" s="34" t="s">
        <v>48</v>
      </c>
      <c r="V7" s="34" t="s">
        <v>49</v>
      </c>
      <c r="W7" s="34" t="s">
        <v>50</v>
      </c>
      <c r="X7" s="34" t="s">
        <v>51</v>
      </c>
      <c r="Y7" s="34" t="s">
        <v>52</v>
      </c>
      <c r="Z7" s="34" t="s">
        <v>53</v>
      </c>
      <c r="AA7" s="34" t="s">
        <v>54</v>
      </c>
      <c r="AB7" s="34" t="s">
        <v>55</v>
      </c>
      <c r="AC7" s="34" t="s">
        <v>56</v>
      </c>
      <c r="AD7" s="34" t="s">
        <v>57</v>
      </c>
      <c r="AE7" s="34" t="s">
        <v>58</v>
      </c>
      <c r="AF7" s="34" t="s">
        <v>59</v>
      </c>
      <c r="AG7" s="35" t="s">
        <v>60</v>
      </c>
      <c r="AI7" s="34" t="s">
        <v>47</v>
      </c>
      <c r="AJ7" s="34" t="s">
        <v>48</v>
      </c>
      <c r="AK7" s="34" t="s">
        <v>49</v>
      </c>
      <c r="AL7" s="34" t="s">
        <v>50</v>
      </c>
      <c r="AM7" s="34" t="s">
        <v>51</v>
      </c>
      <c r="AN7" s="34" t="s">
        <v>52</v>
      </c>
      <c r="AO7" s="34" t="s">
        <v>53</v>
      </c>
      <c r="AP7" s="34" t="s">
        <v>54</v>
      </c>
      <c r="AQ7" s="34" t="s">
        <v>55</v>
      </c>
      <c r="AR7" s="34" t="s">
        <v>56</v>
      </c>
      <c r="AS7" s="34" t="s">
        <v>57</v>
      </c>
      <c r="AT7" s="34" t="s">
        <v>58</v>
      </c>
      <c r="AU7" s="34" t="s">
        <v>59</v>
      </c>
      <c r="AV7" s="35" t="s">
        <v>60</v>
      </c>
      <c r="AX7" s="34" t="s">
        <v>47</v>
      </c>
      <c r="AY7" s="34" t="s">
        <v>48</v>
      </c>
      <c r="AZ7" s="34" t="s">
        <v>49</v>
      </c>
      <c r="BA7" s="34" t="s">
        <v>50</v>
      </c>
      <c r="BB7" s="34" t="s">
        <v>51</v>
      </c>
      <c r="BC7" s="34" t="s">
        <v>52</v>
      </c>
      <c r="BD7" s="34" t="s">
        <v>53</v>
      </c>
      <c r="BE7" s="34" t="s">
        <v>54</v>
      </c>
      <c r="BF7" s="34" t="s">
        <v>55</v>
      </c>
      <c r="BG7" s="34" t="s">
        <v>56</v>
      </c>
      <c r="BH7" s="34" t="s">
        <v>57</v>
      </c>
      <c r="BI7" s="34" t="s">
        <v>58</v>
      </c>
      <c r="BJ7" s="34" t="s">
        <v>59</v>
      </c>
      <c r="BK7" s="35" t="s">
        <v>60</v>
      </c>
      <c r="BM7" s="34" t="s">
        <v>47</v>
      </c>
      <c r="BN7" s="34" t="s">
        <v>48</v>
      </c>
      <c r="BO7" s="34" t="s">
        <v>49</v>
      </c>
      <c r="BP7" s="34" t="s">
        <v>50</v>
      </c>
      <c r="BQ7" s="34" t="s">
        <v>51</v>
      </c>
      <c r="BR7" s="34" t="s">
        <v>52</v>
      </c>
      <c r="BS7" s="34" t="s">
        <v>53</v>
      </c>
      <c r="BT7" s="34" t="s">
        <v>54</v>
      </c>
      <c r="BU7" s="34" t="s">
        <v>55</v>
      </c>
      <c r="BV7" s="34" t="s">
        <v>56</v>
      </c>
      <c r="BW7" s="34" t="s">
        <v>57</v>
      </c>
      <c r="BX7" s="34" t="s">
        <v>58</v>
      </c>
      <c r="BY7" s="34" t="s">
        <v>59</v>
      </c>
      <c r="BZ7" s="35" t="s">
        <v>60</v>
      </c>
    </row>
    <row r="8" spans="1:78" ht="22.05" customHeight="1" thickBot="1" x14ac:dyDescent="0.45">
      <c r="A8" s="104" t="str">
        <f>_xlfn.CONCAT(D8,B7)</f>
        <v>Planejado1</v>
      </c>
      <c r="C8" s="248" t="str">
        <f>C59</f>
        <v>Aumentar: Base de clientes recorentes</v>
      </c>
      <c r="D8" s="42" t="s">
        <v>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5">
        <f>SUMIF(E86:P86,"=1",E8:P8)</f>
        <v>0</v>
      </c>
      <c r="R8" s="46">
        <f>SUM(E8:P8)</f>
        <v>0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45">
        <f>SUMIF(T86:AE86,"=1",T8:AE8)</f>
        <v>0</v>
      </c>
      <c r="AG8" s="46">
        <f>SUM(T8:AE8)</f>
        <v>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4"/>
      <c r="AU8" s="45">
        <f>SUMIF(AI86:AT86,"=1",AI8:AT8)</f>
        <v>0</v>
      </c>
      <c r="AV8" s="46">
        <f>SUM(AI8:AT8)</f>
        <v>0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4"/>
      <c r="BJ8" s="45">
        <f>SUMIF(AX86:BI86,"=1",AX8:BI8)</f>
        <v>0</v>
      </c>
      <c r="BK8" s="46">
        <f>SUM(AX8:BI8)</f>
        <v>0</v>
      </c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5">
        <f>SUMIF(BM86:BX86,"=1",BM8:BX8)</f>
        <v>0</v>
      </c>
      <c r="BZ8" s="46">
        <f>SUM(BM8:BX8)</f>
        <v>0</v>
      </c>
    </row>
    <row r="9" spans="1:78" ht="22.05" customHeight="1" thickBot="1" x14ac:dyDescent="0.45">
      <c r="A9" s="104" t="str">
        <f>_xlfn.CONCAT(D9,B7)</f>
        <v>Realizado1</v>
      </c>
      <c r="C9" s="249"/>
      <c r="D9" s="47" t="s">
        <v>62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5">
        <f>SUMIF(E86:P86,"=1",E9:P9)</f>
        <v>0</v>
      </c>
      <c r="R9" s="46">
        <f>SUM(E9:P9)</f>
        <v>0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9"/>
      <c r="AF9" s="45">
        <f>SUMIF(T86:AE86,"=1",T9:AE9)</f>
        <v>0</v>
      </c>
      <c r="AG9" s="46">
        <f>SUM(T9:AE9)</f>
        <v>0</v>
      </c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9"/>
      <c r="AU9" s="45">
        <f>SUMIF(AI86:AT86,"=1",AI9:AT9)</f>
        <v>0</v>
      </c>
      <c r="AV9" s="46">
        <f>SUM(AI9:AT9)</f>
        <v>0</v>
      </c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9"/>
      <c r="BJ9" s="45">
        <f>SUMIF(AX86:BI86,"=1",AX9:BI9)</f>
        <v>0</v>
      </c>
      <c r="BK9" s="46">
        <f>SUM(AX9:BI9)</f>
        <v>0</v>
      </c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9"/>
      <c r="BY9" s="45">
        <f>SUMIF(BM86:BX86,"=1",BM9:BX9)</f>
        <v>0</v>
      </c>
      <c r="BZ9" s="46">
        <f>SUM(BM9:BX9)</f>
        <v>0</v>
      </c>
    </row>
    <row r="10" spans="1:78" ht="22.05" customHeight="1" thickBot="1" x14ac:dyDescent="0.45">
      <c r="C10" s="249"/>
      <c r="D10" s="50" t="s">
        <v>63</v>
      </c>
      <c r="E10" s="51" t="str">
        <f>IF(OR(ISERR(E9/E8-1),E9=""),"",IF($A59=parametros!$I$3,E8/E9-1,E9/E8-1))</f>
        <v/>
      </c>
      <c r="F10" s="51" t="str">
        <f>IF(OR(ISERR(F9/F8-1),F9=""),"",IF($A59=parametros!$I$3,F8/F9-1,F9/F8-1))</f>
        <v/>
      </c>
      <c r="G10" s="51" t="str">
        <f>IF(OR(ISERR(G9/G8-1),G9=""),"",IF($A59=parametros!$I$3,G8/G9-1,G9/G8-1))</f>
        <v/>
      </c>
      <c r="H10" s="51" t="str">
        <f>IF(OR(ISERR(H9/H8-1),H9=""),"",IF($A59=parametros!$I$3,H8/H9-1,H9/H8-1))</f>
        <v/>
      </c>
      <c r="I10" s="51" t="str">
        <f>IF(OR(ISERR(I9/I8-1),I9=""),"",IF($A59=parametros!$I$3,I8/I9-1,I9/I8-1))</f>
        <v/>
      </c>
      <c r="J10" s="51" t="str">
        <f>IF(OR(ISERR(J9/J8-1),J9=""),"",IF($A59=parametros!$I$3,J8/J9-1,J9/J8-1))</f>
        <v/>
      </c>
      <c r="K10" s="51" t="str">
        <f>IF(OR(ISERR(K9/K8-1),K9=""),"",IF($A59=parametros!$I$3,K8/K9-1,K9/K8-1))</f>
        <v/>
      </c>
      <c r="L10" s="51" t="str">
        <f>IF(OR(ISERR(L9/L8-1),L9=""),"",IF($A59=parametros!$I$3,L8/L9-1,L9/L8-1))</f>
        <v/>
      </c>
      <c r="M10" s="51" t="str">
        <f>IF(OR(ISERR(M9/M8-1),M9=""),"",IF($A59=parametros!$I$3,M8/M9-1,M9/M8-1))</f>
        <v/>
      </c>
      <c r="N10" s="51" t="str">
        <f>IF(OR(ISERR(N9/N8-1),N9=""),"",IF($A59=parametros!$I$3,N8/N9-1,N9/N8-1))</f>
        <v/>
      </c>
      <c r="O10" s="51" t="str">
        <f>IF(OR(ISERR(O9/O8-1),O9=""),"",IF($A59=parametros!$I$3,O8/O9-1,O9/O8-1))</f>
        <v/>
      </c>
      <c r="P10" s="51" t="str">
        <f>IF(OR(ISERR(P9/P8-1),P9=""),"",IF($A59=parametros!$I$3,P8/P9-1,P9/P8-1))</f>
        <v/>
      </c>
      <c r="Q10" s="51" t="str">
        <f>IF(OR(ISERR(Q9/Q8-1),Q9=""),"",IF($A59=parametros!$I$3,Q8/Q9-1,Q9/Q8-1))</f>
        <v/>
      </c>
      <c r="R10" s="51" t="str">
        <f>IF(OR(ISERR(R9/R8-1),R9=""),"",IF($A59=parametros!$I$3,R8/R9-1,R9/R8-1))</f>
        <v/>
      </c>
      <c r="T10" s="51" t="str">
        <f>IF(OR(ISERR(T9/T8-1),T9=""),"",IF($A59=parametros!$I$3,T8/T9-1,T9/T8-1))</f>
        <v/>
      </c>
      <c r="U10" s="51" t="str">
        <f>IF(OR(ISERR(U9/U8-1),U9=""),"",IF($A59=parametros!$I$3,U8/U9-1,U9/U8-1))</f>
        <v/>
      </c>
      <c r="V10" s="51" t="str">
        <f>IF(OR(ISERR(V9/V8-1),V9=""),"",IF($A59=parametros!$I$3,V8/V9-1,V9/V8-1))</f>
        <v/>
      </c>
      <c r="W10" s="51" t="str">
        <f>IF(OR(ISERR(W9/W8-1),W9=""),"",IF($A59=parametros!$I$3,W8/W9-1,W9/W8-1))</f>
        <v/>
      </c>
      <c r="X10" s="51" t="str">
        <f>IF(OR(ISERR(X9/X8-1),X9=""),"",IF($A59=parametros!$I$3,X8/X9-1,X9/X8-1))</f>
        <v/>
      </c>
      <c r="Y10" s="51" t="str">
        <f>IF(OR(ISERR(Y9/Y8-1),Y9=""),"",IF($A59=parametros!$I$3,Y8/Y9-1,Y9/Y8-1))</f>
        <v/>
      </c>
      <c r="Z10" s="51" t="str">
        <f>IF(OR(ISERR(Z9/Z8-1),Z9=""),"",IF($A59=parametros!$I$3,Z8/Z9-1,Z9/Z8-1))</f>
        <v/>
      </c>
      <c r="AA10" s="51" t="str">
        <f>IF(OR(ISERR(AA9/AA8-1),AA9=""),"",IF($A59=parametros!$I$3,AA8/AA9-1,AA9/AA8-1))</f>
        <v/>
      </c>
      <c r="AB10" s="51" t="str">
        <f>IF(OR(ISERR(AB9/AB8-1),AB9=""),"",IF($A59=parametros!$I$3,AB8/AB9-1,AB9/AB8-1))</f>
        <v/>
      </c>
      <c r="AC10" s="51" t="str">
        <f>IF(OR(ISERR(AC9/AC8-1),AC9=""),"",IF($A59=parametros!$I$3,AC8/AC9-1,AC9/AC8-1))</f>
        <v/>
      </c>
      <c r="AD10" s="51" t="str">
        <f>IF(OR(ISERR(AD9/AD8-1),AD9=""),"",IF($A59=parametros!$I$3,AD8/AD9-1,AD9/AD8-1))</f>
        <v/>
      </c>
      <c r="AE10" s="51" t="str">
        <f>IF(OR(ISERR(AE9/AE8-1),AE9=""),"",IF($A59=parametros!$I$3,AE8/AE9-1,AE9/AE8-1))</f>
        <v/>
      </c>
      <c r="AF10" s="51" t="str">
        <f>IF(OR(ISERR(AF9/AF8-1),AF9=""),"",IF($A59=parametros!$I$3,AF8/AF9-1,AF9/AF8-1))</f>
        <v/>
      </c>
      <c r="AG10" s="51" t="str">
        <f>IF(OR(ISERR(AG9/AG8-1),AG9=""),"",IF($A59=parametros!$I$3,AG8/AG9-1,AG9/AG8-1))</f>
        <v/>
      </c>
      <c r="AI10" s="51" t="str">
        <f>IF(OR(ISERR(AI9/AI8-1),AI9=""),"",IF($A59=parametros!$I$3,AI8/AI9-1,AI9/AI8-1))</f>
        <v/>
      </c>
      <c r="AJ10" s="51" t="str">
        <f>IF(OR(ISERR(AJ9/AJ8-1),AJ9=""),"",IF($A59=parametros!$I$3,AJ8/AJ9-1,AJ9/AJ8-1))</f>
        <v/>
      </c>
      <c r="AK10" s="51" t="str">
        <f>IF(OR(ISERR(AK9/AK8-1),AK9=""),"",IF($A59=parametros!$I$3,AK8/AK9-1,AK9/AK8-1))</f>
        <v/>
      </c>
      <c r="AL10" s="51" t="str">
        <f>IF(OR(ISERR(AL9/AL8-1),AL9=""),"",IF($A59=parametros!$I$3,AL8/AL9-1,AL9/AL8-1))</f>
        <v/>
      </c>
      <c r="AM10" s="51" t="str">
        <f>IF(OR(ISERR(AM9/AM8-1),AM9=""),"",IF($A59=parametros!$I$3,AM8/AM9-1,AM9/AM8-1))</f>
        <v/>
      </c>
      <c r="AN10" s="51" t="str">
        <f>IF(OR(ISERR(AN9/AN8-1),AN9=""),"",IF($A59=parametros!$I$3,AN8/AN9-1,AN9/AN8-1))</f>
        <v/>
      </c>
      <c r="AO10" s="51" t="str">
        <f>IF(OR(ISERR(AO9/AO8-1),AO9=""),"",IF($A59=parametros!$I$3,AO8/AO9-1,AO9/AO8-1))</f>
        <v/>
      </c>
      <c r="AP10" s="51" t="str">
        <f>IF(OR(ISERR(AP9/AP8-1),AP9=""),"",IF($A59=parametros!$I$3,AP8/AP9-1,AP9/AP8-1))</f>
        <v/>
      </c>
      <c r="AQ10" s="51" t="str">
        <f>IF(OR(ISERR(AQ9/AQ8-1),AQ9=""),"",IF($A59=parametros!$I$3,AQ8/AQ9-1,AQ9/AQ8-1))</f>
        <v/>
      </c>
      <c r="AR10" s="51" t="str">
        <f>IF(OR(ISERR(AR9/AR8-1),AR9=""),"",IF($A59=parametros!$I$3,AR8/AR9-1,AR9/AR8-1))</f>
        <v/>
      </c>
      <c r="AS10" s="51" t="str">
        <f>IF(OR(ISERR(AS9/AS8-1),AS9=""),"",IF($A59=parametros!$I$3,AS8/AS9-1,AS9/AS8-1))</f>
        <v/>
      </c>
      <c r="AT10" s="51" t="str">
        <f>IF(OR(ISERR(AT9/AT8-1),AT9=""),"",IF($A59=parametros!$I$3,AT8/AT9-1,AT9/AT8-1))</f>
        <v/>
      </c>
      <c r="AU10" s="51" t="str">
        <f>IF(OR(ISERR(AU9/AU8-1),AU9=""),"",IF($A59=parametros!$I$3,AU8/AU9-1,AU9/AU8-1))</f>
        <v/>
      </c>
      <c r="AV10" s="51" t="str">
        <f>IF(OR(ISERR(AV9/AV8-1),AV9=""),"",IF($A59=parametros!$I$3,AV8/AV9-1,AV9/AV8-1))</f>
        <v/>
      </c>
      <c r="AX10" s="51" t="str">
        <f>IF(OR(ISERR(AX9/AX8-1),AX9=""),"",IF($A59=parametros!$I$3,AX8/AX9-1,AX9/AX8-1))</f>
        <v/>
      </c>
      <c r="AY10" s="51" t="str">
        <f>IF(OR(ISERR(AY9/AY8-1),AY9=""),"",IF($A59=parametros!$I$3,AY8/AY9-1,AY9/AY8-1))</f>
        <v/>
      </c>
      <c r="AZ10" s="51" t="str">
        <f>IF(OR(ISERR(AZ9/AZ8-1),AZ9=""),"",IF($A59=parametros!$I$3,AZ8/AZ9-1,AZ9/AZ8-1))</f>
        <v/>
      </c>
      <c r="BA10" s="51" t="str">
        <f>IF(OR(ISERR(BA9/BA8-1),BA9=""),"",IF($A59=parametros!$I$3,BA8/BA9-1,BA9/BA8-1))</f>
        <v/>
      </c>
      <c r="BB10" s="51" t="str">
        <f>IF(OR(ISERR(BB9/BB8-1),BB9=""),"",IF($A59=parametros!$I$3,BB8/BB9-1,BB9/BB8-1))</f>
        <v/>
      </c>
      <c r="BC10" s="51" t="str">
        <f>IF(OR(ISERR(BC9/BC8-1),BC9=""),"",IF($A59=parametros!$I$3,BC8/BC9-1,BC9/BC8-1))</f>
        <v/>
      </c>
      <c r="BD10" s="51" t="str">
        <f>IF(OR(ISERR(BD9/BD8-1),BD9=""),"",IF($A59=parametros!$I$3,BD8/BD9-1,BD9/BD8-1))</f>
        <v/>
      </c>
      <c r="BE10" s="51" t="str">
        <f>IF(OR(ISERR(BE9/BE8-1),BE9=""),"",IF($A59=parametros!$I$3,BE8/BE9-1,BE9/BE8-1))</f>
        <v/>
      </c>
      <c r="BF10" s="51" t="str">
        <f>IF(OR(ISERR(BF9/BF8-1),BF9=""),"",IF($A59=parametros!$I$3,BF8/BF9-1,BF9/BF8-1))</f>
        <v/>
      </c>
      <c r="BG10" s="51" t="str">
        <f>IF(OR(ISERR(BG9/BG8-1),BG9=""),"",IF($A59=parametros!$I$3,BG8/BG9-1,BG9/BG8-1))</f>
        <v/>
      </c>
      <c r="BH10" s="51" t="str">
        <f>IF(OR(ISERR(BH9/BH8-1),BH9=""),"",IF($A59=parametros!$I$3,BH8/BH9-1,BH9/BH8-1))</f>
        <v/>
      </c>
      <c r="BI10" s="51" t="str">
        <f>IF(OR(ISERR(BI9/BI8-1),BI9=""),"",IF($A59=parametros!$I$3,BI8/BI9-1,BI9/BI8-1))</f>
        <v/>
      </c>
      <c r="BJ10" s="51" t="str">
        <f>IF(OR(ISERR(BJ9/BJ8-1),BJ9=""),"",IF($A59=parametros!$I$3,BJ8/BJ9-1,BJ9/BJ8-1))</f>
        <v/>
      </c>
      <c r="BK10" s="51" t="str">
        <f>IF(OR(ISERR(BK9/BK8-1),BK9=""),"",IF($A59=parametros!$I$3,BK8/BK9-1,BK9/BK8-1))</f>
        <v/>
      </c>
      <c r="BM10" s="51" t="str">
        <f>IF(OR(ISERR(BM9/BM8-1),BM9=""),"",IF($A59=parametros!$I$3,BM8/BM9-1,BM9/BM8-1))</f>
        <v/>
      </c>
      <c r="BN10" s="51" t="str">
        <f>IF(OR(ISERR(BN9/BN8-1),BN9=""),"",IF($A59=parametros!$I$3,BN8/BN9-1,BN9/BN8-1))</f>
        <v/>
      </c>
      <c r="BO10" s="51" t="str">
        <f>IF(OR(ISERR(BO9/BO8-1),BO9=""),"",IF($A59=parametros!$I$3,BO8/BO9-1,BO9/BO8-1))</f>
        <v/>
      </c>
      <c r="BP10" s="51" t="str">
        <f>IF(OR(ISERR(BP9/BP8-1),BP9=""),"",IF($A59=parametros!$I$3,BP8/BP9-1,BP9/BP8-1))</f>
        <v/>
      </c>
      <c r="BQ10" s="51" t="str">
        <f>IF(OR(ISERR(BQ9/BQ8-1),BQ9=""),"",IF($A59=parametros!$I$3,BQ8/BQ9-1,BQ9/BQ8-1))</f>
        <v/>
      </c>
      <c r="BR10" s="51" t="str">
        <f>IF(OR(ISERR(BR9/BR8-1),BR9=""),"",IF($A59=parametros!$I$3,BR8/BR9-1,BR9/BR8-1))</f>
        <v/>
      </c>
      <c r="BS10" s="51" t="str">
        <f>IF(OR(ISERR(BS9/BS8-1),BS9=""),"",IF($A59=parametros!$I$3,BS8/BS9-1,BS9/BS8-1))</f>
        <v/>
      </c>
      <c r="BT10" s="51" t="str">
        <f>IF(OR(ISERR(BT9/BT8-1),BT9=""),"",IF($A59=parametros!$I$3,BT8/BT9-1,BT9/BT8-1))</f>
        <v/>
      </c>
      <c r="BU10" s="51" t="str">
        <f>IF(OR(ISERR(BU9/BU8-1),BU9=""),"",IF($A59=parametros!$I$3,BU8/BU9-1,BU9/BU8-1))</f>
        <v/>
      </c>
      <c r="BV10" s="51" t="str">
        <f>IF(OR(ISERR(BV9/BV8-1),BV9=""),"",IF($A59=parametros!$I$3,BV8/BV9-1,BV9/BV8-1))</f>
        <v/>
      </c>
      <c r="BW10" s="51" t="str">
        <f>IF(OR(ISERR(BW9/BW8-1),BW9=""),"",IF($A59=parametros!$I$3,BW8/BW9-1,BW9/BW8-1))</f>
        <v/>
      </c>
      <c r="BX10" s="51" t="str">
        <f>IF(OR(ISERR(BX9/BX8-1),BX9=""),"",IF($A59=parametros!$I$3,BX8/BX9-1,BX9/BX8-1))</f>
        <v/>
      </c>
      <c r="BY10" s="51" t="str">
        <f>IF(OR(ISERR(BY9/BY8-1),BY9=""),"",IF($A59=parametros!$I$3,BY8/BY9-1,BY9/BY8-1))</f>
        <v/>
      </c>
      <c r="BZ10" s="51" t="str">
        <f>IF(OR(ISERR(BZ9/BZ8-1),BZ9=""),"",IF($A59=parametros!$I$3,BZ8/BZ9-1,BZ9/BZ8-1))</f>
        <v/>
      </c>
    </row>
    <row r="11" spans="1:78" ht="4.95" customHeight="1" x14ac:dyDescent="0.4"/>
    <row r="12" spans="1:78" ht="22.05" customHeight="1" thickBot="1" x14ac:dyDescent="0.45">
      <c r="B12" s="104">
        <f>2</f>
        <v>2</v>
      </c>
      <c r="C12" s="33" t="s">
        <v>65</v>
      </c>
      <c r="D12" s="41" t="s">
        <v>44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  <c r="L12" s="34" t="s">
        <v>54</v>
      </c>
      <c r="M12" s="34" t="s">
        <v>55</v>
      </c>
      <c r="N12" s="34" t="s">
        <v>56</v>
      </c>
      <c r="O12" s="34" t="s">
        <v>57</v>
      </c>
      <c r="P12" s="34" t="s">
        <v>58</v>
      </c>
      <c r="Q12" s="34" t="s">
        <v>59</v>
      </c>
      <c r="R12" s="35" t="s">
        <v>60</v>
      </c>
      <c r="T12" s="34" t="s">
        <v>47</v>
      </c>
      <c r="U12" s="34" t="s">
        <v>48</v>
      </c>
      <c r="V12" s="34" t="s">
        <v>49</v>
      </c>
      <c r="W12" s="34" t="s">
        <v>50</v>
      </c>
      <c r="X12" s="34" t="s">
        <v>51</v>
      </c>
      <c r="Y12" s="34" t="s">
        <v>52</v>
      </c>
      <c r="Z12" s="34" t="s">
        <v>53</v>
      </c>
      <c r="AA12" s="34" t="s">
        <v>54</v>
      </c>
      <c r="AB12" s="34" t="s">
        <v>55</v>
      </c>
      <c r="AC12" s="34" t="s">
        <v>56</v>
      </c>
      <c r="AD12" s="34" t="s">
        <v>57</v>
      </c>
      <c r="AE12" s="34" t="s">
        <v>58</v>
      </c>
      <c r="AF12" s="34" t="s">
        <v>59</v>
      </c>
      <c r="AG12" s="35" t="s">
        <v>60</v>
      </c>
      <c r="AI12" s="34" t="s">
        <v>47</v>
      </c>
      <c r="AJ12" s="34" t="s">
        <v>48</v>
      </c>
      <c r="AK12" s="34" t="s">
        <v>49</v>
      </c>
      <c r="AL12" s="34" t="s">
        <v>50</v>
      </c>
      <c r="AM12" s="34" t="s">
        <v>51</v>
      </c>
      <c r="AN12" s="34" t="s">
        <v>52</v>
      </c>
      <c r="AO12" s="34" t="s">
        <v>53</v>
      </c>
      <c r="AP12" s="34" t="s">
        <v>54</v>
      </c>
      <c r="AQ12" s="34" t="s">
        <v>55</v>
      </c>
      <c r="AR12" s="34" t="s">
        <v>56</v>
      </c>
      <c r="AS12" s="34" t="s">
        <v>57</v>
      </c>
      <c r="AT12" s="34" t="s">
        <v>58</v>
      </c>
      <c r="AU12" s="34" t="s">
        <v>59</v>
      </c>
      <c r="AV12" s="35" t="s">
        <v>60</v>
      </c>
      <c r="AX12" s="34" t="s">
        <v>47</v>
      </c>
      <c r="AY12" s="34" t="s">
        <v>48</v>
      </c>
      <c r="AZ12" s="34" t="s">
        <v>49</v>
      </c>
      <c r="BA12" s="34" t="s">
        <v>50</v>
      </c>
      <c r="BB12" s="34" t="s">
        <v>51</v>
      </c>
      <c r="BC12" s="34" t="s">
        <v>52</v>
      </c>
      <c r="BD12" s="34" t="s">
        <v>53</v>
      </c>
      <c r="BE12" s="34" t="s">
        <v>54</v>
      </c>
      <c r="BF12" s="34" t="s">
        <v>55</v>
      </c>
      <c r="BG12" s="34" t="s">
        <v>56</v>
      </c>
      <c r="BH12" s="34" t="s">
        <v>57</v>
      </c>
      <c r="BI12" s="34" t="s">
        <v>58</v>
      </c>
      <c r="BJ12" s="34" t="s">
        <v>59</v>
      </c>
      <c r="BK12" s="35" t="s">
        <v>60</v>
      </c>
      <c r="BM12" s="34" t="s">
        <v>47</v>
      </c>
      <c r="BN12" s="34" t="s">
        <v>48</v>
      </c>
      <c r="BO12" s="34" t="s">
        <v>49</v>
      </c>
      <c r="BP12" s="34" t="s">
        <v>50</v>
      </c>
      <c r="BQ12" s="34" t="s">
        <v>51</v>
      </c>
      <c r="BR12" s="34" t="s">
        <v>52</v>
      </c>
      <c r="BS12" s="34" t="s">
        <v>53</v>
      </c>
      <c r="BT12" s="34" t="s">
        <v>54</v>
      </c>
      <c r="BU12" s="34" t="s">
        <v>55</v>
      </c>
      <c r="BV12" s="34" t="s">
        <v>56</v>
      </c>
      <c r="BW12" s="34" t="s">
        <v>57</v>
      </c>
      <c r="BX12" s="34" t="s">
        <v>58</v>
      </c>
      <c r="BY12" s="34" t="s">
        <v>59</v>
      </c>
      <c r="BZ12" s="35" t="s">
        <v>60</v>
      </c>
    </row>
    <row r="13" spans="1:78" ht="22.05" customHeight="1" thickBot="1" x14ac:dyDescent="0.45">
      <c r="A13" s="104" t="str">
        <f>_xlfn.CONCAT(D13,B12)</f>
        <v>Planejado2</v>
      </c>
      <c r="C13" s="248" t="str">
        <f>C60</f>
        <v>Aumentar: Taxa de recompra (Fidelidade)</v>
      </c>
      <c r="D13" s="37" t="s">
        <v>61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/>
      <c r="Q13" s="45">
        <f>SUMIF(E88:P88,"=1",E13:P13)</f>
        <v>0</v>
      </c>
      <c r="R13" s="46">
        <f>SUM(E13:P13)</f>
        <v>0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/>
      <c r="AF13" s="45">
        <f>SUMIF(T88:AE88,"=1",T13:AE13)</f>
        <v>0</v>
      </c>
      <c r="AG13" s="46">
        <f>SUM(T13:AE13)</f>
        <v>0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4"/>
      <c r="AU13" s="45">
        <f>SUMIF(AI88:AT88,"=1",AI13:AT13)</f>
        <v>0</v>
      </c>
      <c r="AV13" s="46">
        <f>SUM(AI13:AT13)</f>
        <v>0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4"/>
      <c r="BJ13" s="45">
        <f>SUMIF(AX88:BI88,"=1",AX13:BI13)</f>
        <v>0</v>
      </c>
      <c r="BK13" s="46">
        <f>SUM(AX13:BI13)</f>
        <v>0</v>
      </c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4"/>
      <c r="BY13" s="45">
        <f>SUMIF(BM88:BX88,"=1",BM13:BX13)</f>
        <v>0</v>
      </c>
      <c r="BZ13" s="46">
        <f>SUM(BM13:BX13)</f>
        <v>0</v>
      </c>
    </row>
    <row r="14" spans="1:78" ht="22.05" customHeight="1" thickBot="1" x14ac:dyDescent="0.45">
      <c r="A14" s="104" t="str">
        <f>_xlfn.CONCAT(D14,B12)</f>
        <v>Realizado2</v>
      </c>
      <c r="C14" s="249"/>
      <c r="D14" s="38" t="s">
        <v>62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5">
        <f>SUMIF(E88:P88,"=1",E14:P14)</f>
        <v>0</v>
      </c>
      <c r="R14" s="46">
        <f>SUM(E14:P14)</f>
        <v>0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5">
        <f>SUMIF(T88:AE88,"=1",T14:AE14)</f>
        <v>0</v>
      </c>
      <c r="AG14" s="46">
        <f>SUM(T14:AE14)</f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  <c r="AU14" s="45">
        <f>SUMIF(AI88:AT88,"=1",AI14:AT14)</f>
        <v>0</v>
      </c>
      <c r="AV14" s="46">
        <f>SUM(AI14:AT14)</f>
        <v>0</v>
      </c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9"/>
      <c r="BJ14" s="45">
        <f>SUMIF(AX88:BI88,"=1",AX14:BI14)</f>
        <v>0</v>
      </c>
      <c r="BK14" s="46">
        <f>SUM(AX14:BI14)</f>
        <v>0</v>
      </c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9"/>
      <c r="BY14" s="45">
        <f>SUMIF(BM88:BX88,"=1",BM14:BX14)</f>
        <v>0</v>
      </c>
      <c r="BZ14" s="46">
        <f>SUM(BM14:BX14)</f>
        <v>0</v>
      </c>
    </row>
    <row r="15" spans="1:78" ht="22.05" customHeight="1" thickBot="1" x14ac:dyDescent="0.45">
      <c r="C15" s="249"/>
      <c r="D15" s="36" t="s">
        <v>63</v>
      </c>
      <c r="E15" s="51" t="str">
        <f>IF(OR(ISERR(E14/E13-1),E14=""),"",IF($A64=parametros!$I$3,E13/E14-1,E14/E13-1))</f>
        <v/>
      </c>
      <c r="F15" s="51" t="str">
        <f>IF(OR(ISERR(F14/F13-1),F14=""),"",IF($A64=parametros!$I$3,F13/F14-1,F14/F13-1))</f>
        <v/>
      </c>
      <c r="G15" s="51" t="str">
        <f>IF(OR(ISERR(G14/G13-1),G14=""),"",IF($A64=parametros!$I$3,G13/G14-1,G14/G13-1))</f>
        <v/>
      </c>
      <c r="H15" s="51" t="str">
        <f>IF(OR(ISERR(H14/H13-1),H14=""),"",IF($A64=parametros!$I$3,H13/H14-1,H14/H13-1))</f>
        <v/>
      </c>
      <c r="I15" s="51" t="str">
        <f>IF(OR(ISERR(I14/I13-1),I14=""),"",IF($A64=parametros!$I$3,I13/I14-1,I14/I13-1))</f>
        <v/>
      </c>
      <c r="J15" s="51" t="str">
        <f>IF(OR(ISERR(J14/J13-1),J14=""),"",IF($A64=parametros!$I$3,J13/J14-1,J14/J13-1))</f>
        <v/>
      </c>
      <c r="K15" s="51" t="str">
        <f>IF(OR(ISERR(K14/K13-1),K14=""),"",IF($A64=parametros!$I$3,K13/K14-1,K14/K13-1))</f>
        <v/>
      </c>
      <c r="L15" s="51" t="str">
        <f>IF(OR(ISERR(L14/L13-1),L14=""),"",IF($A64=parametros!$I$3,L13/L14-1,L14/L13-1))</f>
        <v/>
      </c>
      <c r="M15" s="51" t="str">
        <f>IF(OR(ISERR(M14/M13-1),M14=""),"",IF($A64=parametros!$I$3,M13/M14-1,M14/M13-1))</f>
        <v/>
      </c>
      <c r="N15" s="51" t="str">
        <f>IF(OR(ISERR(N14/N13-1),N14=""),"",IF($A64=parametros!$I$3,N13/N14-1,N14/N13-1))</f>
        <v/>
      </c>
      <c r="O15" s="51" t="str">
        <f>IF(OR(ISERR(O14/O13-1),O14=""),"",IF($A64=parametros!$I$3,O13/O14-1,O14/O13-1))</f>
        <v/>
      </c>
      <c r="P15" s="51" t="str">
        <f>IF(OR(ISERR(P14/P13-1),P14=""),"",IF($A64=parametros!$I$3,P13/P14-1,P14/P13-1))</f>
        <v/>
      </c>
      <c r="Q15" s="51" t="str">
        <f>IF(OR(ISERR(Q14/Q13-1),Q14=""),"",IF($A64=parametros!$I$3,Q13/Q14-1,Q14/Q13-1))</f>
        <v/>
      </c>
      <c r="R15" s="51" t="str">
        <f>IF(OR(ISERR(R14/R13-1),R14=""),"",IF($A64=parametros!$I$3,R13/R14-1,R14/R13-1))</f>
        <v/>
      </c>
      <c r="T15" s="51" t="str">
        <f>IF(OR(ISERR(T14/T13-1),T14=""),"",IF($A64=parametros!$I$3,T13/T14-1,T14/T13-1))</f>
        <v/>
      </c>
      <c r="U15" s="51" t="str">
        <f>IF(OR(ISERR(U14/U13-1),U14=""),"",IF($A64=parametros!$I$3,U13/U14-1,U14/U13-1))</f>
        <v/>
      </c>
      <c r="V15" s="51" t="str">
        <f>IF(OR(ISERR(V14/V13-1),V14=""),"",IF($A64=parametros!$I$3,V13/V14-1,V14/V13-1))</f>
        <v/>
      </c>
      <c r="W15" s="51" t="str">
        <f>IF(OR(ISERR(W14/W13-1),W14=""),"",IF($A64=parametros!$I$3,W13/W14-1,W14/W13-1))</f>
        <v/>
      </c>
      <c r="X15" s="51" t="str">
        <f>IF(OR(ISERR(X14/X13-1),X14=""),"",IF($A64=parametros!$I$3,X13/X14-1,X14/X13-1))</f>
        <v/>
      </c>
      <c r="Y15" s="51" t="str">
        <f>IF(OR(ISERR(Y14/Y13-1),Y14=""),"",IF($A64=parametros!$I$3,Y13/Y14-1,Y14/Y13-1))</f>
        <v/>
      </c>
      <c r="Z15" s="51" t="str">
        <f>IF(OR(ISERR(Z14/Z13-1),Z14=""),"",IF($A64=parametros!$I$3,Z13/Z14-1,Z14/Z13-1))</f>
        <v/>
      </c>
      <c r="AA15" s="51" t="str">
        <f>IF(OR(ISERR(AA14/AA13-1),AA14=""),"",IF($A64=parametros!$I$3,AA13/AA14-1,AA14/AA13-1))</f>
        <v/>
      </c>
      <c r="AB15" s="51" t="str">
        <f>IF(OR(ISERR(AB14/AB13-1),AB14=""),"",IF($A64=parametros!$I$3,AB13/AB14-1,AB14/AB13-1))</f>
        <v/>
      </c>
      <c r="AC15" s="51" t="str">
        <f>IF(OR(ISERR(AC14/AC13-1),AC14=""),"",IF($A64=parametros!$I$3,AC13/AC14-1,AC14/AC13-1))</f>
        <v/>
      </c>
      <c r="AD15" s="51" t="str">
        <f>IF(OR(ISERR(AD14/AD13-1),AD14=""),"",IF($A64=parametros!$I$3,AD13/AD14-1,AD14/AD13-1))</f>
        <v/>
      </c>
      <c r="AE15" s="51" t="str">
        <f>IF(OR(ISERR(AE14/AE13-1),AE14=""),"",IF($A64=parametros!$I$3,AE13/AE14-1,AE14/AE13-1))</f>
        <v/>
      </c>
      <c r="AF15" s="51" t="str">
        <f>IF(OR(ISERR(AF14/AF13-1),AF14=""),"",IF($A64=parametros!$I$3,AF13/AF14-1,AF14/AF13-1))</f>
        <v/>
      </c>
      <c r="AG15" s="51" t="str">
        <f>IF(OR(ISERR(AG14/AG13-1),AG14=""),"",IF($A64=parametros!$I$3,AG13/AG14-1,AG14/AG13-1))</f>
        <v/>
      </c>
      <c r="AI15" s="51" t="str">
        <f>IF(OR(ISERR(AI14/AI13-1),AI14=""),"",IF($A64=parametros!$I$3,AI13/AI14-1,AI14/AI13-1))</f>
        <v/>
      </c>
      <c r="AJ15" s="51" t="str">
        <f>IF(OR(ISERR(AJ14/AJ13-1),AJ14=""),"",IF($A64=parametros!$I$3,AJ13/AJ14-1,AJ14/AJ13-1))</f>
        <v/>
      </c>
      <c r="AK15" s="51" t="str">
        <f>IF(OR(ISERR(AK14/AK13-1),AK14=""),"",IF($A64=parametros!$I$3,AK13/AK14-1,AK14/AK13-1))</f>
        <v/>
      </c>
      <c r="AL15" s="51" t="str">
        <f>IF(OR(ISERR(AL14/AL13-1),AL14=""),"",IF($A64=parametros!$I$3,AL13/AL14-1,AL14/AL13-1))</f>
        <v/>
      </c>
      <c r="AM15" s="51" t="str">
        <f>IF(OR(ISERR(AM14/AM13-1),AM14=""),"",IF($A64=parametros!$I$3,AM13/AM14-1,AM14/AM13-1))</f>
        <v/>
      </c>
      <c r="AN15" s="51" t="str">
        <f>IF(OR(ISERR(AN14/AN13-1),AN14=""),"",IF($A64=parametros!$I$3,AN13/AN14-1,AN14/AN13-1))</f>
        <v/>
      </c>
      <c r="AO15" s="51" t="str">
        <f>IF(OR(ISERR(AO14/AO13-1),AO14=""),"",IF($A64=parametros!$I$3,AO13/AO14-1,AO14/AO13-1))</f>
        <v/>
      </c>
      <c r="AP15" s="51" t="str">
        <f>IF(OR(ISERR(AP14/AP13-1),AP14=""),"",IF($A64=parametros!$I$3,AP13/AP14-1,AP14/AP13-1))</f>
        <v/>
      </c>
      <c r="AQ15" s="51" t="str">
        <f>IF(OR(ISERR(AQ14/AQ13-1),AQ14=""),"",IF($A64=parametros!$I$3,AQ13/AQ14-1,AQ14/AQ13-1))</f>
        <v/>
      </c>
      <c r="AR15" s="51" t="str">
        <f>IF(OR(ISERR(AR14/AR13-1),AR14=""),"",IF($A64=parametros!$I$3,AR13/AR14-1,AR14/AR13-1))</f>
        <v/>
      </c>
      <c r="AS15" s="51" t="str">
        <f>IF(OR(ISERR(AS14/AS13-1),AS14=""),"",IF($A64=parametros!$I$3,AS13/AS14-1,AS14/AS13-1))</f>
        <v/>
      </c>
      <c r="AT15" s="51" t="str">
        <f>IF(OR(ISERR(AT14/AT13-1),AT14=""),"",IF($A64=parametros!$I$3,AT13/AT14-1,AT14/AT13-1))</f>
        <v/>
      </c>
      <c r="AU15" s="51" t="str">
        <f>IF(OR(ISERR(AU14/AU13-1),AU14=""),"",IF($A64=parametros!$I$3,AU13/AU14-1,AU14/AU13-1))</f>
        <v/>
      </c>
      <c r="AV15" s="51" t="str">
        <f>IF(OR(ISERR(AV14/AV13-1),AV14=""),"",IF($A64=parametros!$I$3,AV13/AV14-1,AV14/AV13-1))</f>
        <v/>
      </c>
      <c r="AX15" s="51" t="str">
        <f>IF(OR(ISERR(AX14/AX13-1),AX14=""),"",IF($A64=parametros!$I$3,AX13/AX14-1,AX14/AX13-1))</f>
        <v/>
      </c>
      <c r="AY15" s="51" t="str">
        <f>IF(OR(ISERR(AY14/AY13-1),AY14=""),"",IF($A64=parametros!$I$3,AY13/AY14-1,AY14/AY13-1))</f>
        <v/>
      </c>
      <c r="AZ15" s="51" t="str">
        <f>IF(OR(ISERR(AZ14/AZ13-1),AZ14=""),"",IF($A64=parametros!$I$3,AZ13/AZ14-1,AZ14/AZ13-1))</f>
        <v/>
      </c>
      <c r="BA15" s="51" t="str">
        <f>IF(OR(ISERR(BA14/BA13-1),BA14=""),"",IF($A64=parametros!$I$3,BA13/BA14-1,BA14/BA13-1))</f>
        <v/>
      </c>
      <c r="BB15" s="51" t="str">
        <f>IF(OR(ISERR(BB14/BB13-1),BB14=""),"",IF($A64=parametros!$I$3,BB13/BB14-1,BB14/BB13-1))</f>
        <v/>
      </c>
      <c r="BC15" s="51" t="str">
        <f>IF(OR(ISERR(BC14/BC13-1),BC14=""),"",IF($A64=parametros!$I$3,BC13/BC14-1,BC14/BC13-1))</f>
        <v/>
      </c>
      <c r="BD15" s="51" t="str">
        <f>IF(OR(ISERR(BD14/BD13-1),BD14=""),"",IF($A64=parametros!$I$3,BD13/BD14-1,BD14/BD13-1))</f>
        <v/>
      </c>
      <c r="BE15" s="51" t="str">
        <f>IF(OR(ISERR(BE14/BE13-1),BE14=""),"",IF($A64=parametros!$I$3,BE13/BE14-1,BE14/BE13-1))</f>
        <v/>
      </c>
      <c r="BF15" s="51" t="str">
        <f>IF(OR(ISERR(BF14/BF13-1),BF14=""),"",IF($A64=parametros!$I$3,BF13/BF14-1,BF14/BF13-1))</f>
        <v/>
      </c>
      <c r="BG15" s="51" t="str">
        <f>IF(OR(ISERR(BG14/BG13-1),BG14=""),"",IF($A64=parametros!$I$3,BG13/BG14-1,BG14/BG13-1))</f>
        <v/>
      </c>
      <c r="BH15" s="51" t="str">
        <f>IF(OR(ISERR(BH14/BH13-1),BH14=""),"",IF($A64=parametros!$I$3,BH13/BH14-1,BH14/BH13-1))</f>
        <v/>
      </c>
      <c r="BI15" s="51" t="str">
        <f>IF(OR(ISERR(BI14/BI13-1),BI14=""),"",IF($A64=parametros!$I$3,BI13/BI14-1,BI14/BI13-1))</f>
        <v/>
      </c>
      <c r="BJ15" s="51" t="str">
        <f>IF(OR(ISERR(BJ14/BJ13-1),BJ14=""),"",IF($A64=parametros!$I$3,BJ13/BJ14-1,BJ14/BJ13-1))</f>
        <v/>
      </c>
      <c r="BK15" s="51" t="str">
        <f>IF(OR(ISERR(BK14/BK13-1),BK14=""),"",IF($A64=parametros!$I$3,BK13/BK14-1,BK14/BK13-1))</f>
        <v/>
      </c>
      <c r="BM15" s="51" t="str">
        <f>IF(OR(ISERR(BM14/BM13-1),BM14=""),"",IF($A64=parametros!$I$3,BM13/BM14-1,BM14/BM13-1))</f>
        <v/>
      </c>
      <c r="BN15" s="51" t="str">
        <f>IF(OR(ISERR(BN14/BN13-1),BN14=""),"",IF($A64=parametros!$I$3,BN13/BN14-1,BN14/BN13-1))</f>
        <v/>
      </c>
      <c r="BO15" s="51" t="str">
        <f>IF(OR(ISERR(BO14/BO13-1),BO14=""),"",IF($A64=parametros!$I$3,BO13/BO14-1,BO14/BO13-1))</f>
        <v/>
      </c>
      <c r="BP15" s="51" t="str">
        <f>IF(OR(ISERR(BP14/BP13-1),BP14=""),"",IF($A64=parametros!$I$3,BP13/BP14-1,BP14/BP13-1))</f>
        <v/>
      </c>
      <c r="BQ15" s="51" t="str">
        <f>IF(OR(ISERR(BQ14/BQ13-1),BQ14=""),"",IF($A64=parametros!$I$3,BQ13/BQ14-1,BQ14/BQ13-1))</f>
        <v/>
      </c>
      <c r="BR15" s="51" t="str">
        <f>IF(OR(ISERR(BR14/BR13-1),BR14=""),"",IF($A64=parametros!$I$3,BR13/BR14-1,BR14/BR13-1))</f>
        <v/>
      </c>
      <c r="BS15" s="51" t="str">
        <f>IF(OR(ISERR(BS14/BS13-1),BS14=""),"",IF($A64=parametros!$I$3,BS13/BS14-1,BS14/BS13-1))</f>
        <v/>
      </c>
      <c r="BT15" s="51" t="str">
        <f>IF(OR(ISERR(BT14/BT13-1),BT14=""),"",IF($A64=parametros!$I$3,BT13/BT14-1,BT14/BT13-1))</f>
        <v/>
      </c>
      <c r="BU15" s="51" t="str">
        <f>IF(OR(ISERR(BU14/BU13-1),BU14=""),"",IF($A64=parametros!$I$3,BU13/BU14-1,BU14/BU13-1))</f>
        <v/>
      </c>
      <c r="BV15" s="51" t="str">
        <f>IF(OR(ISERR(BV14/BV13-1),BV14=""),"",IF($A64=parametros!$I$3,BV13/BV14-1,BV14/BV13-1))</f>
        <v/>
      </c>
      <c r="BW15" s="51" t="str">
        <f>IF(OR(ISERR(BW14/BW13-1),BW14=""),"",IF($A64=parametros!$I$3,BW13/BW14-1,BW14/BW13-1))</f>
        <v/>
      </c>
      <c r="BX15" s="51" t="str">
        <f>IF(OR(ISERR(BX14/BX13-1),BX14=""),"",IF($A64=parametros!$I$3,BX13/BX14-1,BX14/BX13-1))</f>
        <v/>
      </c>
      <c r="BY15" s="51" t="str">
        <f>IF(OR(ISERR(BY14/BY13-1),BY14=""),"",IF($A64=parametros!$I$3,BY13/BY14-1,BY14/BY13-1))</f>
        <v/>
      </c>
      <c r="BZ15" s="51" t="str">
        <f>IF(OR(ISERR(BZ14/BZ13-1),BZ14=""),"",IF($A64=parametros!$I$3,BZ13/BZ14-1,BZ14/BZ13-1))</f>
        <v/>
      </c>
    </row>
    <row r="16" spans="1:78" ht="4.95" customHeight="1" x14ac:dyDescent="0.4"/>
    <row r="17" spans="1:78" ht="22.05" customHeight="1" thickBot="1" x14ac:dyDescent="0.45">
      <c r="B17" s="104">
        <f>3</f>
        <v>3</v>
      </c>
      <c r="C17" s="33" t="s">
        <v>66</v>
      </c>
      <c r="D17" s="41" t="s">
        <v>44</v>
      </c>
      <c r="E17" s="34" t="s">
        <v>47</v>
      </c>
      <c r="F17" s="34" t="s">
        <v>48</v>
      </c>
      <c r="G17" s="34" t="s">
        <v>49</v>
      </c>
      <c r="H17" s="34" t="s">
        <v>50</v>
      </c>
      <c r="I17" s="34" t="s">
        <v>51</v>
      </c>
      <c r="J17" s="34" t="s">
        <v>52</v>
      </c>
      <c r="K17" s="34" t="s">
        <v>53</v>
      </c>
      <c r="L17" s="34" t="s">
        <v>54</v>
      </c>
      <c r="M17" s="34" t="s">
        <v>55</v>
      </c>
      <c r="N17" s="34" t="s">
        <v>56</v>
      </c>
      <c r="O17" s="34" t="s">
        <v>57</v>
      </c>
      <c r="P17" s="34" t="s">
        <v>58</v>
      </c>
      <c r="Q17" s="34" t="s">
        <v>59</v>
      </c>
      <c r="R17" s="35" t="s">
        <v>60</v>
      </c>
      <c r="T17" s="34" t="s">
        <v>47</v>
      </c>
      <c r="U17" s="34" t="s">
        <v>48</v>
      </c>
      <c r="V17" s="34" t="s">
        <v>49</v>
      </c>
      <c r="W17" s="34" t="s">
        <v>50</v>
      </c>
      <c r="X17" s="34" t="s">
        <v>51</v>
      </c>
      <c r="Y17" s="34" t="s">
        <v>52</v>
      </c>
      <c r="Z17" s="34" t="s">
        <v>53</v>
      </c>
      <c r="AA17" s="34" t="s">
        <v>54</v>
      </c>
      <c r="AB17" s="34" t="s">
        <v>55</v>
      </c>
      <c r="AC17" s="34" t="s">
        <v>56</v>
      </c>
      <c r="AD17" s="34" t="s">
        <v>57</v>
      </c>
      <c r="AE17" s="34" t="s">
        <v>58</v>
      </c>
      <c r="AF17" s="34" t="s">
        <v>59</v>
      </c>
      <c r="AG17" s="35" t="s">
        <v>60</v>
      </c>
      <c r="AI17" s="34" t="s">
        <v>47</v>
      </c>
      <c r="AJ17" s="34" t="s">
        <v>48</v>
      </c>
      <c r="AK17" s="34" t="s">
        <v>49</v>
      </c>
      <c r="AL17" s="34" t="s">
        <v>50</v>
      </c>
      <c r="AM17" s="34" t="s">
        <v>51</v>
      </c>
      <c r="AN17" s="34" t="s">
        <v>52</v>
      </c>
      <c r="AO17" s="34" t="s">
        <v>53</v>
      </c>
      <c r="AP17" s="34" t="s">
        <v>54</v>
      </c>
      <c r="AQ17" s="34" t="s">
        <v>55</v>
      </c>
      <c r="AR17" s="34" t="s">
        <v>56</v>
      </c>
      <c r="AS17" s="34" t="s">
        <v>57</v>
      </c>
      <c r="AT17" s="34" t="s">
        <v>58</v>
      </c>
      <c r="AU17" s="34" t="s">
        <v>59</v>
      </c>
      <c r="AV17" s="35" t="s">
        <v>60</v>
      </c>
      <c r="AX17" s="34" t="s">
        <v>47</v>
      </c>
      <c r="AY17" s="34" t="s">
        <v>48</v>
      </c>
      <c r="AZ17" s="34" t="s">
        <v>49</v>
      </c>
      <c r="BA17" s="34" t="s">
        <v>50</v>
      </c>
      <c r="BB17" s="34" t="s">
        <v>51</v>
      </c>
      <c r="BC17" s="34" t="s">
        <v>52</v>
      </c>
      <c r="BD17" s="34" t="s">
        <v>53</v>
      </c>
      <c r="BE17" s="34" t="s">
        <v>54</v>
      </c>
      <c r="BF17" s="34" t="s">
        <v>55</v>
      </c>
      <c r="BG17" s="34" t="s">
        <v>56</v>
      </c>
      <c r="BH17" s="34" t="s">
        <v>57</v>
      </c>
      <c r="BI17" s="34" t="s">
        <v>58</v>
      </c>
      <c r="BJ17" s="34" t="s">
        <v>59</v>
      </c>
      <c r="BK17" s="35" t="s">
        <v>60</v>
      </c>
      <c r="BM17" s="34" t="s">
        <v>47</v>
      </c>
      <c r="BN17" s="34" t="s">
        <v>48</v>
      </c>
      <c r="BO17" s="34" t="s">
        <v>49</v>
      </c>
      <c r="BP17" s="34" t="s">
        <v>50</v>
      </c>
      <c r="BQ17" s="34" t="s">
        <v>51</v>
      </c>
      <c r="BR17" s="34" t="s">
        <v>52</v>
      </c>
      <c r="BS17" s="34" t="s">
        <v>53</v>
      </c>
      <c r="BT17" s="34" t="s">
        <v>54</v>
      </c>
      <c r="BU17" s="34" t="s">
        <v>55</v>
      </c>
      <c r="BV17" s="34" t="s">
        <v>56</v>
      </c>
      <c r="BW17" s="34" t="s">
        <v>57</v>
      </c>
      <c r="BX17" s="34" t="s">
        <v>58</v>
      </c>
      <c r="BY17" s="34" t="s">
        <v>59</v>
      </c>
      <c r="BZ17" s="35" t="s">
        <v>60</v>
      </c>
    </row>
    <row r="18" spans="1:78" ht="22.05" customHeight="1" thickBot="1" x14ac:dyDescent="0.45">
      <c r="A18" s="104" t="str">
        <f>_xlfn.CONCAT(D18,B17)</f>
        <v>Planejado3</v>
      </c>
      <c r="C18" s="248" t="str">
        <f>C61</f>
        <v>Aumentar: Agendamentos pelo instagram e whatsapp</v>
      </c>
      <c r="D18" s="37" t="s">
        <v>61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5">
        <f>SUMIF(E90:P90,"=1",E18:P18)</f>
        <v>0</v>
      </c>
      <c r="R18" s="46">
        <f>SUM(E18:P18)</f>
        <v>0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4"/>
      <c r="AF18" s="45">
        <f>SUMIF(T90:AE90,"=1",T18:AE18)</f>
        <v>0</v>
      </c>
      <c r="AG18" s="46">
        <f>SUM(T18:AE18)</f>
        <v>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4"/>
      <c r="AU18" s="45">
        <f>SUMIF(AI90:AT90,"=1",AI18:AT18)</f>
        <v>0</v>
      </c>
      <c r="AV18" s="46">
        <f>SUM(AI18:AT18)</f>
        <v>0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4"/>
      <c r="BJ18" s="45">
        <f>SUMIF(AX90:BI90,"=1",AX18:BI18)</f>
        <v>0</v>
      </c>
      <c r="BK18" s="46">
        <f>SUM(AX18:BI18)</f>
        <v>0</v>
      </c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4"/>
      <c r="BY18" s="45">
        <f>SUMIF(BM90:BX90,"=1",BM18:BX18)</f>
        <v>0</v>
      </c>
      <c r="BZ18" s="46">
        <f>SUM(BM18:BX18)</f>
        <v>0</v>
      </c>
    </row>
    <row r="19" spans="1:78" ht="22.05" customHeight="1" thickBot="1" x14ac:dyDescent="0.45">
      <c r="A19" s="104" t="str">
        <f>_xlfn.CONCAT(D19,B17)</f>
        <v>Realizado3</v>
      </c>
      <c r="C19" s="249"/>
      <c r="D19" s="38" t="s">
        <v>62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5">
        <f>SUMIF(E90:P90,"=1",E19:P19)</f>
        <v>0</v>
      </c>
      <c r="R19" s="46">
        <f>SUM(E19:P19)</f>
        <v>0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9"/>
      <c r="AF19" s="45">
        <f>SUMIF(T90:AE90,"=1",T19:AE19)</f>
        <v>0</v>
      </c>
      <c r="AG19" s="46">
        <f>SUM(T19:AE19)</f>
        <v>0</v>
      </c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  <c r="AU19" s="45">
        <f>SUMIF(AI90:AT90,"=1",AI19:AT19)</f>
        <v>0</v>
      </c>
      <c r="AV19" s="46">
        <f>SUM(AI19:AT19)</f>
        <v>0</v>
      </c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9"/>
      <c r="BJ19" s="45">
        <f>SUMIF(AX90:BI90,"=1",AX19:BI19)</f>
        <v>0</v>
      </c>
      <c r="BK19" s="46">
        <f>SUM(AX19:BI19)</f>
        <v>0</v>
      </c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9"/>
      <c r="BY19" s="45">
        <f>SUMIF(BM90:BX90,"=1",BM19:BX19)</f>
        <v>0</v>
      </c>
      <c r="BZ19" s="46">
        <f>SUM(BM19:BX19)</f>
        <v>0</v>
      </c>
    </row>
    <row r="20" spans="1:78" ht="22.05" customHeight="1" thickBot="1" x14ac:dyDescent="0.45">
      <c r="C20" s="249"/>
      <c r="D20" s="36" t="s">
        <v>63</v>
      </c>
      <c r="E20" s="51" t="str">
        <f>IF(OR(ISERR(E19/E18-1),E19=""),"",IF($B69=parametros!$I$3,E18/E19-1,E19/E18-1))</f>
        <v/>
      </c>
      <c r="F20" s="51" t="str">
        <f>IF(OR(ISERR(F19/F18-1),F19=""),"",IF($B69=parametros!$I$3,F18/F19-1,F19/F18-1))</f>
        <v/>
      </c>
      <c r="G20" s="51" t="str">
        <f>IF(OR(ISERR(G19/G18-1),G19=""),"",IF($B69=parametros!$I$3,G18/G19-1,G19/G18-1))</f>
        <v/>
      </c>
      <c r="H20" s="51" t="str">
        <f>IF(OR(ISERR(H19/H18-1),H19=""),"",IF($B69=parametros!$I$3,H18/H19-1,H19/H18-1))</f>
        <v/>
      </c>
      <c r="I20" s="51" t="str">
        <f>IF(OR(ISERR(I19/I18-1),I19=""),"",IF($B69=parametros!$I$3,I18/I19-1,I19/I18-1))</f>
        <v/>
      </c>
      <c r="J20" s="51" t="str">
        <f>IF(OR(ISERR(J19/J18-1),J19=""),"",IF($B69=parametros!$I$3,J18/J19-1,J19/J18-1))</f>
        <v/>
      </c>
      <c r="K20" s="51" t="str">
        <f>IF(OR(ISERR(K19/K18-1),K19=""),"",IF($B69=parametros!$I$3,K18/K19-1,K19/K18-1))</f>
        <v/>
      </c>
      <c r="L20" s="51" t="str">
        <f>IF(OR(ISERR(L19/L18-1),L19=""),"",IF($B69=parametros!$I$3,L18/L19-1,L19/L18-1))</f>
        <v/>
      </c>
      <c r="M20" s="51" t="str">
        <f>IF(OR(ISERR(M19/M18-1),M19=""),"",IF($B69=parametros!$I$3,M18/M19-1,M19/M18-1))</f>
        <v/>
      </c>
      <c r="N20" s="51" t="str">
        <f>IF(OR(ISERR(N19/N18-1),N19=""),"",IF($B69=parametros!$I$3,N18/N19-1,N19/N18-1))</f>
        <v/>
      </c>
      <c r="O20" s="51" t="str">
        <f>IF(OR(ISERR(O19/O18-1),O19=""),"",IF($B69=parametros!$I$3,O18/O19-1,O19/O18-1))</f>
        <v/>
      </c>
      <c r="P20" s="51" t="str">
        <f>IF(OR(ISERR(P19/P18-1),P19=""),"",IF($B69=parametros!$I$3,P18/P19-1,P19/P18-1))</f>
        <v/>
      </c>
      <c r="Q20" s="51" t="str">
        <f>IF(OR(ISERR(Q19/Q18-1),Q19=""),"",IF($B69=parametros!$I$3,Q18/Q19-1,Q19/Q18-1))</f>
        <v/>
      </c>
      <c r="R20" s="51" t="str">
        <f>IF(OR(ISERR(R19/R18-1),R19=""),"",IF($B69=parametros!$I$3,R18/R19-1,R19/R18-1))</f>
        <v/>
      </c>
      <c r="T20" s="51" t="str">
        <f>IF(OR(ISERR(T19/T18-1),T19=""),"",IF($B69=parametros!$I$3,T18/T19-1,T19/T18-1))</f>
        <v/>
      </c>
      <c r="U20" s="51" t="str">
        <f>IF(OR(ISERR(U19/U18-1),U19=""),"",IF($B69=parametros!$I$3,U18/U19-1,U19/U18-1))</f>
        <v/>
      </c>
      <c r="V20" s="51" t="str">
        <f>IF(OR(ISERR(V19/V18-1),V19=""),"",IF($B69=parametros!$I$3,V18/V19-1,V19/V18-1))</f>
        <v/>
      </c>
      <c r="W20" s="51" t="str">
        <f>IF(OR(ISERR(W19/W18-1),W19=""),"",IF($B69=parametros!$I$3,W18/W19-1,W19/W18-1))</f>
        <v/>
      </c>
      <c r="X20" s="51" t="str">
        <f>IF(OR(ISERR(X19/X18-1),X19=""),"",IF($B69=parametros!$I$3,X18/X19-1,X19/X18-1))</f>
        <v/>
      </c>
      <c r="Y20" s="51" t="str">
        <f>IF(OR(ISERR(Y19/Y18-1),Y19=""),"",IF($B69=parametros!$I$3,Y18/Y19-1,Y19/Y18-1))</f>
        <v/>
      </c>
      <c r="Z20" s="51" t="str">
        <f>IF(OR(ISERR(Z19/Z18-1),Z19=""),"",IF($B69=parametros!$I$3,Z18/Z19-1,Z19/Z18-1))</f>
        <v/>
      </c>
      <c r="AA20" s="51" t="str">
        <f>IF(OR(ISERR(AA19/AA18-1),AA19=""),"",IF($B69=parametros!$I$3,AA18/AA19-1,AA19/AA18-1))</f>
        <v/>
      </c>
      <c r="AB20" s="51" t="str">
        <f>IF(OR(ISERR(AB19/AB18-1),AB19=""),"",IF($B69=parametros!$I$3,AB18/AB19-1,AB19/AB18-1))</f>
        <v/>
      </c>
      <c r="AC20" s="51" t="str">
        <f>IF(OR(ISERR(AC19/AC18-1),AC19=""),"",IF($B69=parametros!$I$3,AC18/AC19-1,AC19/AC18-1))</f>
        <v/>
      </c>
      <c r="AD20" s="51" t="str">
        <f>IF(OR(ISERR(AD19/AD18-1),AD19=""),"",IF($B69=parametros!$I$3,AD18/AD19-1,AD19/AD18-1))</f>
        <v/>
      </c>
      <c r="AE20" s="51" t="str">
        <f>IF(OR(ISERR(AE19/AE18-1),AE19=""),"",IF($B69=parametros!$I$3,AE18/AE19-1,AE19/AE18-1))</f>
        <v/>
      </c>
      <c r="AF20" s="51" t="str">
        <f>IF(OR(ISERR(AF19/AF18-1),AF19=""),"",IF($B69=parametros!$I$3,AF18/AF19-1,AF19/AF18-1))</f>
        <v/>
      </c>
      <c r="AG20" s="51" t="str">
        <f>IF(OR(ISERR(AG19/AG18-1),AG19=""),"",IF($B69=parametros!$I$3,AG18/AG19-1,AG19/AG18-1))</f>
        <v/>
      </c>
      <c r="AI20" s="51" t="str">
        <f>IF(OR(ISERR(AI19/AI18-1),AI19=""),"",IF($B69=parametros!$I$3,AI18/AI19-1,AI19/AI18-1))</f>
        <v/>
      </c>
      <c r="AJ20" s="51" t="str">
        <f>IF(OR(ISERR(AJ19/AJ18-1),AJ19=""),"",IF($B69=parametros!$I$3,AJ18/AJ19-1,AJ19/AJ18-1))</f>
        <v/>
      </c>
      <c r="AK20" s="51" t="str">
        <f>IF(OR(ISERR(AK19/AK18-1),AK19=""),"",IF($B69=parametros!$I$3,AK18/AK19-1,AK19/AK18-1))</f>
        <v/>
      </c>
      <c r="AL20" s="51" t="str">
        <f>IF(OR(ISERR(AL19/AL18-1),AL19=""),"",IF($B69=parametros!$I$3,AL18/AL19-1,AL19/AL18-1))</f>
        <v/>
      </c>
      <c r="AM20" s="51" t="str">
        <f>IF(OR(ISERR(AM19/AM18-1),AM19=""),"",IF($B69=parametros!$I$3,AM18/AM19-1,AM19/AM18-1))</f>
        <v/>
      </c>
      <c r="AN20" s="51" t="str">
        <f>IF(OR(ISERR(AN19/AN18-1),AN19=""),"",IF($B69=parametros!$I$3,AN18/AN19-1,AN19/AN18-1))</f>
        <v/>
      </c>
      <c r="AO20" s="51" t="str">
        <f>IF(OR(ISERR(AO19/AO18-1),AO19=""),"",IF($B69=parametros!$I$3,AO18/AO19-1,AO19/AO18-1))</f>
        <v/>
      </c>
      <c r="AP20" s="51" t="str">
        <f>IF(OR(ISERR(AP19/AP18-1),AP19=""),"",IF($B69=parametros!$I$3,AP18/AP19-1,AP19/AP18-1))</f>
        <v/>
      </c>
      <c r="AQ20" s="51" t="str">
        <f>IF(OR(ISERR(AQ19/AQ18-1),AQ19=""),"",IF($B69=parametros!$I$3,AQ18/AQ19-1,AQ19/AQ18-1))</f>
        <v/>
      </c>
      <c r="AR20" s="51" t="str">
        <f>IF(OR(ISERR(AR19/AR18-1),AR19=""),"",IF($B69=parametros!$I$3,AR18/AR19-1,AR19/AR18-1))</f>
        <v/>
      </c>
      <c r="AS20" s="51" t="str">
        <f>IF(OR(ISERR(AS19/AS18-1),AS19=""),"",IF($B69=parametros!$I$3,AS18/AS19-1,AS19/AS18-1))</f>
        <v/>
      </c>
      <c r="AT20" s="51" t="str">
        <f>IF(OR(ISERR(AT19/AT18-1),AT19=""),"",IF($B69=parametros!$I$3,AT18/AT19-1,AT19/AT18-1))</f>
        <v/>
      </c>
      <c r="AU20" s="51" t="str">
        <f>IF(OR(ISERR(AU19/AU18-1),AU19=""),"",IF($B69=parametros!$I$3,AU18/AU19-1,AU19/AU18-1))</f>
        <v/>
      </c>
      <c r="AV20" s="51" t="str">
        <f>IF(OR(ISERR(AV19/AV18-1),AV19=""),"",IF($B69=parametros!$I$3,AV18/AV19-1,AV19/AV18-1))</f>
        <v/>
      </c>
      <c r="AX20" s="51" t="str">
        <f>IF(OR(ISERR(AX19/AX18-1),AX19=""),"",IF($B69=parametros!$I$3,AX18/AX19-1,AX19/AX18-1))</f>
        <v/>
      </c>
      <c r="AY20" s="51" t="str">
        <f>IF(OR(ISERR(AY19/AY18-1),AY19=""),"",IF($B69=parametros!$I$3,AY18/AY19-1,AY19/AY18-1))</f>
        <v/>
      </c>
      <c r="AZ20" s="51" t="str">
        <f>IF(OR(ISERR(AZ19/AZ18-1),AZ19=""),"",IF($B69=parametros!$I$3,AZ18/AZ19-1,AZ19/AZ18-1))</f>
        <v/>
      </c>
      <c r="BA20" s="51" t="str">
        <f>IF(OR(ISERR(BA19/BA18-1),BA19=""),"",IF($B69=parametros!$I$3,BA18/BA19-1,BA19/BA18-1))</f>
        <v/>
      </c>
      <c r="BB20" s="51" t="str">
        <f>IF(OR(ISERR(BB19/BB18-1),BB19=""),"",IF($B69=parametros!$I$3,BB18/BB19-1,BB19/BB18-1))</f>
        <v/>
      </c>
      <c r="BC20" s="51" t="str">
        <f>IF(OR(ISERR(BC19/BC18-1),BC19=""),"",IF($B69=parametros!$I$3,BC18/BC19-1,BC19/BC18-1))</f>
        <v/>
      </c>
      <c r="BD20" s="51" t="str">
        <f>IF(OR(ISERR(BD19/BD18-1),BD19=""),"",IF($B69=parametros!$I$3,BD18/BD19-1,BD19/BD18-1))</f>
        <v/>
      </c>
      <c r="BE20" s="51" t="str">
        <f>IF(OR(ISERR(BE19/BE18-1),BE19=""),"",IF($B69=parametros!$I$3,BE18/BE19-1,BE19/BE18-1))</f>
        <v/>
      </c>
      <c r="BF20" s="51" t="str">
        <f>IF(OR(ISERR(BF19/BF18-1),BF19=""),"",IF($B69=parametros!$I$3,BF18/BF19-1,BF19/BF18-1))</f>
        <v/>
      </c>
      <c r="BG20" s="51" t="str">
        <f>IF(OR(ISERR(BG19/BG18-1),BG19=""),"",IF($B69=parametros!$I$3,BG18/BG19-1,BG19/BG18-1))</f>
        <v/>
      </c>
      <c r="BH20" s="51" t="str">
        <f>IF(OR(ISERR(BH19/BH18-1),BH19=""),"",IF($B69=parametros!$I$3,BH18/BH19-1,BH19/BH18-1))</f>
        <v/>
      </c>
      <c r="BI20" s="51" t="str">
        <f>IF(OR(ISERR(BI19/BI18-1),BI19=""),"",IF($B69=parametros!$I$3,BI18/BI19-1,BI19/BI18-1))</f>
        <v/>
      </c>
      <c r="BJ20" s="51" t="str">
        <f>IF(OR(ISERR(BJ19/BJ18-1),BJ19=""),"",IF($B69=parametros!$I$3,BJ18/BJ19-1,BJ19/BJ18-1))</f>
        <v/>
      </c>
      <c r="BK20" s="51" t="str">
        <f>IF(OR(ISERR(BK19/BK18-1),BK19=""),"",IF($B69=parametros!$I$3,BK18/BK19-1,BK19/BK18-1))</f>
        <v/>
      </c>
      <c r="BM20" s="51" t="str">
        <f>IF(OR(ISERR(BM19/BM18-1),BM19=""),"",IF($B69=parametros!$I$3,BM18/BM19-1,BM19/BM18-1))</f>
        <v/>
      </c>
      <c r="BN20" s="51" t="str">
        <f>IF(OR(ISERR(BN19/BN18-1),BN19=""),"",IF($B69=parametros!$I$3,BN18/BN19-1,BN19/BN18-1))</f>
        <v/>
      </c>
      <c r="BO20" s="51" t="str">
        <f>IF(OR(ISERR(BO19/BO18-1),BO19=""),"",IF($B69=parametros!$I$3,BO18/BO19-1,BO19/BO18-1))</f>
        <v/>
      </c>
      <c r="BP20" s="51" t="str">
        <f>IF(OR(ISERR(BP19/BP18-1),BP19=""),"",IF($B69=parametros!$I$3,BP18/BP19-1,BP19/BP18-1))</f>
        <v/>
      </c>
      <c r="BQ20" s="51" t="str">
        <f>IF(OR(ISERR(BQ19/BQ18-1),BQ19=""),"",IF($B69=parametros!$I$3,BQ18/BQ19-1,BQ19/BQ18-1))</f>
        <v/>
      </c>
      <c r="BR20" s="51" t="str">
        <f>IF(OR(ISERR(BR19/BR18-1),BR19=""),"",IF($B69=parametros!$I$3,BR18/BR19-1,BR19/BR18-1))</f>
        <v/>
      </c>
      <c r="BS20" s="51" t="str">
        <f>IF(OR(ISERR(BS19/BS18-1),BS19=""),"",IF($B69=parametros!$I$3,BS18/BS19-1,BS19/BS18-1))</f>
        <v/>
      </c>
      <c r="BT20" s="51" t="str">
        <f>IF(OR(ISERR(BT19/BT18-1),BT19=""),"",IF($B69=parametros!$I$3,BT18/BT19-1,BT19/BT18-1))</f>
        <v/>
      </c>
      <c r="BU20" s="51" t="str">
        <f>IF(OR(ISERR(BU19/BU18-1),BU19=""),"",IF($B69=parametros!$I$3,BU18/BU19-1,BU19/BU18-1))</f>
        <v/>
      </c>
      <c r="BV20" s="51" t="str">
        <f>IF(OR(ISERR(BV19/BV18-1),BV19=""),"",IF($B69=parametros!$I$3,BV18/BV19-1,BV19/BV18-1))</f>
        <v/>
      </c>
      <c r="BW20" s="51" t="str">
        <f>IF(OR(ISERR(BW19/BW18-1),BW19=""),"",IF($B69=parametros!$I$3,BW18/BW19-1,BW19/BW18-1))</f>
        <v/>
      </c>
      <c r="BX20" s="51" t="str">
        <f>IF(OR(ISERR(BX19/BX18-1),BX19=""),"",IF($B69=parametros!$I$3,BX18/BX19-1,BX19/BX18-1))</f>
        <v/>
      </c>
      <c r="BY20" s="51" t="str">
        <f>IF(OR(ISERR(BY19/BY18-1),BY19=""),"",IF($B69=parametros!$I$3,BY18/BY19-1,BY19/BY18-1))</f>
        <v/>
      </c>
      <c r="BZ20" s="51" t="str">
        <f>IF(OR(ISERR(BZ19/BZ18-1),BZ19=""),"",IF($B69=parametros!$I$3,BZ18/BZ19-1,BZ19/BZ18-1))</f>
        <v/>
      </c>
    </row>
    <row r="21" spans="1:78" ht="4.95" customHeight="1" x14ac:dyDescent="0.4"/>
    <row r="22" spans="1:78" ht="22.05" customHeight="1" thickBot="1" x14ac:dyDescent="0.45">
      <c r="B22" s="104">
        <f>4</f>
        <v>4</v>
      </c>
      <c r="C22" s="33" t="s">
        <v>67</v>
      </c>
      <c r="D22" s="41" t="s">
        <v>44</v>
      </c>
      <c r="E22" s="34" t="s">
        <v>47</v>
      </c>
      <c r="F22" s="34" t="s">
        <v>48</v>
      </c>
      <c r="G22" s="34" t="s">
        <v>49</v>
      </c>
      <c r="H22" s="34" t="s">
        <v>50</v>
      </c>
      <c r="I22" s="34" t="s">
        <v>51</v>
      </c>
      <c r="J22" s="34" t="s">
        <v>52</v>
      </c>
      <c r="K22" s="34" t="s">
        <v>53</v>
      </c>
      <c r="L22" s="34" t="s">
        <v>54</v>
      </c>
      <c r="M22" s="34" t="s">
        <v>55</v>
      </c>
      <c r="N22" s="34" t="s">
        <v>56</v>
      </c>
      <c r="O22" s="34" t="s">
        <v>57</v>
      </c>
      <c r="P22" s="34" t="s">
        <v>58</v>
      </c>
      <c r="Q22" s="34" t="s">
        <v>59</v>
      </c>
      <c r="R22" s="35" t="s">
        <v>60</v>
      </c>
      <c r="T22" s="34" t="s">
        <v>47</v>
      </c>
      <c r="U22" s="34" t="s">
        <v>48</v>
      </c>
      <c r="V22" s="34" t="s">
        <v>49</v>
      </c>
      <c r="W22" s="34" t="s">
        <v>50</v>
      </c>
      <c r="X22" s="34" t="s">
        <v>51</v>
      </c>
      <c r="Y22" s="34" t="s">
        <v>52</v>
      </c>
      <c r="Z22" s="34" t="s">
        <v>53</v>
      </c>
      <c r="AA22" s="34" t="s">
        <v>54</v>
      </c>
      <c r="AB22" s="34" t="s">
        <v>55</v>
      </c>
      <c r="AC22" s="34" t="s">
        <v>56</v>
      </c>
      <c r="AD22" s="34" t="s">
        <v>57</v>
      </c>
      <c r="AE22" s="34" t="s">
        <v>58</v>
      </c>
      <c r="AF22" s="34" t="s">
        <v>59</v>
      </c>
      <c r="AG22" s="35" t="s">
        <v>60</v>
      </c>
      <c r="AI22" s="34" t="s">
        <v>47</v>
      </c>
      <c r="AJ22" s="34" t="s">
        <v>48</v>
      </c>
      <c r="AK22" s="34" t="s">
        <v>49</v>
      </c>
      <c r="AL22" s="34" t="s">
        <v>50</v>
      </c>
      <c r="AM22" s="34" t="s">
        <v>51</v>
      </c>
      <c r="AN22" s="34" t="s">
        <v>52</v>
      </c>
      <c r="AO22" s="34" t="s">
        <v>53</v>
      </c>
      <c r="AP22" s="34" t="s">
        <v>54</v>
      </c>
      <c r="AQ22" s="34" t="s">
        <v>55</v>
      </c>
      <c r="AR22" s="34" t="s">
        <v>56</v>
      </c>
      <c r="AS22" s="34" t="s">
        <v>57</v>
      </c>
      <c r="AT22" s="34" t="s">
        <v>58</v>
      </c>
      <c r="AU22" s="34" t="s">
        <v>59</v>
      </c>
      <c r="AV22" s="35" t="s">
        <v>60</v>
      </c>
      <c r="AX22" s="34" t="s">
        <v>47</v>
      </c>
      <c r="AY22" s="34" t="s">
        <v>48</v>
      </c>
      <c r="AZ22" s="34" t="s">
        <v>49</v>
      </c>
      <c r="BA22" s="34" t="s">
        <v>50</v>
      </c>
      <c r="BB22" s="34" t="s">
        <v>51</v>
      </c>
      <c r="BC22" s="34" t="s">
        <v>52</v>
      </c>
      <c r="BD22" s="34" t="s">
        <v>53</v>
      </c>
      <c r="BE22" s="34" t="s">
        <v>54</v>
      </c>
      <c r="BF22" s="34" t="s">
        <v>55</v>
      </c>
      <c r="BG22" s="34" t="s">
        <v>56</v>
      </c>
      <c r="BH22" s="34" t="s">
        <v>57</v>
      </c>
      <c r="BI22" s="34" t="s">
        <v>58</v>
      </c>
      <c r="BJ22" s="34" t="s">
        <v>59</v>
      </c>
      <c r="BK22" s="35" t="s">
        <v>60</v>
      </c>
      <c r="BM22" s="34" t="s">
        <v>47</v>
      </c>
      <c r="BN22" s="34" t="s">
        <v>48</v>
      </c>
      <c r="BO22" s="34" t="s">
        <v>49</v>
      </c>
      <c r="BP22" s="34" t="s">
        <v>50</v>
      </c>
      <c r="BQ22" s="34" t="s">
        <v>51</v>
      </c>
      <c r="BR22" s="34" t="s">
        <v>52</v>
      </c>
      <c r="BS22" s="34" t="s">
        <v>53</v>
      </c>
      <c r="BT22" s="34" t="s">
        <v>54</v>
      </c>
      <c r="BU22" s="34" t="s">
        <v>55</v>
      </c>
      <c r="BV22" s="34" t="s">
        <v>56</v>
      </c>
      <c r="BW22" s="34" t="s">
        <v>57</v>
      </c>
      <c r="BX22" s="34" t="s">
        <v>58</v>
      </c>
      <c r="BY22" s="34" t="s">
        <v>59</v>
      </c>
      <c r="BZ22" s="35" t="s">
        <v>60</v>
      </c>
    </row>
    <row r="23" spans="1:78" ht="22.05" customHeight="1" thickBot="1" x14ac:dyDescent="0.45">
      <c r="A23" s="104" t="str">
        <f>_xlfn.CONCAT(D23,B22)</f>
        <v>Planejado4</v>
      </c>
      <c r="C23" s="248" t="str">
        <f>C62</f>
        <v>Aumentar: Alavancar Engajamento médio</v>
      </c>
      <c r="D23" s="37" t="s">
        <v>61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  <c r="Q23" s="45">
        <f>SUMIF(E92:P92,"=1",E23:P23)</f>
        <v>0</v>
      </c>
      <c r="R23" s="46">
        <f>SUM(E23:P23)</f>
        <v>0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4"/>
      <c r="AF23" s="45">
        <f>SUMIF(T92:AE92,"=1",T23:AE23)</f>
        <v>0</v>
      </c>
      <c r="AG23" s="46">
        <f>SUM(T23:AE23)</f>
        <v>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4"/>
      <c r="AU23" s="45">
        <f>SUMIF(AI92:AT92,"=1",AI23:AT23)</f>
        <v>0</v>
      </c>
      <c r="AV23" s="46">
        <f>SUM(AI23:AT23)</f>
        <v>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4"/>
      <c r="BJ23" s="45">
        <f>SUMIF(AX92:BI92,"=1",AX23:BI23)</f>
        <v>0</v>
      </c>
      <c r="BK23" s="46">
        <f>SUM(AX23:BI23)</f>
        <v>0</v>
      </c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4"/>
      <c r="BY23" s="45">
        <f>SUMIF(BM92:BX92,"=1",BM23:BX23)</f>
        <v>0</v>
      </c>
      <c r="BZ23" s="46">
        <f>SUM(BM23:BX23)</f>
        <v>0</v>
      </c>
    </row>
    <row r="24" spans="1:78" ht="22.05" customHeight="1" thickBot="1" x14ac:dyDescent="0.45">
      <c r="A24" s="104" t="str">
        <f>_xlfn.CONCAT(D24,B22)</f>
        <v>Realizado4</v>
      </c>
      <c r="C24" s="249"/>
      <c r="D24" s="38" t="s">
        <v>62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5">
        <f>SUMIF(E92:P92,"=1",E24:P24)</f>
        <v>0</v>
      </c>
      <c r="R24" s="46">
        <f>SUM(E24:P24)</f>
        <v>0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9"/>
      <c r="AF24" s="45">
        <f>SUMIF(T92:AE92,"=1",T24:AE24)</f>
        <v>0</v>
      </c>
      <c r="AG24" s="46">
        <f>SUM(T24:AE24)</f>
        <v>0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  <c r="AU24" s="45">
        <f>SUMIF(AI92:AT92,"=1",AI24:AT24)</f>
        <v>0</v>
      </c>
      <c r="AV24" s="46">
        <f>SUM(AI24:AT24)</f>
        <v>0</v>
      </c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9"/>
      <c r="BJ24" s="45">
        <f>SUMIF(AX92:BI92,"=1",AX24:BI24)</f>
        <v>0</v>
      </c>
      <c r="BK24" s="46">
        <f>SUM(AX24:BI24)</f>
        <v>0</v>
      </c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9"/>
      <c r="BY24" s="45">
        <f>SUMIF(BM92:BX92,"=1",BM24:BX24)</f>
        <v>0</v>
      </c>
      <c r="BZ24" s="46">
        <f>SUM(BM24:BX24)</f>
        <v>0</v>
      </c>
    </row>
    <row r="25" spans="1:78" ht="22.05" customHeight="1" thickBot="1" x14ac:dyDescent="0.45">
      <c r="C25" s="249"/>
      <c r="D25" s="36" t="s">
        <v>63</v>
      </c>
      <c r="E25" s="51" t="str">
        <f>IF(OR(ISERR(E24/E23-1),E24=""),"",IF($B74=parametros!$I$3,E23/E24-1,E24/E23-1))</f>
        <v/>
      </c>
      <c r="F25" s="51" t="str">
        <f>IF(OR(ISERR(F24/F23-1),F24=""),"",IF($B74=parametros!$I$3,F23/F24-1,F24/F23-1))</f>
        <v/>
      </c>
      <c r="G25" s="51" t="str">
        <f>IF(OR(ISERR(G24/G23-1),G24=""),"",IF($B74=parametros!$I$3,G23/G24-1,G24/G23-1))</f>
        <v/>
      </c>
      <c r="H25" s="51" t="str">
        <f>IF(OR(ISERR(H24/H23-1),H24=""),"",IF($B74=parametros!$I$3,H23/H24-1,H24/H23-1))</f>
        <v/>
      </c>
      <c r="I25" s="51" t="str">
        <f>IF(OR(ISERR(I24/I23-1),I24=""),"",IF($B74=parametros!$I$3,I23/I24-1,I24/I23-1))</f>
        <v/>
      </c>
      <c r="J25" s="51" t="str">
        <f>IF(OR(ISERR(J24/J23-1),J24=""),"",IF($B74=parametros!$I$3,J23/J24-1,J24/J23-1))</f>
        <v/>
      </c>
      <c r="K25" s="51" t="str">
        <f>IF(OR(ISERR(K24/K23-1),K24=""),"",IF($B74=parametros!$I$3,K23/K24-1,K24/K23-1))</f>
        <v/>
      </c>
      <c r="L25" s="51" t="str">
        <f>IF(OR(ISERR(L24/L23-1),L24=""),"",IF($B74=parametros!$I$3,L23/L24-1,L24/L23-1))</f>
        <v/>
      </c>
      <c r="M25" s="51" t="str">
        <f>IF(OR(ISERR(M24/M23-1),M24=""),"",IF($B74=parametros!$I$3,M23/M24-1,M24/M23-1))</f>
        <v/>
      </c>
      <c r="N25" s="51" t="str">
        <f>IF(OR(ISERR(N24/N23-1),N24=""),"",IF($B74=parametros!$I$3,N23/N24-1,N24/N23-1))</f>
        <v/>
      </c>
      <c r="O25" s="51" t="str">
        <f>IF(OR(ISERR(O24/O23-1),O24=""),"",IF($B74=parametros!$I$3,O23/O24-1,O24/O23-1))</f>
        <v/>
      </c>
      <c r="P25" s="51" t="str">
        <f>IF(OR(ISERR(P24/P23-1),P24=""),"",IF($B74=parametros!$I$3,P23/P24-1,P24/P23-1))</f>
        <v/>
      </c>
      <c r="Q25" s="51" t="str">
        <f>IF(OR(ISERR(Q24/Q23-1),Q24=""),"",IF($B74=parametros!$I$3,Q23/Q24-1,Q24/Q23-1))</f>
        <v/>
      </c>
      <c r="R25" s="51" t="str">
        <f>IF(OR(ISERR(R24/R23-1),R24=""),"",IF($B74=parametros!$I$3,R23/R24-1,R24/R23-1))</f>
        <v/>
      </c>
      <c r="T25" s="51" t="str">
        <f>IF(OR(ISERR(T24/T23-1),T24=""),"",IF($B74=parametros!$I$3,T23/T24-1,T24/T23-1))</f>
        <v/>
      </c>
      <c r="U25" s="51" t="str">
        <f>IF(OR(ISERR(U24/U23-1),U24=""),"",IF($B74=parametros!$I$3,U23/U24-1,U24/U23-1))</f>
        <v/>
      </c>
      <c r="V25" s="51" t="str">
        <f>IF(OR(ISERR(V24/V23-1),V24=""),"",IF($B74=parametros!$I$3,V23/V24-1,V24/V23-1))</f>
        <v/>
      </c>
      <c r="W25" s="51" t="str">
        <f>IF(OR(ISERR(W24/W23-1),W24=""),"",IF($B74=parametros!$I$3,W23/W24-1,W24/W23-1))</f>
        <v/>
      </c>
      <c r="X25" s="51" t="str">
        <f>IF(OR(ISERR(X24/X23-1),X24=""),"",IF($B74=parametros!$I$3,X23/X24-1,X24/X23-1))</f>
        <v/>
      </c>
      <c r="Y25" s="51" t="str">
        <f>IF(OR(ISERR(Y24/Y23-1),Y24=""),"",IF($B74=parametros!$I$3,Y23/Y24-1,Y24/Y23-1))</f>
        <v/>
      </c>
      <c r="Z25" s="51" t="str">
        <f>IF(OR(ISERR(Z24/Z23-1),Z24=""),"",IF($B74=parametros!$I$3,Z23/Z24-1,Z24/Z23-1))</f>
        <v/>
      </c>
      <c r="AA25" s="51" t="str">
        <f>IF(OR(ISERR(AA24/AA23-1),AA24=""),"",IF($B74=parametros!$I$3,AA23/AA24-1,AA24/AA23-1))</f>
        <v/>
      </c>
      <c r="AB25" s="51" t="str">
        <f>IF(OR(ISERR(AB24/AB23-1),AB24=""),"",IF($B74=parametros!$I$3,AB23/AB24-1,AB24/AB23-1))</f>
        <v/>
      </c>
      <c r="AC25" s="51" t="str">
        <f>IF(OR(ISERR(AC24/AC23-1),AC24=""),"",IF($B74=parametros!$I$3,AC23/AC24-1,AC24/AC23-1))</f>
        <v/>
      </c>
      <c r="AD25" s="51" t="str">
        <f>IF(OR(ISERR(AD24/AD23-1),AD24=""),"",IF($B74=parametros!$I$3,AD23/AD24-1,AD24/AD23-1))</f>
        <v/>
      </c>
      <c r="AE25" s="51" t="str">
        <f>IF(OR(ISERR(AE24/AE23-1),AE24=""),"",IF($B74=parametros!$I$3,AE23/AE24-1,AE24/AE23-1))</f>
        <v/>
      </c>
      <c r="AF25" s="51" t="str">
        <f>IF(OR(ISERR(AF24/AF23-1),AF24=""),"",IF($B74=parametros!$I$3,AF23/AF24-1,AF24/AF23-1))</f>
        <v/>
      </c>
      <c r="AG25" s="51" t="str">
        <f>IF(OR(ISERR(AG24/AG23-1),AG24=""),"",IF($B74=parametros!$I$3,AG23/AG24-1,AG24/AG23-1))</f>
        <v/>
      </c>
      <c r="AI25" s="51" t="str">
        <f>IF(OR(ISERR(AI24/AI23-1),AI24=""),"",IF($B74=parametros!$I$3,AI23/AI24-1,AI24/AI23-1))</f>
        <v/>
      </c>
      <c r="AJ25" s="51" t="str">
        <f>IF(OR(ISERR(AJ24/AJ23-1),AJ24=""),"",IF($B74=parametros!$I$3,AJ23/AJ24-1,AJ24/AJ23-1))</f>
        <v/>
      </c>
      <c r="AK25" s="51" t="str">
        <f>IF(OR(ISERR(AK24/AK23-1),AK24=""),"",IF($B74=parametros!$I$3,AK23/AK24-1,AK24/AK23-1))</f>
        <v/>
      </c>
      <c r="AL25" s="51" t="str">
        <f>IF(OR(ISERR(AL24/AL23-1),AL24=""),"",IF($B74=parametros!$I$3,AL23/AL24-1,AL24/AL23-1))</f>
        <v/>
      </c>
      <c r="AM25" s="51" t="str">
        <f>IF(OR(ISERR(AM24/AM23-1),AM24=""),"",IF($B74=parametros!$I$3,AM23/AM24-1,AM24/AM23-1))</f>
        <v/>
      </c>
      <c r="AN25" s="51" t="str">
        <f>IF(OR(ISERR(AN24/AN23-1),AN24=""),"",IF($B74=parametros!$I$3,AN23/AN24-1,AN24/AN23-1))</f>
        <v/>
      </c>
      <c r="AO25" s="51" t="str">
        <f>IF(OR(ISERR(AO24/AO23-1),AO24=""),"",IF($B74=parametros!$I$3,AO23/AO24-1,AO24/AO23-1))</f>
        <v/>
      </c>
      <c r="AP25" s="51" t="str">
        <f>IF(OR(ISERR(AP24/AP23-1),AP24=""),"",IF($B74=parametros!$I$3,AP23/AP24-1,AP24/AP23-1))</f>
        <v/>
      </c>
      <c r="AQ25" s="51" t="str">
        <f>IF(OR(ISERR(AQ24/AQ23-1),AQ24=""),"",IF($B74=parametros!$I$3,AQ23/AQ24-1,AQ24/AQ23-1))</f>
        <v/>
      </c>
      <c r="AR25" s="51" t="str">
        <f>IF(OR(ISERR(AR24/AR23-1),AR24=""),"",IF($B74=parametros!$I$3,AR23/AR24-1,AR24/AR23-1))</f>
        <v/>
      </c>
      <c r="AS25" s="51" t="str">
        <f>IF(OR(ISERR(AS24/AS23-1),AS24=""),"",IF($B74=parametros!$I$3,AS23/AS24-1,AS24/AS23-1))</f>
        <v/>
      </c>
      <c r="AT25" s="51" t="str">
        <f>IF(OR(ISERR(AT24/AT23-1),AT24=""),"",IF($B74=parametros!$I$3,AT23/AT24-1,AT24/AT23-1))</f>
        <v/>
      </c>
      <c r="AU25" s="51" t="str">
        <f>IF(OR(ISERR(AU24/AU23-1),AU24=""),"",IF($B74=parametros!$I$3,AU23/AU24-1,AU24/AU23-1))</f>
        <v/>
      </c>
      <c r="AV25" s="51" t="str">
        <f>IF(OR(ISERR(AV24/AV23-1),AV24=""),"",IF($B74=parametros!$I$3,AV23/AV24-1,AV24/AV23-1))</f>
        <v/>
      </c>
      <c r="AX25" s="51" t="str">
        <f>IF(OR(ISERR(AX24/AX23-1),AX24=""),"",IF($B74=parametros!$I$3,AX23/AX24-1,AX24/AX23-1))</f>
        <v/>
      </c>
      <c r="AY25" s="51" t="str">
        <f>IF(OR(ISERR(AY24/AY23-1),AY24=""),"",IF($B74=parametros!$I$3,AY23/AY24-1,AY24/AY23-1))</f>
        <v/>
      </c>
      <c r="AZ25" s="51" t="str">
        <f>IF(OR(ISERR(AZ24/AZ23-1),AZ24=""),"",IF($B74=parametros!$I$3,AZ23/AZ24-1,AZ24/AZ23-1))</f>
        <v/>
      </c>
      <c r="BA25" s="51" t="str">
        <f>IF(OR(ISERR(BA24/BA23-1),BA24=""),"",IF($B74=parametros!$I$3,BA23/BA24-1,BA24/BA23-1))</f>
        <v/>
      </c>
      <c r="BB25" s="51" t="str">
        <f>IF(OR(ISERR(BB24/BB23-1),BB24=""),"",IF($B74=parametros!$I$3,BB23/BB24-1,BB24/BB23-1))</f>
        <v/>
      </c>
      <c r="BC25" s="51" t="str">
        <f>IF(OR(ISERR(BC24/BC23-1),BC24=""),"",IF($B74=parametros!$I$3,BC23/BC24-1,BC24/BC23-1))</f>
        <v/>
      </c>
      <c r="BD25" s="51" t="str">
        <f>IF(OR(ISERR(BD24/BD23-1),BD24=""),"",IF($B74=parametros!$I$3,BD23/BD24-1,BD24/BD23-1))</f>
        <v/>
      </c>
      <c r="BE25" s="51" t="str">
        <f>IF(OR(ISERR(BE24/BE23-1),BE24=""),"",IF($B74=parametros!$I$3,BE23/BE24-1,BE24/BE23-1))</f>
        <v/>
      </c>
      <c r="BF25" s="51" t="str">
        <f>IF(OR(ISERR(BF24/BF23-1),BF24=""),"",IF($B74=parametros!$I$3,BF23/BF24-1,BF24/BF23-1))</f>
        <v/>
      </c>
      <c r="BG25" s="51" t="str">
        <f>IF(OR(ISERR(BG24/BG23-1),BG24=""),"",IF($B74=parametros!$I$3,BG23/BG24-1,BG24/BG23-1))</f>
        <v/>
      </c>
      <c r="BH25" s="51" t="str">
        <f>IF(OR(ISERR(BH24/BH23-1),BH24=""),"",IF($B74=parametros!$I$3,BH23/BH24-1,BH24/BH23-1))</f>
        <v/>
      </c>
      <c r="BI25" s="51" t="str">
        <f>IF(OR(ISERR(BI24/BI23-1),BI24=""),"",IF($B74=parametros!$I$3,BI23/BI24-1,BI24/BI23-1))</f>
        <v/>
      </c>
      <c r="BJ25" s="51" t="str">
        <f>IF(OR(ISERR(BJ24/BJ23-1),BJ24=""),"",IF($B74=parametros!$I$3,BJ23/BJ24-1,BJ24/BJ23-1))</f>
        <v/>
      </c>
      <c r="BK25" s="51" t="str">
        <f>IF(OR(ISERR(BK24/BK23-1),BK24=""),"",IF($B74=parametros!$I$3,BK23/BK24-1,BK24/BK23-1))</f>
        <v/>
      </c>
      <c r="BM25" s="51" t="str">
        <f>IF(OR(ISERR(BM24/BM23-1),BM24=""),"",IF($B74=parametros!$I$3,BM23/BM24-1,BM24/BM23-1))</f>
        <v/>
      </c>
      <c r="BN25" s="51" t="str">
        <f>IF(OR(ISERR(BN24/BN23-1),BN24=""),"",IF($B74=parametros!$I$3,BN23/BN24-1,BN24/BN23-1))</f>
        <v/>
      </c>
      <c r="BO25" s="51" t="str">
        <f>IF(OR(ISERR(BO24/BO23-1),BO24=""),"",IF($B74=parametros!$I$3,BO23/BO24-1,BO24/BO23-1))</f>
        <v/>
      </c>
      <c r="BP25" s="51" t="str">
        <f>IF(OR(ISERR(BP24/BP23-1),BP24=""),"",IF($B74=parametros!$I$3,BP23/BP24-1,BP24/BP23-1))</f>
        <v/>
      </c>
      <c r="BQ25" s="51" t="str">
        <f>IF(OR(ISERR(BQ24/BQ23-1),BQ24=""),"",IF($B74=parametros!$I$3,BQ23/BQ24-1,BQ24/BQ23-1))</f>
        <v/>
      </c>
      <c r="BR25" s="51" t="str">
        <f>IF(OR(ISERR(BR24/BR23-1),BR24=""),"",IF($B74=parametros!$I$3,BR23/BR24-1,BR24/BR23-1))</f>
        <v/>
      </c>
      <c r="BS25" s="51" t="str">
        <f>IF(OR(ISERR(BS24/BS23-1),BS24=""),"",IF($B74=parametros!$I$3,BS23/BS24-1,BS24/BS23-1))</f>
        <v/>
      </c>
      <c r="BT25" s="51" t="str">
        <f>IF(OR(ISERR(BT24/BT23-1),BT24=""),"",IF($B74=parametros!$I$3,BT23/BT24-1,BT24/BT23-1))</f>
        <v/>
      </c>
      <c r="BU25" s="51" t="str">
        <f>IF(OR(ISERR(BU24/BU23-1),BU24=""),"",IF($B74=parametros!$I$3,BU23/BU24-1,BU24/BU23-1))</f>
        <v/>
      </c>
      <c r="BV25" s="51" t="str">
        <f>IF(OR(ISERR(BV24/BV23-1),BV24=""),"",IF($B74=parametros!$I$3,BV23/BV24-1,BV24/BV23-1))</f>
        <v/>
      </c>
      <c r="BW25" s="51" t="str">
        <f>IF(OR(ISERR(BW24/BW23-1),BW24=""),"",IF($B74=parametros!$I$3,BW23/BW24-1,BW24/BW23-1))</f>
        <v/>
      </c>
      <c r="BX25" s="51" t="str">
        <f>IF(OR(ISERR(BX24/BX23-1),BX24=""),"",IF($B74=parametros!$I$3,BX23/BX24-1,BX24/BX23-1))</f>
        <v/>
      </c>
      <c r="BY25" s="51" t="str">
        <f>IF(OR(ISERR(BY24/BY23-1),BY24=""),"",IF($B74=parametros!$I$3,BY23/BY24-1,BY24/BY23-1))</f>
        <v/>
      </c>
      <c r="BZ25" s="51" t="str">
        <f>IF(OR(ISERR(BZ24/BZ23-1),BZ24=""),"",IF($B74=parametros!$I$3,BZ23/BZ24-1,BZ24/BZ23-1))</f>
        <v/>
      </c>
    </row>
    <row r="26" spans="1:78" ht="4.95" customHeight="1" x14ac:dyDescent="0.4"/>
    <row r="27" spans="1:78" ht="22.05" customHeight="1" thickBot="1" x14ac:dyDescent="0.45">
      <c r="B27" s="104">
        <f>5</f>
        <v>5</v>
      </c>
      <c r="C27" s="33" t="s">
        <v>68</v>
      </c>
      <c r="D27" s="41" t="s">
        <v>44</v>
      </c>
      <c r="E27" s="34" t="s">
        <v>47</v>
      </c>
      <c r="F27" s="34" t="s">
        <v>48</v>
      </c>
      <c r="G27" s="34" t="s">
        <v>49</v>
      </c>
      <c r="H27" s="34" t="s">
        <v>50</v>
      </c>
      <c r="I27" s="34" t="s">
        <v>51</v>
      </c>
      <c r="J27" s="34" t="s">
        <v>52</v>
      </c>
      <c r="K27" s="34" t="s">
        <v>53</v>
      </c>
      <c r="L27" s="34" t="s">
        <v>54</v>
      </c>
      <c r="M27" s="34" t="s">
        <v>55</v>
      </c>
      <c r="N27" s="34" t="s">
        <v>56</v>
      </c>
      <c r="O27" s="34" t="s">
        <v>57</v>
      </c>
      <c r="P27" s="34" t="s">
        <v>58</v>
      </c>
      <c r="Q27" s="34" t="s">
        <v>59</v>
      </c>
      <c r="R27" s="35" t="s">
        <v>60</v>
      </c>
      <c r="T27" s="34" t="s">
        <v>47</v>
      </c>
      <c r="U27" s="34" t="s">
        <v>48</v>
      </c>
      <c r="V27" s="34" t="s">
        <v>49</v>
      </c>
      <c r="W27" s="34" t="s">
        <v>50</v>
      </c>
      <c r="X27" s="34" t="s">
        <v>51</v>
      </c>
      <c r="Y27" s="34" t="s">
        <v>52</v>
      </c>
      <c r="Z27" s="34" t="s">
        <v>53</v>
      </c>
      <c r="AA27" s="34" t="s">
        <v>54</v>
      </c>
      <c r="AB27" s="34" t="s">
        <v>55</v>
      </c>
      <c r="AC27" s="34" t="s">
        <v>56</v>
      </c>
      <c r="AD27" s="34" t="s">
        <v>57</v>
      </c>
      <c r="AE27" s="34" t="s">
        <v>58</v>
      </c>
      <c r="AF27" s="34" t="s">
        <v>59</v>
      </c>
      <c r="AG27" s="35" t="s">
        <v>60</v>
      </c>
      <c r="AI27" s="34" t="s">
        <v>47</v>
      </c>
      <c r="AJ27" s="34" t="s">
        <v>48</v>
      </c>
      <c r="AK27" s="34" t="s">
        <v>49</v>
      </c>
      <c r="AL27" s="34" t="s">
        <v>50</v>
      </c>
      <c r="AM27" s="34" t="s">
        <v>51</v>
      </c>
      <c r="AN27" s="34" t="s">
        <v>52</v>
      </c>
      <c r="AO27" s="34" t="s">
        <v>53</v>
      </c>
      <c r="AP27" s="34" t="s">
        <v>54</v>
      </c>
      <c r="AQ27" s="34" t="s">
        <v>55</v>
      </c>
      <c r="AR27" s="34" t="s">
        <v>56</v>
      </c>
      <c r="AS27" s="34" t="s">
        <v>57</v>
      </c>
      <c r="AT27" s="34" t="s">
        <v>58</v>
      </c>
      <c r="AU27" s="34" t="s">
        <v>59</v>
      </c>
      <c r="AV27" s="35" t="s">
        <v>60</v>
      </c>
      <c r="AX27" s="34" t="s">
        <v>47</v>
      </c>
      <c r="AY27" s="34" t="s">
        <v>48</v>
      </c>
      <c r="AZ27" s="34" t="s">
        <v>49</v>
      </c>
      <c r="BA27" s="34" t="s">
        <v>50</v>
      </c>
      <c r="BB27" s="34" t="s">
        <v>51</v>
      </c>
      <c r="BC27" s="34" t="s">
        <v>52</v>
      </c>
      <c r="BD27" s="34" t="s">
        <v>53</v>
      </c>
      <c r="BE27" s="34" t="s">
        <v>54</v>
      </c>
      <c r="BF27" s="34" t="s">
        <v>55</v>
      </c>
      <c r="BG27" s="34" t="s">
        <v>56</v>
      </c>
      <c r="BH27" s="34" t="s">
        <v>57</v>
      </c>
      <c r="BI27" s="34" t="s">
        <v>58</v>
      </c>
      <c r="BJ27" s="34" t="s">
        <v>59</v>
      </c>
      <c r="BK27" s="35" t="s">
        <v>60</v>
      </c>
      <c r="BM27" s="34" t="s">
        <v>47</v>
      </c>
      <c r="BN27" s="34" t="s">
        <v>48</v>
      </c>
      <c r="BO27" s="34" t="s">
        <v>49</v>
      </c>
      <c r="BP27" s="34" t="s">
        <v>50</v>
      </c>
      <c r="BQ27" s="34" t="s">
        <v>51</v>
      </c>
      <c r="BR27" s="34" t="s">
        <v>52</v>
      </c>
      <c r="BS27" s="34" t="s">
        <v>53</v>
      </c>
      <c r="BT27" s="34" t="s">
        <v>54</v>
      </c>
      <c r="BU27" s="34" t="s">
        <v>55</v>
      </c>
      <c r="BV27" s="34" t="s">
        <v>56</v>
      </c>
      <c r="BW27" s="34" t="s">
        <v>57</v>
      </c>
      <c r="BX27" s="34" t="s">
        <v>58</v>
      </c>
      <c r="BY27" s="34" t="s">
        <v>59</v>
      </c>
      <c r="BZ27" s="35" t="s">
        <v>60</v>
      </c>
    </row>
    <row r="28" spans="1:78" ht="22.05" customHeight="1" thickBot="1" x14ac:dyDescent="0.45">
      <c r="A28" s="104" t="str">
        <f>_xlfn.CONCAT(D28,B27)</f>
        <v>Planejado5</v>
      </c>
      <c r="C28" s="248" t="str">
        <f>C63</f>
        <v xml:space="preserve">: </v>
      </c>
      <c r="D28" s="37" t="s">
        <v>61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45">
        <f>SUMIF(E94:P94,"=1",E28:P28)</f>
        <v>0</v>
      </c>
      <c r="R28" s="46">
        <f>SUM(E28:P28)</f>
        <v>0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  <c r="AF28" s="45">
        <f>SUMIF(T94:AE94,"=1",T28:AE28)</f>
        <v>0</v>
      </c>
      <c r="AG28" s="46">
        <f>SUM(T28:AE28)</f>
        <v>0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5">
        <f>SUMIF(AI94:AT94,"=1",AI28:AT28)</f>
        <v>0</v>
      </c>
      <c r="AV28" s="46">
        <f>SUM(AI28:AT28)</f>
        <v>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4"/>
      <c r="BJ28" s="45">
        <f>SUMIF(AX94:BI94,"=1",AX28:BI28)</f>
        <v>0</v>
      </c>
      <c r="BK28" s="46">
        <f>SUM(AX28:BI28)</f>
        <v>0</v>
      </c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45">
        <f>SUMIF(BM94:BX94,"=1",BM28:BX28)</f>
        <v>0</v>
      </c>
      <c r="BZ28" s="46">
        <f>SUM(BM28:BX28)</f>
        <v>0</v>
      </c>
    </row>
    <row r="29" spans="1:78" ht="22.05" customHeight="1" thickBot="1" x14ac:dyDescent="0.45">
      <c r="A29" s="104" t="str">
        <f>_xlfn.CONCAT(D29,B27)</f>
        <v>Realizado5</v>
      </c>
      <c r="C29" s="249"/>
      <c r="D29" s="38" t="s">
        <v>62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45">
        <f>SUMIF(E94:P94,"=1",E29:P29)</f>
        <v>0</v>
      </c>
      <c r="R29" s="46">
        <f>SUM(E29:P29)</f>
        <v>0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9"/>
      <c r="AF29" s="45">
        <f>SUMIF(T94:AE94,"=1",T29:AE29)</f>
        <v>0</v>
      </c>
      <c r="AG29" s="46">
        <f>SUM(T29:AE29)</f>
        <v>0</v>
      </c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  <c r="AU29" s="45">
        <f>SUMIF(AI94:AT94,"=1",AI29:AT29)</f>
        <v>0</v>
      </c>
      <c r="AV29" s="46">
        <f>SUM(AI29:AT29)</f>
        <v>0</v>
      </c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9"/>
      <c r="BJ29" s="45">
        <f>SUMIF(AX94:BI94,"=1",AX29:BI29)</f>
        <v>0</v>
      </c>
      <c r="BK29" s="46">
        <f>SUM(AX29:BI29)</f>
        <v>0</v>
      </c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9"/>
      <c r="BY29" s="45">
        <f>SUMIF(BM94:BX94,"=1",BM29:BX29)</f>
        <v>0</v>
      </c>
      <c r="BZ29" s="46">
        <f>SUM(BM29:BX29)</f>
        <v>0</v>
      </c>
    </row>
    <row r="30" spans="1:78" ht="22.05" customHeight="1" thickBot="1" x14ac:dyDescent="0.45">
      <c r="C30" s="249"/>
      <c r="D30" s="36" t="s">
        <v>63</v>
      </c>
      <c r="E30" s="51" t="str">
        <f>IF(OR(ISERR(E29/E28-1),E29=""),"",IF($B79=parametros!$I$3,E28/E29-1,E29/E28-1))</f>
        <v/>
      </c>
      <c r="F30" s="51" t="str">
        <f>IF(OR(ISERR(F29/F28-1),F29=""),"",IF($B79=parametros!$I$3,F28/F29-1,F29/F28-1))</f>
        <v/>
      </c>
      <c r="G30" s="51" t="str">
        <f>IF(OR(ISERR(G29/G28-1),G29=""),"",IF($B79=parametros!$I$3,G28/G29-1,G29/G28-1))</f>
        <v/>
      </c>
      <c r="H30" s="51" t="str">
        <f>IF(OR(ISERR(H29/H28-1),H29=""),"",IF($B79=parametros!$I$3,H28/H29-1,H29/H28-1))</f>
        <v/>
      </c>
      <c r="I30" s="51" t="str">
        <f>IF(OR(ISERR(I29/I28-1),I29=""),"",IF($B79=parametros!$I$3,I28/I29-1,I29/I28-1))</f>
        <v/>
      </c>
      <c r="J30" s="51" t="str">
        <f>IF(OR(ISERR(J29/J28-1),J29=""),"",IF($B79=parametros!$I$3,J28/J29-1,J29/J28-1))</f>
        <v/>
      </c>
      <c r="K30" s="51" t="str">
        <f>IF(OR(ISERR(K29/K28-1),K29=""),"",IF($B79=parametros!$I$3,K28/K29-1,K29/K28-1))</f>
        <v/>
      </c>
      <c r="L30" s="51" t="str">
        <f>IF(OR(ISERR(L29/L28-1),L29=""),"",IF($B79=parametros!$I$3,L28/L29-1,L29/L28-1))</f>
        <v/>
      </c>
      <c r="M30" s="51" t="str">
        <f>IF(OR(ISERR(M29/M28-1),M29=""),"",IF($B79=parametros!$I$3,M28/M29-1,M29/M28-1))</f>
        <v/>
      </c>
      <c r="N30" s="51" t="str">
        <f>IF(OR(ISERR(N29/N28-1),N29=""),"",IF($B79=parametros!$I$3,N28/N29-1,N29/N28-1))</f>
        <v/>
      </c>
      <c r="O30" s="51" t="str">
        <f>IF(OR(ISERR(O29/O28-1),O29=""),"",IF($B79=parametros!$I$3,O28/O29-1,O29/O28-1))</f>
        <v/>
      </c>
      <c r="P30" s="51" t="str">
        <f>IF(OR(ISERR(P29/P28-1),P29=""),"",IF($B79=parametros!$I$3,P28/P29-1,P29/P28-1))</f>
        <v/>
      </c>
      <c r="Q30" s="51" t="str">
        <f>IF(OR(ISERR(Q29/Q28-1),Q29=""),"",IF($B79=parametros!$I$3,Q28/Q29-1,Q29/Q28-1))</f>
        <v/>
      </c>
      <c r="R30" s="51" t="str">
        <f>IF(OR(ISERR(R29/R28-1),R29=""),"",IF($B79=parametros!$I$3,R28/R29-1,R29/R28-1))</f>
        <v/>
      </c>
      <c r="T30" s="51" t="str">
        <f>IF(OR(ISERR(T29/T28-1),T29=""),"",IF($B79=parametros!$I$3,T28/T29-1,T29/T28-1))</f>
        <v/>
      </c>
      <c r="U30" s="51" t="str">
        <f>IF(OR(ISERR(U29/U28-1),U29=""),"",IF($B79=parametros!$I$3,U28/U29-1,U29/U28-1))</f>
        <v/>
      </c>
      <c r="V30" s="51" t="str">
        <f>IF(OR(ISERR(V29/V28-1),V29=""),"",IF($B79=parametros!$I$3,V28/V29-1,V29/V28-1))</f>
        <v/>
      </c>
      <c r="W30" s="51" t="str">
        <f>IF(OR(ISERR(W29/W28-1),W29=""),"",IF($B79=parametros!$I$3,W28/W29-1,W29/W28-1))</f>
        <v/>
      </c>
      <c r="X30" s="51" t="str">
        <f>IF(OR(ISERR(X29/X28-1),X29=""),"",IF($B79=parametros!$I$3,X28/X29-1,X29/X28-1))</f>
        <v/>
      </c>
      <c r="Y30" s="51" t="str">
        <f>IF(OR(ISERR(Y29/Y28-1),Y29=""),"",IF($B79=parametros!$I$3,Y28/Y29-1,Y29/Y28-1))</f>
        <v/>
      </c>
      <c r="Z30" s="51" t="str">
        <f>IF(OR(ISERR(Z29/Z28-1),Z29=""),"",IF($B79=parametros!$I$3,Z28/Z29-1,Z29/Z28-1))</f>
        <v/>
      </c>
      <c r="AA30" s="51" t="str">
        <f>IF(OR(ISERR(AA29/AA28-1),AA29=""),"",IF($B79=parametros!$I$3,AA28/AA29-1,AA29/AA28-1))</f>
        <v/>
      </c>
      <c r="AB30" s="51" t="str">
        <f>IF(OR(ISERR(AB29/AB28-1),AB29=""),"",IF($B79=parametros!$I$3,AB28/AB29-1,AB29/AB28-1))</f>
        <v/>
      </c>
      <c r="AC30" s="51" t="str">
        <f>IF(OR(ISERR(AC29/AC28-1),AC29=""),"",IF($B79=parametros!$I$3,AC28/AC29-1,AC29/AC28-1))</f>
        <v/>
      </c>
      <c r="AD30" s="51" t="str">
        <f>IF(OR(ISERR(AD29/AD28-1),AD29=""),"",IF($B79=parametros!$I$3,AD28/AD29-1,AD29/AD28-1))</f>
        <v/>
      </c>
      <c r="AE30" s="51" t="str">
        <f>IF(OR(ISERR(AE29/AE28-1),AE29=""),"",IF($B79=parametros!$I$3,AE28/AE29-1,AE29/AE28-1))</f>
        <v/>
      </c>
      <c r="AF30" s="51" t="str">
        <f>IF(OR(ISERR(AF29/AF28-1),AF29=""),"",IF($B79=parametros!$I$3,AF28/AF29-1,AF29/AF28-1))</f>
        <v/>
      </c>
      <c r="AG30" s="51" t="str">
        <f>IF(OR(ISERR(AG29/AG28-1),AG29=""),"",IF($B79=parametros!$I$3,AG28/AG29-1,AG29/AG28-1))</f>
        <v/>
      </c>
      <c r="AI30" s="51" t="str">
        <f>IF(OR(ISERR(AI29/AI28-1),AI29=""),"",IF($B79=parametros!$I$3,AI28/AI29-1,AI29/AI28-1))</f>
        <v/>
      </c>
      <c r="AJ30" s="51" t="str">
        <f>IF(OR(ISERR(AJ29/AJ28-1),AJ29=""),"",IF($B79=parametros!$I$3,AJ28/AJ29-1,AJ29/AJ28-1))</f>
        <v/>
      </c>
      <c r="AK30" s="51" t="str">
        <f>IF(OR(ISERR(AK29/AK28-1),AK29=""),"",IF($B79=parametros!$I$3,AK28/AK29-1,AK29/AK28-1))</f>
        <v/>
      </c>
      <c r="AL30" s="51" t="str">
        <f>IF(OR(ISERR(AL29/AL28-1),AL29=""),"",IF($B79=parametros!$I$3,AL28/AL29-1,AL29/AL28-1))</f>
        <v/>
      </c>
      <c r="AM30" s="51" t="str">
        <f>IF(OR(ISERR(AM29/AM28-1),AM29=""),"",IF($B79=parametros!$I$3,AM28/AM29-1,AM29/AM28-1))</f>
        <v/>
      </c>
      <c r="AN30" s="51" t="str">
        <f>IF(OR(ISERR(AN29/AN28-1),AN29=""),"",IF($B79=parametros!$I$3,AN28/AN29-1,AN29/AN28-1))</f>
        <v/>
      </c>
      <c r="AO30" s="51" t="str">
        <f>IF(OR(ISERR(AO29/AO28-1),AO29=""),"",IF($B79=parametros!$I$3,AO28/AO29-1,AO29/AO28-1))</f>
        <v/>
      </c>
      <c r="AP30" s="51" t="str">
        <f>IF(OR(ISERR(AP29/AP28-1),AP29=""),"",IF($B79=parametros!$I$3,AP28/AP29-1,AP29/AP28-1))</f>
        <v/>
      </c>
      <c r="AQ30" s="51" t="str">
        <f>IF(OR(ISERR(AQ29/AQ28-1),AQ29=""),"",IF($B79=parametros!$I$3,AQ28/AQ29-1,AQ29/AQ28-1))</f>
        <v/>
      </c>
      <c r="AR30" s="51" t="str">
        <f>IF(OR(ISERR(AR29/AR28-1),AR29=""),"",IF($B79=parametros!$I$3,AR28/AR29-1,AR29/AR28-1))</f>
        <v/>
      </c>
      <c r="AS30" s="51" t="str">
        <f>IF(OR(ISERR(AS29/AS28-1),AS29=""),"",IF($B79=parametros!$I$3,AS28/AS29-1,AS29/AS28-1))</f>
        <v/>
      </c>
      <c r="AT30" s="51" t="str">
        <f>IF(OR(ISERR(AT29/AT28-1),AT29=""),"",IF($B79=parametros!$I$3,AT28/AT29-1,AT29/AT28-1))</f>
        <v/>
      </c>
      <c r="AU30" s="51" t="str">
        <f>IF(OR(ISERR(AU29/AU28-1),AU29=""),"",IF($B79=parametros!$I$3,AU28/AU29-1,AU29/AU28-1))</f>
        <v/>
      </c>
      <c r="AV30" s="51" t="str">
        <f>IF(OR(ISERR(AV29/AV28-1),AV29=""),"",IF($B79=parametros!$I$3,AV28/AV29-1,AV29/AV28-1))</f>
        <v/>
      </c>
      <c r="AX30" s="51" t="str">
        <f>IF(OR(ISERR(AX29/AX28-1),AX29=""),"",IF($B79=parametros!$I$3,AX28/AX29-1,AX29/AX28-1))</f>
        <v/>
      </c>
      <c r="AY30" s="51" t="str">
        <f>IF(OR(ISERR(AY29/AY28-1),AY29=""),"",IF($B79=parametros!$I$3,AY28/AY29-1,AY29/AY28-1))</f>
        <v/>
      </c>
      <c r="AZ30" s="51" t="str">
        <f>IF(OR(ISERR(AZ29/AZ28-1),AZ29=""),"",IF($B79=parametros!$I$3,AZ28/AZ29-1,AZ29/AZ28-1))</f>
        <v/>
      </c>
      <c r="BA30" s="51" t="str">
        <f>IF(OR(ISERR(BA29/BA28-1),BA29=""),"",IF($B79=parametros!$I$3,BA28/BA29-1,BA29/BA28-1))</f>
        <v/>
      </c>
      <c r="BB30" s="51" t="str">
        <f>IF(OR(ISERR(BB29/BB28-1),BB29=""),"",IF($B79=parametros!$I$3,BB28/BB29-1,BB29/BB28-1))</f>
        <v/>
      </c>
      <c r="BC30" s="51" t="str">
        <f>IF(OR(ISERR(BC29/BC28-1),BC29=""),"",IF($B79=parametros!$I$3,BC28/BC29-1,BC29/BC28-1))</f>
        <v/>
      </c>
      <c r="BD30" s="51" t="str">
        <f>IF(OR(ISERR(BD29/BD28-1),BD29=""),"",IF($B79=parametros!$I$3,BD28/BD29-1,BD29/BD28-1))</f>
        <v/>
      </c>
      <c r="BE30" s="51" t="str">
        <f>IF(OR(ISERR(BE29/BE28-1),BE29=""),"",IF($B79=parametros!$I$3,BE28/BE29-1,BE29/BE28-1))</f>
        <v/>
      </c>
      <c r="BF30" s="51" t="str">
        <f>IF(OR(ISERR(BF29/BF28-1),BF29=""),"",IF($B79=parametros!$I$3,BF28/BF29-1,BF29/BF28-1))</f>
        <v/>
      </c>
      <c r="BG30" s="51" t="str">
        <f>IF(OR(ISERR(BG29/BG28-1),BG29=""),"",IF($B79=parametros!$I$3,BG28/BG29-1,BG29/BG28-1))</f>
        <v/>
      </c>
      <c r="BH30" s="51" t="str">
        <f>IF(OR(ISERR(BH29/BH28-1),BH29=""),"",IF($B79=parametros!$I$3,BH28/BH29-1,BH29/BH28-1))</f>
        <v/>
      </c>
      <c r="BI30" s="51" t="str">
        <f>IF(OR(ISERR(BI29/BI28-1),BI29=""),"",IF($B79=parametros!$I$3,BI28/BI29-1,BI29/BI28-1))</f>
        <v/>
      </c>
      <c r="BJ30" s="51" t="str">
        <f>IF(OR(ISERR(BJ29/BJ28-1),BJ29=""),"",IF($B79=parametros!$I$3,BJ28/BJ29-1,BJ29/BJ28-1))</f>
        <v/>
      </c>
      <c r="BK30" s="51" t="str">
        <f>IF(OR(ISERR(BK29/BK28-1),BK29=""),"",IF($B79=parametros!$I$3,BK28/BK29-1,BK29/BK28-1))</f>
        <v/>
      </c>
      <c r="BM30" s="51" t="str">
        <f>IF(OR(ISERR(BM29/BM28-1),BM29=""),"",IF($B79=parametros!$I$3,BM28/BM29-1,BM29/BM28-1))</f>
        <v/>
      </c>
      <c r="BN30" s="51" t="str">
        <f>IF(OR(ISERR(BN29/BN28-1),BN29=""),"",IF($B79=parametros!$I$3,BN28/BN29-1,BN29/BN28-1))</f>
        <v/>
      </c>
      <c r="BO30" s="51" t="str">
        <f>IF(OR(ISERR(BO29/BO28-1),BO29=""),"",IF($B79=parametros!$I$3,BO28/BO29-1,BO29/BO28-1))</f>
        <v/>
      </c>
      <c r="BP30" s="51" t="str">
        <f>IF(OR(ISERR(BP29/BP28-1),BP29=""),"",IF($B79=parametros!$I$3,BP28/BP29-1,BP29/BP28-1))</f>
        <v/>
      </c>
      <c r="BQ30" s="51" t="str">
        <f>IF(OR(ISERR(BQ29/BQ28-1),BQ29=""),"",IF($B79=parametros!$I$3,BQ28/BQ29-1,BQ29/BQ28-1))</f>
        <v/>
      </c>
      <c r="BR30" s="51" t="str">
        <f>IF(OR(ISERR(BR29/BR28-1),BR29=""),"",IF($B79=parametros!$I$3,BR28/BR29-1,BR29/BR28-1))</f>
        <v/>
      </c>
      <c r="BS30" s="51" t="str">
        <f>IF(OR(ISERR(BS29/BS28-1),BS29=""),"",IF($B79=parametros!$I$3,BS28/BS29-1,BS29/BS28-1))</f>
        <v/>
      </c>
      <c r="BT30" s="51" t="str">
        <f>IF(OR(ISERR(BT29/BT28-1),BT29=""),"",IF($B79=parametros!$I$3,BT28/BT29-1,BT29/BT28-1))</f>
        <v/>
      </c>
      <c r="BU30" s="51" t="str">
        <f>IF(OR(ISERR(BU29/BU28-1),BU29=""),"",IF($B79=parametros!$I$3,BU28/BU29-1,BU29/BU28-1))</f>
        <v/>
      </c>
      <c r="BV30" s="51" t="str">
        <f>IF(OR(ISERR(BV29/BV28-1),BV29=""),"",IF($B79=parametros!$I$3,BV28/BV29-1,BV29/BV28-1))</f>
        <v/>
      </c>
      <c r="BW30" s="51" t="str">
        <f>IF(OR(ISERR(BW29/BW28-1),BW29=""),"",IF($B79=parametros!$I$3,BW28/BW29-1,BW29/BW28-1))</f>
        <v/>
      </c>
      <c r="BX30" s="51" t="str">
        <f>IF(OR(ISERR(BX29/BX28-1),BX29=""),"",IF($B79=parametros!$I$3,BX28/BX29-1,BX29/BX28-1))</f>
        <v/>
      </c>
      <c r="BY30" s="51" t="str">
        <f>IF(OR(ISERR(BY29/BY28-1),BY29=""),"",IF($B79=parametros!$I$3,BY28/BY29-1,BY29/BY28-1))</f>
        <v/>
      </c>
      <c r="BZ30" s="51" t="str">
        <f>IF(OR(ISERR(BZ29/BZ28-1),BZ29=""),"",IF($B79=parametros!$I$3,BZ28/BZ29-1,BZ29/BZ28-1))</f>
        <v/>
      </c>
    </row>
    <row r="31" spans="1:78" ht="4.95" customHeight="1" x14ac:dyDescent="0.4"/>
    <row r="32" spans="1:78" ht="22.05" customHeight="1" thickBot="1" x14ac:dyDescent="0.45">
      <c r="B32" s="104">
        <f>6</f>
        <v>6</v>
      </c>
      <c r="C32" s="33" t="s">
        <v>69</v>
      </c>
      <c r="D32" s="41" t="s">
        <v>44</v>
      </c>
      <c r="E32" s="34" t="s">
        <v>47</v>
      </c>
      <c r="F32" s="34" t="s">
        <v>48</v>
      </c>
      <c r="G32" s="34" t="s">
        <v>49</v>
      </c>
      <c r="H32" s="34" t="s">
        <v>50</v>
      </c>
      <c r="I32" s="34" t="s">
        <v>51</v>
      </c>
      <c r="J32" s="34" t="s">
        <v>52</v>
      </c>
      <c r="K32" s="34" t="s">
        <v>53</v>
      </c>
      <c r="L32" s="34" t="s">
        <v>54</v>
      </c>
      <c r="M32" s="34" t="s">
        <v>55</v>
      </c>
      <c r="N32" s="34" t="s">
        <v>56</v>
      </c>
      <c r="O32" s="34" t="s">
        <v>57</v>
      </c>
      <c r="P32" s="34" t="s">
        <v>58</v>
      </c>
      <c r="Q32" s="34" t="s">
        <v>59</v>
      </c>
      <c r="R32" s="35" t="s">
        <v>60</v>
      </c>
      <c r="T32" s="34" t="s">
        <v>47</v>
      </c>
      <c r="U32" s="34" t="s">
        <v>48</v>
      </c>
      <c r="V32" s="34" t="s">
        <v>49</v>
      </c>
      <c r="W32" s="34" t="s">
        <v>50</v>
      </c>
      <c r="X32" s="34" t="s">
        <v>51</v>
      </c>
      <c r="Y32" s="34" t="s">
        <v>52</v>
      </c>
      <c r="Z32" s="34" t="s">
        <v>53</v>
      </c>
      <c r="AA32" s="34" t="s">
        <v>54</v>
      </c>
      <c r="AB32" s="34" t="s">
        <v>55</v>
      </c>
      <c r="AC32" s="34" t="s">
        <v>56</v>
      </c>
      <c r="AD32" s="34" t="s">
        <v>57</v>
      </c>
      <c r="AE32" s="34" t="s">
        <v>58</v>
      </c>
      <c r="AF32" s="34" t="s">
        <v>59</v>
      </c>
      <c r="AG32" s="35" t="s">
        <v>60</v>
      </c>
      <c r="AI32" s="34" t="s">
        <v>47</v>
      </c>
      <c r="AJ32" s="34" t="s">
        <v>48</v>
      </c>
      <c r="AK32" s="34" t="s">
        <v>49</v>
      </c>
      <c r="AL32" s="34" t="s">
        <v>50</v>
      </c>
      <c r="AM32" s="34" t="s">
        <v>51</v>
      </c>
      <c r="AN32" s="34" t="s">
        <v>52</v>
      </c>
      <c r="AO32" s="34" t="s">
        <v>53</v>
      </c>
      <c r="AP32" s="34" t="s">
        <v>54</v>
      </c>
      <c r="AQ32" s="34" t="s">
        <v>55</v>
      </c>
      <c r="AR32" s="34" t="s">
        <v>56</v>
      </c>
      <c r="AS32" s="34" t="s">
        <v>57</v>
      </c>
      <c r="AT32" s="34" t="s">
        <v>58</v>
      </c>
      <c r="AU32" s="34" t="s">
        <v>59</v>
      </c>
      <c r="AV32" s="35" t="s">
        <v>60</v>
      </c>
      <c r="AX32" s="34" t="s">
        <v>47</v>
      </c>
      <c r="AY32" s="34" t="s">
        <v>48</v>
      </c>
      <c r="AZ32" s="34" t="s">
        <v>49</v>
      </c>
      <c r="BA32" s="34" t="s">
        <v>50</v>
      </c>
      <c r="BB32" s="34" t="s">
        <v>51</v>
      </c>
      <c r="BC32" s="34" t="s">
        <v>52</v>
      </c>
      <c r="BD32" s="34" t="s">
        <v>53</v>
      </c>
      <c r="BE32" s="34" t="s">
        <v>54</v>
      </c>
      <c r="BF32" s="34" t="s">
        <v>55</v>
      </c>
      <c r="BG32" s="34" t="s">
        <v>56</v>
      </c>
      <c r="BH32" s="34" t="s">
        <v>57</v>
      </c>
      <c r="BI32" s="34" t="s">
        <v>58</v>
      </c>
      <c r="BJ32" s="34" t="s">
        <v>59</v>
      </c>
      <c r="BK32" s="35" t="s">
        <v>60</v>
      </c>
      <c r="BM32" s="34" t="s">
        <v>47</v>
      </c>
      <c r="BN32" s="34" t="s">
        <v>48</v>
      </c>
      <c r="BO32" s="34" t="s">
        <v>49</v>
      </c>
      <c r="BP32" s="34" t="s">
        <v>50</v>
      </c>
      <c r="BQ32" s="34" t="s">
        <v>51</v>
      </c>
      <c r="BR32" s="34" t="s">
        <v>52</v>
      </c>
      <c r="BS32" s="34" t="s">
        <v>53</v>
      </c>
      <c r="BT32" s="34" t="s">
        <v>54</v>
      </c>
      <c r="BU32" s="34" t="s">
        <v>55</v>
      </c>
      <c r="BV32" s="34" t="s">
        <v>56</v>
      </c>
      <c r="BW32" s="34" t="s">
        <v>57</v>
      </c>
      <c r="BX32" s="34" t="s">
        <v>58</v>
      </c>
      <c r="BY32" s="34" t="s">
        <v>59</v>
      </c>
      <c r="BZ32" s="35" t="s">
        <v>60</v>
      </c>
    </row>
    <row r="33" spans="1:78" ht="22.05" customHeight="1" thickBot="1" x14ac:dyDescent="0.45">
      <c r="A33" s="104" t="str">
        <f>_xlfn.CONCAT(D33,B32)</f>
        <v>Planejado6</v>
      </c>
      <c r="C33" s="248" t="str">
        <f>C64</f>
        <v xml:space="preserve">: </v>
      </c>
      <c r="D33" s="37" t="s">
        <v>61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45">
        <f>SUMIF(E96:P96,"=1",E33:P33)</f>
        <v>0</v>
      </c>
      <c r="R33" s="46">
        <f>SUM(E33:P33)</f>
        <v>0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4"/>
      <c r="AF33" s="45">
        <f>SUMIF(T96:AE96,"=1",T33:AE33)</f>
        <v>0</v>
      </c>
      <c r="AG33" s="46">
        <f>SUM(T33:AE33)</f>
        <v>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4"/>
      <c r="AU33" s="45">
        <f>SUMIF(AI96:AT96,"=1",AI33:AT33)</f>
        <v>0</v>
      </c>
      <c r="AV33" s="46">
        <f>SUM(AI33:AT33)</f>
        <v>0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4"/>
      <c r="BJ33" s="45">
        <f>SUMIF(AX96:BI96,"=1",AX33:BI33)</f>
        <v>0</v>
      </c>
      <c r="BK33" s="46">
        <f>SUM(AX33:BI33)</f>
        <v>0</v>
      </c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4"/>
      <c r="BY33" s="45">
        <f>SUMIF(BM96:BX96,"=1",BM33:BX33)</f>
        <v>0</v>
      </c>
      <c r="BZ33" s="46">
        <f>SUM(BM33:BX33)</f>
        <v>0</v>
      </c>
    </row>
    <row r="34" spans="1:78" ht="22.05" customHeight="1" thickBot="1" x14ac:dyDescent="0.45">
      <c r="A34" s="104" t="str">
        <f>_xlfn.CONCAT(D34,B32)</f>
        <v>Realizado6</v>
      </c>
      <c r="C34" s="249"/>
      <c r="D34" s="38" t="s">
        <v>62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5">
        <f>SUMIF(E96:P96,"=1",E34:P34)</f>
        <v>0</v>
      </c>
      <c r="R34" s="46">
        <f>SUM(E34:P34)</f>
        <v>0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9"/>
      <c r="AF34" s="45">
        <f>SUMIF(T96:AE96,"=1",T34:AE34)</f>
        <v>0</v>
      </c>
      <c r="AG34" s="46">
        <f>SUM(T34:AE34)</f>
        <v>0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9"/>
      <c r="AU34" s="45">
        <f>SUMIF(AI96:AT96,"=1",AI34:AT34)</f>
        <v>0</v>
      </c>
      <c r="AV34" s="46">
        <f>SUM(AI34:AT34)</f>
        <v>0</v>
      </c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9"/>
      <c r="BJ34" s="45">
        <f>SUMIF(AX96:BI96,"=1",AX34:BI34)</f>
        <v>0</v>
      </c>
      <c r="BK34" s="46">
        <f>SUM(AX34:BI34)</f>
        <v>0</v>
      </c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9"/>
      <c r="BY34" s="45">
        <f>SUMIF(BM96:BX96,"=1",BM34:BX34)</f>
        <v>0</v>
      </c>
      <c r="BZ34" s="46">
        <f>SUM(BM34:BX34)</f>
        <v>0</v>
      </c>
    </row>
    <row r="35" spans="1:78" ht="22.05" customHeight="1" thickBot="1" x14ac:dyDescent="0.45">
      <c r="C35" s="249"/>
      <c r="D35" s="36" t="s">
        <v>63</v>
      </c>
      <c r="E35" s="51" t="str">
        <f>IF(OR(ISERR(E34/E33-1),E34=""),"",IF($B84=parametros!$I$3,E33/E34-1,E34/E33-1))</f>
        <v/>
      </c>
      <c r="F35" s="51" t="str">
        <f>IF(OR(ISERR(F34/F33-1),F34=""),"",IF($B84=parametros!$I$3,F33/F34-1,F34/F33-1))</f>
        <v/>
      </c>
      <c r="G35" s="51" t="str">
        <f>IF(OR(ISERR(G34/G33-1),G34=""),"",IF($B84=parametros!$I$3,G33/G34-1,G34/G33-1))</f>
        <v/>
      </c>
      <c r="H35" s="51" t="str">
        <f>IF(OR(ISERR(H34/H33-1),H34=""),"",IF($B84=parametros!$I$3,H33/H34-1,H34/H33-1))</f>
        <v/>
      </c>
      <c r="I35" s="51" t="str">
        <f>IF(OR(ISERR(I34/I33-1),I34=""),"",IF($B84=parametros!$I$3,I33/I34-1,I34/I33-1))</f>
        <v/>
      </c>
      <c r="J35" s="51" t="str">
        <f>IF(OR(ISERR(J34/J33-1),J34=""),"",IF($B84=parametros!$I$3,J33/J34-1,J34/J33-1))</f>
        <v/>
      </c>
      <c r="K35" s="51" t="str">
        <f>IF(OR(ISERR(K34/K33-1),K34=""),"",IF($B84=parametros!$I$3,K33/K34-1,K34/K33-1))</f>
        <v/>
      </c>
      <c r="L35" s="51" t="str">
        <f>IF(OR(ISERR(L34/L33-1),L34=""),"",IF($B84=parametros!$I$3,L33/L34-1,L34/L33-1))</f>
        <v/>
      </c>
      <c r="M35" s="51" t="str">
        <f>IF(OR(ISERR(M34/M33-1),M34=""),"",IF($B84=parametros!$I$3,M33/M34-1,M34/M33-1))</f>
        <v/>
      </c>
      <c r="N35" s="51" t="str">
        <f>IF(OR(ISERR(N34/N33-1),N34=""),"",IF($B84=parametros!$I$3,N33/N34-1,N34/N33-1))</f>
        <v/>
      </c>
      <c r="O35" s="51" t="str">
        <f>IF(OR(ISERR(O34/O33-1),O34=""),"",IF($B84=parametros!$I$3,O33/O34-1,O34/O33-1))</f>
        <v/>
      </c>
      <c r="P35" s="51" t="str">
        <f>IF(OR(ISERR(P34/P33-1),P34=""),"",IF($B84=parametros!$I$3,P33/P34-1,P34/P33-1))</f>
        <v/>
      </c>
      <c r="Q35" s="51" t="str">
        <f>IF(OR(ISERR(Q34/Q33-1),Q34=""),"",IF($B85=parametros!$I$3,Q33/Q34-1,Q34/Q33-1))</f>
        <v/>
      </c>
      <c r="R35" s="51" t="str">
        <f>IF(OR(ISERR(R34/R33-1),R34=""),"",IF($B85=parametros!$I$3,R33/R34-1,R34/R33-1))</f>
        <v/>
      </c>
      <c r="T35" s="51" t="str">
        <f>IF(OR(ISERR(T34/T33-1),T34=""),"",IF($B85=parametros!$I$3,T33/T34-1,T34/T33-1))</f>
        <v/>
      </c>
      <c r="U35" s="51" t="str">
        <f>IF(OR(ISERR(U34/U33-1),U34=""),"",IF($B85=parametros!$I$3,U33/U34-1,U34/U33-1))</f>
        <v/>
      </c>
      <c r="V35" s="51" t="str">
        <f>IF(OR(ISERR(V34/V33-1),V34=""),"",IF($B85=parametros!$I$3,V33/V34-1,V34/V33-1))</f>
        <v/>
      </c>
      <c r="W35" s="51" t="str">
        <f>IF(OR(ISERR(W34/W33-1),W34=""),"",IF($B85=parametros!$I$3,W33/W34-1,W34/W33-1))</f>
        <v/>
      </c>
      <c r="X35" s="51" t="str">
        <f>IF(OR(ISERR(X34/X33-1),X34=""),"",IF($B85=parametros!$I$3,X33/X34-1,X34/X33-1))</f>
        <v/>
      </c>
      <c r="Y35" s="51" t="str">
        <f>IF(OR(ISERR(Y34/Y33-1),Y34=""),"",IF($B85=parametros!$I$3,Y33/Y34-1,Y34/Y33-1))</f>
        <v/>
      </c>
      <c r="Z35" s="51" t="str">
        <f>IF(OR(ISERR(Z34/Z33-1),Z34=""),"",IF($B85=parametros!$I$3,Z33/Z34-1,Z34/Z33-1))</f>
        <v/>
      </c>
      <c r="AA35" s="51" t="str">
        <f>IF(OR(ISERR(AA34/AA33-1),AA34=""),"",IF($B85=parametros!$I$3,AA33/AA34-1,AA34/AA33-1))</f>
        <v/>
      </c>
      <c r="AB35" s="51" t="str">
        <f>IF(OR(ISERR(AB34/AB33-1),AB34=""),"",IF($B85=parametros!$I$3,AB33/AB34-1,AB34/AB33-1))</f>
        <v/>
      </c>
      <c r="AC35" s="51" t="str">
        <f>IF(OR(ISERR(AC34/AC33-1),AC34=""),"",IF($B85=parametros!$I$3,AC33/AC34-1,AC34/AC33-1))</f>
        <v/>
      </c>
      <c r="AD35" s="51" t="str">
        <f>IF(OR(ISERR(AD34/AD33-1),AD34=""),"",IF($B85=parametros!$I$3,AD33/AD34-1,AD34/AD33-1))</f>
        <v/>
      </c>
      <c r="AE35" s="51" t="str">
        <f>IF(OR(ISERR(AE34/AE33-1),AE34=""),"",IF($B85=parametros!$I$3,AE33/AE34-1,AE34/AE33-1))</f>
        <v/>
      </c>
      <c r="AF35" s="51" t="str">
        <f>IF(OR(ISERR(AF34/AF33-1),AF34=""),"",IF($B85=parametros!$I$3,AF33/AF34-1,AF34/AF33-1))</f>
        <v/>
      </c>
      <c r="AG35" s="51" t="str">
        <f>IF(OR(ISERR(AG34/AG33-1),AG34=""),"",IF($B85=parametros!$I$3,AG33/AG34-1,AG34/AG33-1))</f>
        <v/>
      </c>
      <c r="AI35" s="51" t="str">
        <f>IF(OR(ISERR(AI34/AI33-1),AI34=""),"",IF($B85=parametros!$I$3,AI33/AI34-1,AI34/AI33-1))</f>
        <v/>
      </c>
      <c r="AJ35" s="51" t="str">
        <f>IF(OR(ISERR(AJ34/AJ33-1),AJ34=""),"",IF($B85=parametros!$I$3,AJ33/AJ34-1,AJ34/AJ33-1))</f>
        <v/>
      </c>
      <c r="AK35" s="51" t="str">
        <f>IF(OR(ISERR(AK34/AK33-1),AK34=""),"",IF($B85=parametros!$I$3,AK33/AK34-1,AK34/AK33-1))</f>
        <v/>
      </c>
      <c r="AL35" s="51" t="str">
        <f>IF(OR(ISERR(AL34/AL33-1),AL34=""),"",IF($B85=parametros!$I$3,AL33/AL34-1,AL34/AL33-1))</f>
        <v/>
      </c>
      <c r="AM35" s="51" t="str">
        <f>IF(OR(ISERR(AM34/AM33-1),AM34=""),"",IF($B85=parametros!$I$3,AM33/AM34-1,AM34/AM33-1))</f>
        <v/>
      </c>
      <c r="AN35" s="51" t="str">
        <f>IF(OR(ISERR(AN34/AN33-1),AN34=""),"",IF($B85=parametros!$I$3,AN33/AN34-1,AN34/AN33-1))</f>
        <v/>
      </c>
      <c r="AO35" s="51" t="str">
        <f>IF(OR(ISERR(AO34/AO33-1),AO34=""),"",IF($B85=parametros!$I$3,AO33/AO34-1,AO34/AO33-1))</f>
        <v/>
      </c>
      <c r="AP35" s="51" t="str">
        <f>IF(OR(ISERR(AP34/AP33-1),AP34=""),"",IF($B85=parametros!$I$3,AP33/AP34-1,AP34/AP33-1))</f>
        <v/>
      </c>
      <c r="AQ35" s="51" t="str">
        <f>IF(OR(ISERR(AQ34/AQ33-1),AQ34=""),"",IF($B85=parametros!$I$3,AQ33/AQ34-1,AQ34/AQ33-1))</f>
        <v/>
      </c>
      <c r="AR35" s="51" t="str">
        <f>IF(OR(ISERR(AR34/AR33-1),AR34=""),"",IF($B85=parametros!$I$3,AR33/AR34-1,AR34/AR33-1))</f>
        <v/>
      </c>
      <c r="AS35" s="51" t="str">
        <f>IF(OR(ISERR(AS34/AS33-1),AS34=""),"",IF($B85=parametros!$I$3,AS33/AS34-1,AS34/AS33-1))</f>
        <v/>
      </c>
      <c r="AT35" s="51" t="str">
        <f>IF(OR(ISERR(AT34/AT33-1),AT34=""),"",IF($B85=parametros!$I$3,AT33/AT34-1,AT34/AT33-1))</f>
        <v/>
      </c>
      <c r="AU35" s="51" t="str">
        <f>IF(OR(ISERR(AU34/AU33-1),AU34=""),"",IF($B85=parametros!$I$3,AU33/AU34-1,AU34/AU33-1))</f>
        <v/>
      </c>
      <c r="AV35" s="51" t="str">
        <f>IF(OR(ISERR(AV34/AV33-1),AV34=""),"",IF($B85=parametros!$I$3,AV33/AV34-1,AV34/AV33-1))</f>
        <v/>
      </c>
      <c r="AX35" s="51" t="str">
        <f>IF(OR(ISERR(AX34/AX33-1),AX34=""),"",IF($B85=parametros!$I$3,AX33/AX34-1,AX34/AX33-1))</f>
        <v/>
      </c>
      <c r="AY35" s="51" t="str">
        <f>IF(OR(ISERR(AY34/AY33-1),AY34=""),"",IF($B85=parametros!$I$3,AY33/AY34-1,AY34/AY33-1))</f>
        <v/>
      </c>
      <c r="AZ35" s="51" t="str">
        <f>IF(OR(ISERR(AZ34/AZ33-1),AZ34=""),"",IF($B85=parametros!$I$3,AZ33/AZ34-1,AZ34/AZ33-1))</f>
        <v/>
      </c>
      <c r="BA35" s="51" t="str">
        <f>IF(OR(ISERR(BA34/BA33-1),BA34=""),"",IF($B85=parametros!$I$3,BA33/BA34-1,BA34/BA33-1))</f>
        <v/>
      </c>
      <c r="BB35" s="51" t="str">
        <f>IF(OR(ISERR(BB34/BB33-1),BB34=""),"",IF($B85=parametros!$I$3,BB33/BB34-1,BB34/BB33-1))</f>
        <v/>
      </c>
      <c r="BC35" s="51" t="str">
        <f>IF(OR(ISERR(BC34/BC33-1),BC34=""),"",IF($B85=parametros!$I$3,BC33/BC34-1,BC34/BC33-1))</f>
        <v/>
      </c>
      <c r="BD35" s="51" t="str">
        <f>IF(OR(ISERR(BD34/BD33-1),BD34=""),"",IF($B85=parametros!$I$3,BD33/BD34-1,BD34/BD33-1))</f>
        <v/>
      </c>
      <c r="BE35" s="51" t="str">
        <f>IF(OR(ISERR(BE34/BE33-1),BE34=""),"",IF($B85=parametros!$I$3,BE33/BE34-1,BE34/BE33-1))</f>
        <v/>
      </c>
      <c r="BF35" s="51" t="str">
        <f>IF(OR(ISERR(BF34/BF33-1),BF34=""),"",IF($B85=parametros!$I$3,BF33/BF34-1,BF34/BF33-1))</f>
        <v/>
      </c>
      <c r="BG35" s="51" t="str">
        <f>IF(OR(ISERR(BG34/BG33-1),BG34=""),"",IF($B85=parametros!$I$3,BG33/BG34-1,BG34/BG33-1))</f>
        <v/>
      </c>
      <c r="BH35" s="51" t="str">
        <f>IF(OR(ISERR(BH34/BH33-1),BH34=""),"",IF($B85=parametros!$I$3,BH33/BH34-1,BH34/BH33-1))</f>
        <v/>
      </c>
      <c r="BI35" s="51" t="str">
        <f>IF(OR(ISERR(BI34/BI33-1),BI34=""),"",IF($B85=parametros!$I$3,BI33/BI34-1,BI34/BI33-1))</f>
        <v/>
      </c>
      <c r="BJ35" s="51" t="str">
        <f>IF(OR(ISERR(BJ34/BJ33-1),BJ34=""),"",IF($B85=parametros!$I$3,BJ33/BJ34-1,BJ34/BJ33-1))</f>
        <v/>
      </c>
      <c r="BK35" s="51" t="str">
        <f>IF(OR(ISERR(BK34/BK33-1),BK34=""),"",IF($B85=parametros!$I$3,BK33/BK34-1,BK34/BK33-1))</f>
        <v/>
      </c>
      <c r="BM35" s="51" t="str">
        <f>IF(OR(ISERR(BM34/BM33-1),BM34=""),"",IF($B85=parametros!$I$3,BM33/BM34-1,BM34/BM33-1))</f>
        <v/>
      </c>
      <c r="BN35" s="51" t="str">
        <f>IF(OR(ISERR(BN34/BN33-1),BN34=""),"",IF($B85=parametros!$I$3,BN33/BN34-1,BN34/BN33-1))</f>
        <v/>
      </c>
      <c r="BO35" s="51" t="str">
        <f>IF(OR(ISERR(BO34/BO33-1),BO34=""),"",IF($B85=parametros!$I$3,BO33/BO34-1,BO34/BO33-1))</f>
        <v/>
      </c>
      <c r="BP35" s="51" t="str">
        <f>IF(OR(ISERR(BP34/BP33-1),BP34=""),"",IF($B85=parametros!$I$3,BP33/BP34-1,BP34/BP33-1))</f>
        <v/>
      </c>
      <c r="BQ35" s="51" t="str">
        <f>IF(OR(ISERR(BQ34/BQ33-1),BQ34=""),"",IF($B85=parametros!$I$3,BQ33/BQ34-1,BQ34/BQ33-1))</f>
        <v/>
      </c>
      <c r="BR35" s="51" t="str">
        <f>IF(OR(ISERR(BR34/BR33-1),BR34=""),"",IF($B85=parametros!$I$3,BR33/BR34-1,BR34/BR33-1))</f>
        <v/>
      </c>
      <c r="BS35" s="51" t="str">
        <f>IF(OR(ISERR(BS34/BS33-1),BS34=""),"",IF($B85=parametros!$I$3,BS33/BS34-1,BS34/BS33-1))</f>
        <v/>
      </c>
      <c r="BT35" s="51" t="str">
        <f>IF(OR(ISERR(BT34/BT33-1),BT34=""),"",IF($B85=parametros!$I$3,BT33/BT34-1,BT34/BT33-1))</f>
        <v/>
      </c>
      <c r="BU35" s="51" t="str">
        <f>IF(OR(ISERR(BU34/BU33-1),BU34=""),"",IF($B85=parametros!$I$3,BU33/BU34-1,BU34/BU33-1))</f>
        <v/>
      </c>
      <c r="BV35" s="51" t="str">
        <f>IF(OR(ISERR(BV34/BV33-1),BV34=""),"",IF($B85=parametros!$I$3,BV33/BV34-1,BV34/BV33-1))</f>
        <v/>
      </c>
      <c r="BW35" s="51" t="str">
        <f>IF(OR(ISERR(BW34/BW33-1),BW34=""),"",IF($B85=parametros!$I$3,BW33/BW34-1,BW34/BW33-1))</f>
        <v/>
      </c>
      <c r="BX35" s="51" t="str">
        <f>IF(OR(ISERR(BX34/BX33-1),BX34=""),"",IF($B85=parametros!$I$3,BX33/BX34-1,BX34/BX33-1))</f>
        <v/>
      </c>
      <c r="BY35" s="51" t="str">
        <f>IF(OR(ISERR(BY34/BY33-1),BY34=""),"",IF($B85=parametros!$I$3,BY33/BY34-1,BY34/BY33-1))</f>
        <v/>
      </c>
      <c r="BZ35" s="51" t="str">
        <f>IF(OR(ISERR(BZ34/BZ33-1),BZ34=""),"",IF($B85=parametros!$I$3,BZ33/BZ34-1,BZ34/BZ33-1))</f>
        <v/>
      </c>
    </row>
    <row r="36" spans="1:78" ht="4.95" customHeight="1" x14ac:dyDescent="0.4"/>
    <row r="37" spans="1:78" ht="22.05" customHeight="1" thickBot="1" x14ac:dyDescent="0.45">
      <c r="B37" s="104">
        <f>7</f>
        <v>7</v>
      </c>
      <c r="C37" s="33" t="s">
        <v>70</v>
      </c>
      <c r="D37" s="41" t="s">
        <v>44</v>
      </c>
      <c r="E37" s="34" t="s">
        <v>47</v>
      </c>
      <c r="F37" s="34" t="s">
        <v>48</v>
      </c>
      <c r="G37" s="34" t="s">
        <v>49</v>
      </c>
      <c r="H37" s="34" t="s">
        <v>50</v>
      </c>
      <c r="I37" s="34" t="s">
        <v>51</v>
      </c>
      <c r="J37" s="34" t="s">
        <v>52</v>
      </c>
      <c r="K37" s="34" t="s">
        <v>53</v>
      </c>
      <c r="L37" s="34" t="s">
        <v>54</v>
      </c>
      <c r="M37" s="34" t="s">
        <v>55</v>
      </c>
      <c r="N37" s="34" t="s">
        <v>56</v>
      </c>
      <c r="O37" s="34" t="s">
        <v>57</v>
      </c>
      <c r="P37" s="34" t="s">
        <v>58</v>
      </c>
      <c r="Q37" s="34" t="s">
        <v>59</v>
      </c>
      <c r="R37" s="35" t="s">
        <v>60</v>
      </c>
      <c r="T37" s="34" t="s">
        <v>47</v>
      </c>
      <c r="U37" s="34" t="s">
        <v>48</v>
      </c>
      <c r="V37" s="34" t="s">
        <v>49</v>
      </c>
      <c r="W37" s="34" t="s">
        <v>50</v>
      </c>
      <c r="X37" s="34" t="s">
        <v>51</v>
      </c>
      <c r="Y37" s="34" t="s">
        <v>52</v>
      </c>
      <c r="Z37" s="34" t="s">
        <v>53</v>
      </c>
      <c r="AA37" s="34" t="s">
        <v>54</v>
      </c>
      <c r="AB37" s="34" t="s">
        <v>55</v>
      </c>
      <c r="AC37" s="34" t="s">
        <v>56</v>
      </c>
      <c r="AD37" s="34" t="s">
        <v>57</v>
      </c>
      <c r="AE37" s="34" t="s">
        <v>58</v>
      </c>
      <c r="AF37" s="34" t="s">
        <v>59</v>
      </c>
      <c r="AG37" s="35" t="s">
        <v>60</v>
      </c>
      <c r="AI37" s="34" t="s">
        <v>47</v>
      </c>
      <c r="AJ37" s="34" t="s">
        <v>48</v>
      </c>
      <c r="AK37" s="34" t="s">
        <v>49</v>
      </c>
      <c r="AL37" s="34" t="s">
        <v>50</v>
      </c>
      <c r="AM37" s="34" t="s">
        <v>51</v>
      </c>
      <c r="AN37" s="34" t="s">
        <v>52</v>
      </c>
      <c r="AO37" s="34" t="s">
        <v>53</v>
      </c>
      <c r="AP37" s="34" t="s">
        <v>54</v>
      </c>
      <c r="AQ37" s="34" t="s">
        <v>55</v>
      </c>
      <c r="AR37" s="34" t="s">
        <v>56</v>
      </c>
      <c r="AS37" s="34" t="s">
        <v>57</v>
      </c>
      <c r="AT37" s="34" t="s">
        <v>58</v>
      </c>
      <c r="AU37" s="34" t="s">
        <v>59</v>
      </c>
      <c r="AV37" s="35" t="s">
        <v>60</v>
      </c>
      <c r="AX37" s="34" t="s">
        <v>47</v>
      </c>
      <c r="AY37" s="34" t="s">
        <v>48</v>
      </c>
      <c r="AZ37" s="34" t="s">
        <v>49</v>
      </c>
      <c r="BA37" s="34" t="s">
        <v>50</v>
      </c>
      <c r="BB37" s="34" t="s">
        <v>51</v>
      </c>
      <c r="BC37" s="34" t="s">
        <v>52</v>
      </c>
      <c r="BD37" s="34" t="s">
        <v>53</v>
      </c>
      <c r="BE37" s="34" t="s">
        <v>54</v>
      </c>
      <c r="BF37" s="34" t="s">
        <v>55</v>
      </c>
      <c r="BG37" s="34" t="s">
        <v>56</v>
      </c>
      <c r="BH37" s="34" t="s">
        <v>57</v>
      </c>
      <c r="BI37" s="34" t="s">
        <v>58</v>
      </c>
      <c r="BJ37" s="34" t="s">
        <v>59</v>
      </c>
      <c r="BK37" s="35" t="s">
        <v>60</v>
      </c>
      <c r="BM37" s="34" t="s">
        <v>47</v>
      </c>
      <c r="BN37" s="34" t="s">
        <v>48</v>
      </c>
      <c r="BO37" s="34" t="s">
        <v>49</v>
      </c>
      <c r="BP37" s="34" t="s">
        <v>50</v>
      </c>
      <c r="BQ37" s="34" t="s">
        <v>51</v>
      </c>
      <c r="BR37" s="34" t="s">
        <v>52</v>
      </c>
      <c r="BS37" s="34" t="s">
        <v>53</v>
      </c>
      <c r="BT37" s="34" t="s">
        <v>54</v>
      </c>
      <c r="BU37" s="34" t="s">
        <v>55</v>
      </c>
      <c r="BV37" s="34" t="s">
        <v>56</v>
      </c>
      <c r="BW37" s="34" t="s">
        <v>57</v>
      </c>
      <c r="BX37" s="34" t="s">
        <v>58</v>
      </c>
      <c r="BY37" s="34" t="s">
        <v>59</v>
      </c>
      <c r="BZ37" s="35" t="s">
        <v>60</v>
      </c>
    </row>
    <row r="38" spans="1:78" ht="22.05" customHeight="1" thickBot="1" x14ac:dyDescent="0.45">
      <c r="A38" s="104" t="str">
        <f>_xlfn.CONCAT(D38,B37)</f>
        <v>Planejado7</v>
      </c>
      <c r="C38" s="248" t="str">
        <f>C65</f>
        <v xml:space="preserve">: </v>
      </c>
      <c r="D38" s="37" t="s">
        <v>61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  <c r="Q38" s="45">
        <f>SUMIF(E98:P98,"=1",E38:P38)</f>
        <v>0</v>
      </c>
      <c r="R38" s="46">
        <f>SUM(E38:P38)</f>
        <v>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4"/>
      <c r="AF38" s="45">
        <f>SUMIF(T98:AE98,"=1",T38:AE38)</f>
        <v>0</v>
      </c>
      <c r="AG38" s="46">
        <f>SUM(T38:AE38)</f>
        <v>0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4"/>
      <c r="AU38" s="45">
        <f>SUMIF(AI98:AT98,"=1",AI38:AT38)</f>
        <v>0</v>
      </c>
      <c r="AV38" s="46">
        <f>SUM(AI38:AT38)</f>
        <v>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4"/>
      <c r="BJ38" s="45">
        <f>SUMIF(AX98:BI98,"=1",AX38:BI38)</f>
        <v>0</v>
      </c>
      <c r="BK38" s="46">
        <f>SUM(AX38:BI38)</f>
        <v>0</v>
      </c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4"/>
      <c r="BY38" s="45">
        <f>SUMIF(BM98:BX98,"=1",BM38:BX38)</f>
        <v>0</v>
      </c>
      <c r="BZ38" s="46">
        <f>SUM(BM38:BX38)</f>
        <v>0</v>
      </c>
    </row>
    <row r="39" spans="1:78" ht="22.05" customHeight="1" thickBot="1" x14ac:dyDescent="0.45">
      <c r="A39" s="104" t="str">
        <f>_xlfn.CONCAT(D39,B37)</f>
        <v>Realizado7</v>
      </c>
      <c r="C39" s="249"/>
      <c r="D39" s="38" t="s">
        <v>62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5">
        <f>SUMIF(E98:P98,"=1",E39:P39)</f>
        <v>0</v>
      </c>
      <c r="R39" s="46">
        <f>SUM(E39:P39)</f>
        <v>0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9"/>
      <c r="AF39" s="45">
        <f>SUMIF(T98:AE98,"=1",T39:AE39)</f>
        <v>0</v>
      </c>
      <c r="AG39" s="46">
        <f>SUM(T39:AE39)</f>
        <v>0</v>
      </c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5">
        <f>SUMIF(AI98:AT98,"=1",AI39:AT39)</f>
        <v>0</v>
      </c>
      <c r="AV39" s="46">
        <f>SUM(AI39:AT39)</f>
        <v>0</v>
      </c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9"/>
      <c r="BJ39" s="45">
        <f>SUMIF(AX98:BI98,"=1",AX39:BI39)</f>
        <v>0</v>
      </c>
      <c r="BK39" s="46">
        <f>SUM(AX39:BI39)</f>
        <v>0</v>
      </c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9"/>
      <c r="BY39" s="45">
        <f>SUMIF(BM98:BX98,"=1",BM39:BX39)</f>
        <v>0</v>
      </c>
      <c r="BZ39" s="46">
        <f>SUM(BM39:BX39)</f>
        <v>0</v>
      </c>
    </row>
    <row r="40" spans="1:78" ht="22.05" customHeight="1" thickBot="1" x14ac:dyDescent="0.45">
      <c r="C40" s="249"/>
      <c r="D40" s="36" t="s">
        <v>63</v>
      </c>
      <c r="E40" s="51" t="str">
        <f>IF(OR(ISERR(E39/E38-1),E39=""),"",IF($B89=parametros!$I$3,E38/E39-1,E39/E38-1))</f>
        <v/>
      </c>
      <c r="F40" s="51" t="str">
        <f>IF(OR(ISERR(F39/F38-1),F39=""),"",IF($B89=parametros!$I$3,F38/F39-1,F39/F38-1))</f>
        <v/>
      </c>
      <c r="G40" s="51" t="str">
        <f>IF(OR(ISERR(G39/G38-1),G39=""),"",IF($B89=parametros!$I$3,G38/G39-1,G39/G38-1))</f>
        <v/>
      </c>
      <c r="H40" s="51" t="str">
        <f>IF(OR(ISERR(H39/H38-1),H39=""),"",IF($B89=parametros!$I$3,H38/H39-1,H39/H38-1))</f>
        <v/>
      </c>
      <c r="I40" s="51" t="str">
        <f>IF(OR(ISERR(I39/I38-1),I39=""),"",IF($B89=parametros!$I$3,I38/I39-1,I39/I38-1))</f>
        <v/>
      </c>
      <c r="J40" s="51" t="str">
        <f>IF(OR(ISERR(J39/J38-1),J39=""),"",IF($B89=parametros!$I$3,J38/J39-1,J39/J38-1))</f>
        <v/>
      </c>
      <c r="K40" s="51" t="str">
        <f>IF(OR(ISERR(K39/K38-1),K39=""),"",IF($B89=parametros!$I$3,K38/K39-1,K39/K38-1))</f>
        <v/>
      </c>
      <c r="L40" s="51" t="str">
        <f>IF(OR(ISERR(L39/L38-1),L39=""),"",IF($B89=parametros!$I$3,L38/L39-1,L39/L38-1))</f>
        <v/>
      </c>
      <c r="M40" s="51" t="str">
        <f>IF(OR(ISERR(M39/M38-1),M39=""),"",IF($B89=parametros!$I$3,M38/M39-1,M39/M38-1))</f>
        <v/>
      </c>
      <c r="N40" s="51" t="str">
        <f>IF(OR(ISERR(N39/N38-1),N39=""),"",IF($B89=parametros!$I$3,N38/N39-1,N39/N38-1))</f>
        <v/>
      </c>
      <c r="O40" s="51" t="str">
        <f>IF(OR(ISERR(O39/O38-1),O39=""),"",IF($B89=parametros!$I$3,O38/O39-1,O39/O38-1))</f>
        <v/>
      </c>
      <c r="P40" s="51" t="str">
        <f>IF(OR(ISERR(P39/P38-1),P39=""),"",IF($B89=parametros!$I$3,P38/P39-1,P39/P38-1))</f>
        <v/>
      </c>
      <c r="Q40" s="51" t="str">
        <f>IF(OR(ISERR(Q39/Q38-1),Q39=""),"",IF($B90=parametros!$I$3,Q38/Q39-1,Q39/Q38-1))</f>
        <v/>
      </c>
      <c r="R40" s="51" t="str">
        <f>IF(OR(ISERR(R39/R38-1),R39=""),"",IF($B90=parametros!$I$3,R38/R39-1,R39/R38-1))</f>
        <v/>
      </c>
      <c r="T40" s="51" t="str">
        <f>IF(OR(ISERR(T39/T38-1),T39=""),"",IF($B90=parametros!$I$3,T38/T39-1,T39/T38-1))</f>
        <v/>
      </c>
      <c r="U40" s="51" t="str">
        <f>IF(OR(ISERR(U39/U38-1),U39=""),"",IF($B90=parametros!$I$3,U38/U39-1,U39/U38-1))</f>
        <v/>
      </c>
      <c r="V40" s="51" t="str">
        <f>IF(OR(ISERR(V39/V38-1),V39=""),"",IF($B90=parametros!$I$3,V38/V39-1,V39/V38-1))</f>
        <v/>
      </c>
      <c r="W40" s="51" t="str">
        <f>IF(OR(ISERR(W39/W38-1),W39=""),"",IF($B90=parametros!$I$3,W38/W39-1,W39/W38-1))</f>
        <v/>
      </c>
      <c r="X40" s="51" t="str">
        <f>IF(OR(ISERR(X39/X38-1),X39=""),"",IF($B90=parametros!$I$3,X38/X39-1,X39/X38-1))</f>
        <v/>
      </c>
      <c r="Y40" s="51" t="str">
        <f>IF(OR(ISERR(Y39/Y38-1),Y39=""),"",IF($B90=parametros!$I$3,Y38/Y39-1,Y39/Y38-1))</f>
        <v/>
      </c>
      <c r="Z40" s="51" t="str">
        <f>IF(OR(ISERR(Z39/Z38-1),Z39=""),"",IF($B90=parametros!$I$3,Z38/Z39-1,Z39/Z38-1))</f>
        <v/>
      </c>
      <c r="AA40" s="51" t="str">
        <f>IF(OR(ISERR(AA39/AA38-1),AA39=""),"",IF($B90=parametros!$I$3,AA38/AA39-1,AA39/AA38-1))</f>
        <v/>
      </c>
      <c r="AB40" s="51" t="str">
        <f>IF(OR(ISERR(AB39/AB38-1),AB39=""),"",IF($B90=parametros!$I$3,AB38/AB39-1,AB39/AB38-1))</f>
        <v/>
      </c>
      <c r="AC40" s="51" t="str">
        <f>IF(OR(ISERR(AC39/AC38-1),AC39=""),"",IF($B90=parametros!$I$3,AC38/AC39-1,AC39/AC38-1))</f>
        <v/>
      </c>
      <c r="AD40" s="51" t="str">
        <f>IF(OR(ISERR(AD39/AD38-1),AD39=""),"",IF($B90=parametros!$I$3,AD38/AD39-1,AD39/AD38-1))</f>
        <v/>
      </c>
      <c r="AE40" s="51" t="str">
        <f>IF(OR(ISERR(AE39/AE38-1),AE39=""),"",IF($B90=parametros!$I$3,AE38/AE39-1,AE39/AE38-1))</f>
        <v/>
      </c>
      <c r="AF40" s="51" t="str">
        <f>IF(OR(ISERR(AF39/AF38-1),AF39=""),"",IF($B90=parametros!$I$3,AF38/AF39-1,AF39/AF38-1))</f>
        <v/>
      </c>
      <c r="AG40" s="51" t="str">
        <f>IF(OR(ISERR(AG39/AG38-1),AG39=""),"",IF($B90=parametros!$I$3,AG38/AG39-1,AG39/AG38-1))</f>
        <v/>
      </c>
      <c r="AI40" s="51" t="str">
        <f>IF(OR(ISERR(AI39/AI38-1),AI39=""),"",IF($B90=parametros!$I$3,AI38/AI39-1,AI39/AI38-1))</f>
        <v/>
      </c>
      <c r="AJ40" s="51" t="str">
        <f>IF(OR(ISERR(AJ39/AJ38-1),AJ39=""),"",IF($B90=parametros!$I$3,AJ38/AJ39-1,AJ39/AJ38-1))</f>
        <v/>
      </c>
      <c r="AK40" s="51" t="str">
        <f>IF(OR(ISERR(AK39/AK38-1),AK39=""),"",IF($B90=parametros!$I$3,AK38/AK39-1,AK39/AK38-1))</f>
        <v/>
      </c>
      <c r="AL40" s="51" t="str">
        <f>IF(OR(ISERR(AL39/AL38-1),AL39=""),"",IF($B90=parametros!$I$3,AL38/AL39-1,AL39/AL38-1))</f>
        <v/>
      </c>
      <c r="AM40" s="51" t="str">
        <f>IF(OR(ISERR(AM39/AM38-1),AM39=""),"",IF($B90=parametros!$I$3,AM38/AM39-1,AM39/AM38-1))</f>
        <v/>
      </c>
      <c r="AN40" s="51" t="str">
        <f>IF(OR(ISERR(AN39/AN38-1),AN39=""),"",IF($B90=parametros!$I$3,AN38/AN39-1,AN39/AN38-1))</f>
        <v/>
      </c>
      <c r="AO40" s="51" t="str">
        <f>IF(OR(ISERR(AO39/AO38-1),AO39=""),"",IF($B90=parametros!$I$3,AO38/AO39-1,AO39/AO38-1))</f>
        <v/>
      </c>
      <c r="AP40" s="51" t="str">
        <f>IF(OR(ISERR(AP39/AP38-1),AP39=""),"",IF($B90=parametros!$I$3,AP38/AP39-1,AP39/AP38-1))</f>
        <v/>
      </c>
      <c r="AQ40" s="51" t="str">
        <f>IF(OR(ISERR(AQ39/AQ38-1),AQ39=""),"",IF($B90=parametros!$I$3,AQ38/AQ39-1,AQ39/AQ38-1))</f>
        <v/>
      </c>
      <c r="AR40" s="51" t="str">
        <f>IF(OR(ISERR(AR39/AR38-1),AR39=""),"",IF($B90=parametros!$I$3,AR38/AR39-1,AR39/AR38-1))</f>
        <v/>
      </c>
      <c r="AS40" s="51" t="str">
        <f>IF(OR(ISERR(AS39/AS38-1),AS39=""),"",IF($B90=parametros!$I$3,AS38/AS39-1,AS39/AS38-1))</f>
        <v/>
      </c>
      <c r="AT40" s="51" t="str">
        <f>IF(OR(ISERR(AT39/AT38-1),AT39=""),"",IF($B90=parametros!$I$3,AT38/AT39-1,AT39/AT38-1))</f>
        <v/>
      </c>
      <c r="AU40" s="51" t="str">
        <f>IF(OR(ISERR(AU39/AU38-1),AU39=""),"",IF($B90=parametros!$I$3,AU38/AU39-1,AU39/AU38-1))</f>
        <v/>
      </c>
      <c r="AV40" s="51" t="str">
        <f>IF(OR(ISERR(AV39/AV38-1),AV39=""),"",IF($B90=parametros!$I$3,AV38/AV39-1,AV39/AV38-1))</f>
        <v/>
      </c>
      <c r="AX40" s="51" t="str">
        <f>IF(OR(ISERR(AX39/AX38-1),AX39=""),"",IF($B90=parametros!$I$3,AX38/AX39-1,AX39/AX38-1))</f>
        <v/>
      </c>
      <c r="AY40" s="51" t="str">
        <f>IF(OR(ISERR(AY39/AY38-1),AY39=""),"",IF($B90=parametros!$I$3,AY38/AY39-1,AY39/AY38-1))</f>
        <v/>
      </c>
      <c r="AZ40" s="51" t="str">
        <f>IF(OR(ISERR(AZ39/AZ38-1),AZ39=""),"",IF($B90=parametros!$I$3,AZ38/AZ39-1,AZ39/AZ38-1))</f>
        <v/>
      </c>
      <c r="BA40" s="51" t="str">
        <f>IF(OR(ISERR(BA39/BA38-1),BA39=""),"",IF($B90=parametros!$I$3,BA38/BA39-1,BA39/BA38-1))</f>
        <v/>
      </c>
      <c r="BB40" s="51" t="str">
        <f>IF(OR(ISERR(BB39/BB38-1),BB39=""),"",IF($B90=parametros!$I$3,BB38/BB39-1,BB39/BB38-1))</f>
        <v/>
      </c>
      <c r="BC40" s="51" t="str">
        <f>IF(OR(ISERR(BC39/BC38-1),BC39=""),"",IF($B90=parametros!$I$3,BC38/BC39-1,BC39/BC38-1))</f>
        <v/>
      </c>
      <c r="BD40" s="51" t="str">
        <f>IF(OR(ISERR(BD39/BD38-1),BD39=""),"",IF($B90=parametros!$I$3,BD38/BD39-1,BD39/BD38-1))</f>
        <v/>
      </c>
      <c r="BE40" s="51" t="str">
        <f>IF(OR(ISERR(BE39/BE38-1),BE39=""),"",IF($B90=parametros!$I$3,BE38/BE39-1,BE39/BE38-1))</f>
        <v/>
      </c>
      <c r="BF40" s="51" t="str">
        <f>IF(OR(ISERR(BF39/BF38-1),BF39=""),"",IF($B90=parametros!$I$3,BF38/BF39-1,BF39/BF38-1))</f>
        <v/>
      </c>
      <c r="BG40" s="51" t="str">
        <f>IF(OR(ISERR(BG39/BG38-1),BG39=""),"",IF($B90=parametros!$I$3,BG38/BG39-1,BG39/BG38-1))</f>
        <v/>
      </c>
      <c r="BH40" s="51" t="str">
        <f>IF(OR(ISERR(BH39/BH38-1),BH39=""),"",IF($B90=parametros!$I$3,BH38/BH39-1,BH39/BH38-1))</f>
        <v/>
      </c>
      <c r="BI40" s="51" t="str">
        <f>IF(OR(ISERR(BI39/BI38-1),BI39=""),"",IF($B90=parametros!$I$3,BI38/BI39-1,BI39/BI38-1))</f>
        <v/>
      </c>
      <c r="BJ40" s="51" t="str">
        <f>IF(OR(ISERR(BJ39/BJ38-1),BJ39=""),"",IF($B90=parametros!$I$3,BJ38/BJ39-1,BJ39/BJ38-1))</f>
        <v/>
      </c>
      <c r="BK40" s="51" t="str">
        <f>IF(OR(ISERR(BK39/BK38-1),BK39=""),"",IF($B90=parametros!$I$3,BK38/BK39-1,BK39/BK38-1))</f>
        <v/>
      </c>
      <c r="BM40" s="51" t="str">
        <f>IF(OR(ISERR(BM39/BM38-1),BM39=""),"",IF($B90=parametros!$I$3,BM38/BM39-1,BM39/BM38-1))</f>
        <v/>
      </c>
      <c r="BN40" s="51" t="str">
        <f>IF(OR(ISERR(BN39/BN38-1),BN39=""),"",IF($B90=parametros!$I$3,BN38/BN39-1,BN39/BN38-1))</f>
        <v/>
      </c>
      <c r="BO40" s="51" t="str">
        <f>IF(OR(ISERR(BO39/BO38-1),BO39=""),"",IF($B90=parametros!$I$3,BO38/BO39-1,BO39/BO38-1))</f>
        <v/>
      </c>
      <c r="BP40" s="51" t="str">
        <f>IF(OR(ISERR(BP39/BP38-1),BP39=""),"",IF($B90=parametros!$I$3,BP38/BP39-1,BP39/BP38-1))</f>
        <v/>
      </c>
      <c r="BQ40" s="51" t="str">
        <f>IF(OR(ISERR(BQ39/BQ38-1),BQ39=""),"",IF($B90=parametros!$I$3,BQ38/BQ39-1,BQ39/BQ38-1))</f>
        <v/>
      </c>
      <c r="BR40" s="51" t="str">
        <f>IF(OR(ISERR(BR39/BR38-1),BR39=""),"",IF($B90=parametros!$I$3,BR38/BR39-1,BR39/BR38-1))</f>
        <v/>
      </c>
      <c r="BS40" s="51" t="str">
        <f>IF(OR(ISERR(BS39/BS38-1),BS39=""),"",IF($B90=parametros!$I$3,BS38/BS39-1,BS39/BS38-1))</f>
        <v/>
      </c>
      <c r="BT40" s="51" t="str">
        <f>IF(OR(ISERR(BT39/BT38-1),BT39=""),"",IF($B90=parametros!$I$3,BT38/BT39-1,BT39/BT38-1))</f>
        <v/>
      </c>
      <c r="BU40" s="51" t="str">
        <f>IF(OR(ISERR(BU39/BU38-1),BU39=""),"",IF($B90=parametros!$I$3,BU38/BU39-1,BU39/BU38-1))</f>
        <v/>
      </c>
      <c r="BV40" s="51" t="str">
        <f>IF(OR(ISERR(BV39/BV38-1),BV39=""),"",IF($B90=parametros!$I$3,BV38/BV39-1,BV39/BV38-1))</f>
        <v/>
      </c>
      <c r="BW40" s="51" t="str">
        <f>IF(OR(ISERR(BW39/BW38-1),BW39=""),"",IF($B90=parametros!$I$3,BW38/BW39-1,BW39/BW38-1))</f>
        <v/>
      </c>
      <c r="BX40" s="51" t="str">
        <f>IF(OR(ISERR(BX39/BX38-1),BX39=""),"",IF($B90=parametros!$I$3,BX38/BX39-1,BX39/BX38-1))</f>
        <v/>
      </c>
      <c r="BY40" s="51" t="str">
        <f>IF(OR(ISERR(BY39/BY38-1),BY39=""),"",IF($B90=parametros!$I$3,BY38/BY39-1,BY39/BY38-1))</f>
        <v/>
      </c>
      <c r="BZ40" s="51" t="str">
        <f>IF(OR(ISERR(BZ39/BZ38-1),BZ39=""),"",IF($B90=parametros!$I$3,BZ38/BZ39-1,BZ39/BZ38-1))</f>
        <v/>
      </c>
    </row>
    <row r="41" spans="1:78" ht="4.95" customHeight="1" x14ac:dyDescent="0.4"/>
    <row r="42" spans="1:78" ht="22.05" customHeight="1" thickBot="1" x14ac:dyDescent="0.45">
      <c r="B42" s="104">
        <f>8</f>
        <v>8</v>
      </c>
      <c r="C42" s="33" t="s">
        <v>71</v>
      </c>
      <c r="D42" s="41" t="s">
        <v>44</v>
      </c>
      <c r="E42" s="34" t="s">
        <v>47</v>
      </c>
      <c r="F42" s="34" t="s">
        <v>48</v>
      </c>
      <c r="G42" s="34" t="s">
        <v>49</v>
      </c>
      <c r="H42" s="34" t="s">
        <v>50</v>
      </c>
      <c r="I42" s="34" t="s">
        <v>51</v>
      </c>
      <c r="J42" s="34" t="s">
        <v>52</v>
      </c>
      <c r="K42" s="34" t="s">
        <v>53</v>
      </c>
      <c r="L42" s="34" t="s">
        <v>54</v>
      </c>
      <c r="M42" s="34" t="s">
        <v>55</v>
      </c>
      <c r="N42" s="34" t="s">
        <v>56</v>
      </c>
      <c r="O42" s="34" t="s">
        <v>57</v>
      </c>
      <c r="P42" s="34" t="s">
        <v>58</v>
      </c>
      <c r="Q42" s="34" t="s">
        <v>59</v>
      </c>
      <c r="R42" s="35" t="s">
        <v>60</v>
      </c>
      <c r="T42" s="34" t="s">
        <v>47</v>
      </c>
      <c r="U42" s="34" t="s">
        <v>48</v>
      </c>
      <c r="V42" s="34" t="s">
        <v>49</v>
      </c>
      <c r="W42" s="34" t="s">
        <v>50</v>
      </c>
      <c r="X42" s="34" t="s">
        <v>51</v>
      </c>
      <c r="Y42" s="34" t="s">
        <v>52</v>
      </c>
      <c r="Z42" s="34" t="s">
        <v>53</v>
      </c>
      <c r="AA42" s="34" t="s">
        <v>54</v>
      </c>
      <c r="AB42" s="34" t="s">
        <v>55</v>
      </c>
      <c r="AC42" s="34" t="s">
        <v>56</v>
      </c>
      <c r="AD42" s="34" t="s">
        <v>57</v>
      </c>
      <c r="AE42" s="34" t="s">
        <v>58</v>
      </c>
      <c r="AF42" s="34" t="s">
        <v>59</v>
      </c>
      <c r="AG42" s="35" t="s">
        <v>60</v>
      </c>
      <c r="AI42" s="34" t="s">
        <v>47</v>
      </c>
      <c r="AJ42" s="34" t="s">
        <v>48</v>
      </c>
      <c r="AK42" s="34" t="s">
        <v>49</v>
      </c>
      <c r="AL42" s="34" t="s">
        <v>50</v>
      </c>
      <c r="AM42" s="34" t="s">
        <v>51</v>
      </c>
      <c r="AN42" s="34" t="s">
        <v>52</v>
      </c>
      <c r="AO42" s="34" t="s">
        <v>53</v>
      </c>
      <c r="AP42" s="34" t="s">
        <v>54</v>
      </c>
      <c r="AQ42" s="34" t="s">
        <v>55</v>
      </c>
      <c r="AR42" s="34" t="s">
        <v>56</v>
      </c>
      <c r="AS42" s="34" t="s">
        <v>57</v>
      </c>
      <c r="AT42" s="34" t="s">
        <v>58</v>
      </c>
      <c r="AU42" s="34" t="s">
        <v>59</v>
      </c>
      <c r="AV42" s="35" t="s">
        <v>60</v>
      </c>
      <c r="AX42" s="34" t="s">
        <v>47</v>
      </c>
      <c r="AY42" s="34" t="s">
        <v>48</v>
      </c>
      <c r="AZ42" s="34" t="s">
        <v>49</v>
      </c>
      <c r="BA42" s="34" t="s">
        <v>50</v>
      </c>
      <c r="BB42" s="34" t="s">
        <v>51</v>
      </c>
      <c r="BC42" s="34" t="s">
        <v>52</v>
      </c>
      <c r="BD42" s="34" t="s">
        <v>53</v>
      </c>
      <c r="BE42" s="34" t="s">
        <v>54</v>
      </c>
      <c r="BF42" s="34" t="s">
        <v>55</v>
      </c>
      <c r="BG42" s="34" t="s">
        <v>56</v>
      </c>
      <c r="BH42" s="34" t="s">
        <v>57</v>
      </c>
      <c r="BI42" s="34" t="s">
        <v>58</v>
      </c>
      <c r="BJ42" s="34" t="s">
        <v>59</v>
      </c>
      <c r="BK42" s="35" t="s">
        <v>60</v>
      </c>
      <c r="BM42" s="34" t="s">
        <v>47</v>
      </c>
      <c r="BN42" s="34" t="s">
        <v>48</v>
      </c>
      <c r="BO42" s="34" t="s">
        <v>49</v>
      </c>
      <c r="BP42" s="34" t="s">
        <v>50</v>
      </c>
      <c r="BQ42" s="34" t="s">
        <v>51</v>
      </c>
      <c r="BR42" s="34" t="s">
        <v>52</v>
      </c>
      <c r="BS42" s="34" t="s">
        <v>53</v>
      </c>
      <c r="BT42" s="34" t="s">
        <v>54</v>
      </c>
      <c r="BU42" s="34" t="s">
        <v>55</v>
      </c>
      <c r="BV42" s="34" t="s">
        <v>56</v>
      </c>
      <c r="BW42" s="34" t="s">
        <v>57</v>
      </c>
      <c r="BX42" s="34" t="s">
        <v>58</v>
      </c>
      <c r="BY42" s="34" t="s">
        <v>59</v>
      </c>
      <c r="BZ42" s="35" t="s">
        <v>60</v>
      </c>
    </row>
    <row r="43" spans="1:78" ht="22.05" customHeight="1" thickBot="1" x14ac:dyDescent="0.45">
      <c r="A43" s="104" t="str">
        <f>_xlfn.CONCAT(D43,B42)</f>
        <v>Planejado8</v>
      </c>
      <c r="C43" s="248" t="str">
        <f>C66</f>
        <v xml:space="preserve">: </v>
      </c>
      <c r="D43" s="37" t="s">
        <v>61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s="45">
        <f>SUMIF(E100:P100,"=1",E43:P43)</f>
        <v>0</v>
      </c>
      <c r="R43" s="46">
        <f>SUM(E43:P43)</f>
        <v>0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4"/>
      <c r="AF43" s="45">
        <f>SUMIF(T100:AE100,"=1",T43:AE43)</f>
        <v>0</v>
      </c>
      <c r="AG43" s="46">
        <f>SUM(T43:AE43)</f>
        <v>0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4"/>
      <c r="AU43" s="45">
        <f>SUMIF(AI100:AT100,"=1",AI43:AT43)</f>
        <v>0</v>
      </c>
      <c r="AV43" s="46">
        <f>SUM(AI43:AT43)</f>
        <v>0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4"/>
      <c r="BJ43" s="45">
        <f>SUMIF(AX100:BI100,"=1",AX43:BI43)</f>
        <v>0</v>
      </c>
      <c r="BK43" s="46">
        <f>SUM(AX43:BI43)</f>
        <v>0</v>
      </c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4"/>
      <c r="BY43" s="45">
        <f>SUMIF(BM100:BX100,"=1",BM43:BX43)</f>
        <v>0</v>
      </c>
      <c r="BZ43" s="46">
        <f>SUM(BM43:BX43)</f>
        <v>0</v>
      </c>
    </row>
    <row r="44" spans="1:78" ht="22.05" customHeight="1" thickBot="1" x14ac:dyDescent="0.45">
      <c r="A44" s="104" t="str">
        <f>_xlfn.CONCAT(D44,B42)</f>
        <v>Realizado8</v>
      </c>
      <c r="C44" s="249"/>
      <c r="D44" s="38" t="s">
        <v>62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9"/>
      <c r="Q44" s="45">
        <f>SUMIF(E100:P100,"=1",E44:P44)</f>
        <v>0</v>
      </c>
      <c r="R44" s="46">
        <f>SUM(E44:P44)</f>
        <v>0</v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9"/>
      <c r="AF44" s="45">
        <f>SUMIF(T100:AE100,"=1",T44:AE44)</f>
        <v>0</v>
      </c>
      <c r="AG44" s="46">
        <f>SUM(T44:AE44)</f>
        <v>0</v>
      </c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9"/>
      <c r="AU44" s="45">
        <f>SUMIF(AI100:AT100,"=1",AI44:AT44)</f>
        <v>0</v>
      </c>
      <c r="AV44" s="46">
        <f>SUM(AI44:AT44)</f>
        <v>0</v>
      </c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9"/>
      <c r="BJ44" s="45">
        <f>SUMIF(AX100:BI100,"=1",AX44:BI44)</f>
        <v>0</v>
      </c>
      <c r="BK44" s="46">
        <f>SUM(AX44:BI44)</f>
        <v>0</v>
      </c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9"/>
      <c r="BY44" s="45">
        <f>SUMIF(BM100:BX100,"=1",BM44:BX44)</f>
        <v>0</v>
      </c>
      <c r="BZ44" s="46">
        <f>SUM(BM44:BX44)</f>
        <v>0</v>
      </c>
    </row>
    <row r="45" spans="1:78" ht="22.05" customHeight="1" thickBot="1" x14ac:dyDescent="0.45">
      <c r="C45" s="249"/>
      <c r="D45" s="36" t="s">
        <v>63</v>
      </c>
      <c r="E45" s="51" t="str">
        <f>IF(OR(ISERR(E44/E43-1),E44=""),"",IF($B94=parametros!$I$3,E43/E44-1,E44/E43-1))</f>
        <v/>
      </c>
      <c r="F45" s="51" t="str">
        <f>IF(OR(ISERR(F44/F43-1),F44=""),"",IF($B94=parametros!$I$3,F43/F44-1,F44/F43-1))</f>
        <v/>
      </c>
      <c r="G45" s="51" t="str">
        <f>IF(OR(ISERR(G44/G43-1),G44=""),"",IF($B94=parametros!$I$3,G43/G44-1,G44/G43-1))</f>
        <v/>
      </c>
      <c r="H45" s="51" t="str">
        <f>IF(OR(ISERR(H44/H43-1),H44=""),"",IF($B94=parametros!$I$3,H43/H44-1,H44/H43-1))</f>
        <v/>
      </c>
      <c r="I45" s="51" t="str">
        <f>IF(OR(ISERR(I44/I43-1),I44=""),"",IF($B94=parametros!$I$3,I43/I44-1,I44/I43-1))</f>
        <v/>
      </c>
      <c r="J45" s="51" t="str">
        <f>IF(OR(ISERR(J44/J43-1),J44=""),"",IF($B94=parametros!$I$3,J43/J44-1,J44/J43-1))</f>
        <v/>
      </c>
      <c r="K45" s="51" t="str">
        <f>IF(OR(ISERR(K44/K43-1),K44=""),"",IF($B94=parametros!$I$3,K43/K44-1,K44/K43-1))</f>
        <v/>
      </c>
      <c r="L45" s="51" t="str">
        <f>IF(OR(ISERR(L44/L43-1),L44=""),"",IF($B94=parametros!$I$3,L43/L44-1,L44/L43-1))</f>
        <v/>
      </c>
      <c r="M45" s="51" t="str">
        <f>IF(OR(ISERR(M44/M43-1),M44=""),"",IF($B94=parametros!$I$3,M43/M44-1,M44/M43-1))</f>
        <v/>
      </c>
      <c r="N45" s="51" t="str">
        <f>IF(OR(ISERR(N44/N43-1),N44=""),"",IF($B94=parametros!$I$3,N43/N44-1,N44/N43-1))</f>
        <v/>
      </c>
      <c r="O45" s="51" t="str">
        <f>IF(OR(ISERR(O44/O43-1),O44=""),"",IF($B94=parametros!$I$3,O43/O44-1,O44/O43-1))</f>
        <v/>
      </c>
      <c r="P45" s="51" t="str">
        <f>IF(OR(ISERR(P44/P43-1),P44=""),"",IF($B94=parametros!$I$3,P43/P44-1,P44/P43-1))</f>
        <v/>
      </c>
      <c r="Q45" s="51" t="str">
        <f>IF(OR(ISERR(Q44/Q43-1),Q44=""),"",IF($B95=parametros!$I$3,Q43/Q44-1,Q44/Q43-1))</f>
        <v/>
      </c>
      <c r="R45" s="51" t="str">
        <f>IF(OR(ISERR(R44/R43-1),R44=""),"",IF($B95=parametros!$I$3,R43/R44-1,R44/R43-1))</f>
        <v/>
      </c>
      <c r="T45" s="51" t="str">
        <f>IF(OR(ISERR(T44/T43-1),T44=""),"",IF($B95=parametros!$I$3,T43/T44-1,T44/T43-1))</f>
        <v/>
      </c>
      <c r="U45" s="51" t="str">
        <f>IF(OR(ISERR(U44/U43-1),U44=""),"",IF($B95=parametros!$I$3,U43/U44-1,U44/U43-1))</f>
        <v/>
      </c>
      <c r="V45" s="51" t="str">
        <f>IF(OR(ISERR(V44/V43-1),V44=""),"",IF($B95=parametros!$I$3,V43/V44-1,V44/V43-1))</f>
        <v/>
      </c>
      <c r="W45" s="51" t="str">
        <f>IF(OR(ISERR(W44/W43-1),W44=""),"",IF($B95=parametros!$I$3,W43/W44-1,W44/W43-1))</f>
        <v/>
      </c>
      <c r="X45" s="51" t="str">
        <f>IF(OR(ISERR(X44/X43-1),X44=""),"",IF($B95=parametros!$I$3,X43/X44-1,X44/X43-1))</f>
        <v/>
      </c>
      <c r="Y45" s="51" t="str">
        <f>IF(OR(ISERR(Y44/Y43-1),Y44=""),"",IF($B95=parametros!$I$3,Y43/Y44-1,Y44/Y43-1))</f>
        <v/>
      </c>
      <c r="Z45" s="51" t="str">
        <f>IF(OR(ISERR(Z44/Z43-1),Z44=""),"",IF($B95=parametros!$I$3,Z43/Z44-1,Z44/Z43-1))</f>
        <v/>
      </c>
      <c r="AA45" s="51" t="str">
        <f>IF(OR(ISERR(AA44/AA43-1),AA44=""),"",IF($B95=parametros!$I$3,AA43/AA44-1,AA44/AA43-1))</f>
        <v/>
      </c>
      <c r="AB45" s="51" t="str">
        <f>IF(OR(ISERR(AB44/AB43-1),AB44=""),"",IF($B95=parametros!$I$3,AB43/AB44-1,AB44/AB43-1))</f>
        <v/>
      </c>
      <c r="AC45" s="51" t="str">
        <f>IF(OR(ISERR(AC44/AC43-1),AC44=""),"",IF($B95=parametros!$I$3,AC43/AC44-1,AC44/AC43-1))</f>
        <v/>
      </c>
      <c r="AD45" s="51" t="str">
        <f>IF(OR(ISERR(AD44/AD43-1),AD44=""),"",IF($B95=parametros!$I$3,AD43/AD44-1,AD44/AD43-1))</f>
        <v/>
      </c>
      <c r="AE45" s="51" t="str">
        <f>IF(OR(ISERR(AE44/AE43-1),AE44=""),"",IF($B95=parametros!$I$3,AE43/AE44-1,AE44/AE43-1))</f>
        <v/>
      </c>
      <c r="AF45" s="51" t="str">
        <f>IF(OR(ISERR(AF44/AF43-1),AF44=""),"",IF($B95=parametros!$I$3,AF43/AF44-1,AF44/AF43-1))</f>
        <v/>
      </c>
      <c r="AG45" s="51" t="str">
        <f>IF(OR(ISERR(AG44/AG43-1),AG44=""),"",IF($B95=parametros!$I$3,AG43/AG44-1,AG44/AG43-1))</f>
        <v/>
      </c>
      <c r="AI45" s="51" t="str">
        <f>IF(OR(ISERR(AI44/AI43-1),AI44=""),"",IF($B95=parametros!$I$3,AI43/AI44-1,AI44/AI43-1))</f>
        <v/>
      </c>
      <c r="AJ45" s="51" t="str">
        <f>IF(OR(ISERR(AJ44/AJ43-1),AJ44=""),"",IF($B95=parametros!$I$3,AJ43/AJ44-1,AJ44/AJ43-1))</f>
        <v/>
      </c>
      <c r="AK45" s="51" t="str">
        <f>IF(OR(ISERR(AK44/AK43-1),AK44=""),"",IF($B95=parametros!$I$3,AK43/AK44-1,AK44/AK43-1))</f>
        <v/>
      </c>
      <c r="AL45" s="51" t="str">
        <f>IF(OR(ISERR(AL44/AL43-1),AL44=""),"",IF($B95=parametros!$I$3,AL43/AL44-1,AL44/AL43-1))</f>
        <v/>
      </c>
      <c r="AM45" s="51" t="str">
        <f>IF(OR(ISERR(AM44/AM43-1),AM44=""),"",IF($B95=parametros!$I$3,AM43/AM44-1,AM44/AM43-1))</f>
        <v/>
      </c>
      <c r="AN45" s="51" t="str">
        <f>IF(OR(ISERR(AN44/AN43-1),AN44=""),"",IF($B95=parametros!$I$3,AN43/AN44-1,AN44/AN43-1))</f>
        <v/>
      </c>
      <c r="AO45" s="51" t="str">
        <f>IF(OR(ISERR(AO44/AO43-1),AO44=""),"",IF($B95=parametros!$I$3,AO43/AO44-1,AO44/AO43-1))</f>
        <v/>
      </c>
      <c r="AP45" s="51" t="str">
        <f>IF(OR(ISERR(AP44/AP43-1),AP44=""),"",IF($B95=parametros!$I$3,AP43/AP44-1,AP44/AP43-1))</f>
        <v/>
      </c>
      <c r="AQ45" s="51" t="str">
        <f>IF(OR(ISERR(AQ44/AQ43-1),AQ44=""),"",IF($B95=parametros!$I$3,AQ43/AQ44-1,AQ44/AQ43-1))</f>
        <v/>
      </c>
      <c r="AR45" s="51" t="str">
        <f>IF(OR(ISERR(AR44/AR43-1),AR44=""),"",IF($B95=parametros!$I$3,AR43/AR44-1,AR44/AR43-1))</f>
        <v/>
      </c>
      <c r="AS45" s="51" t="str">
        <f>IF(OR(ISERR(AS44/AS43-1),AS44=""),"",IF($B95=parametros!$I$3,AS43/AS44-1,AS44/AS43-1))</f>
        <v/>
      </c>
      <c r="AT45" s="51" t="str">
        <f>IF(OR(ISERR(AT44/AT43-1),AT44=""),"",IF($B95=parametros!$I$3,AT43/AT44-1,AT44/AT43-1))</f>
        <v/>
      </c>
      <c r="AU45" s="51" t="str">
        <f>IF(OR(ISERR(AU44/AU43-1),AU44=""),"",IF($B95=parametros!$I$3,AU43/AU44-1,AU44/AU43-1))</f>
        <v/>
      </c>
      <c r="AV45" s="51" t="str">
        <f>IF(OR(ISERR(AV44/AV43-1),AV44=""),"",IF($B95=parametros!$I$3,AV43/AV44-1,AV44/AV43-1))</f>
        <v/>
      </c>
      <c r="AX45" s="51" t="str">
        <f>IF(OR(ISERR(AX44/AX43-1),AX44=""),"",IF($B95=parametros!$I$3,AX43/AX44-1,AX44/AX43-1))</f>
        <v/>
      </c>
      <c r="AY45" s="51" t="str">
        <f>IF(OR(ISERR(AY44/AY43-1),AY44=""),"",IF($B95=parametros!$I$3,AY43/AY44-1,AY44/AY43-1))</f>
        <v/>
      </c>
      <c r="AZ45" s="51" t="str">
        <f>IF(OR(ISERR(AZ44/AZ43-1),AZ44=""),"",IF($B95=parametros!$I$3,AZ43/AZ44-1,AZ44/AZ43-1))</f>
        <v/>
      </c>
      <c r="BA45" s="51" t="str">
        <f>IF(OR(ISERR(BA44/BA43-1),BA44=""),"",IF($B95=parametros!$I$3,BA43/BA44-1,BA44/BA43-1))</f>
        <v/>
      </c>
      <c r="BB45" s="51" t="str">
        <f>IF(OR(ISERR(BB44/BB43-1),BB44=""),"",IF($B95=parametros!$I$3,BB43/BB44-1,BB44/BB43-1))</f>
        <v/>
      </c>
      <c r="BC45" s="51" t="str">
        <f>IF(OR(ISERR(BC44/BC43-1),BC44=""),"",IF($B95=parametros!$I$3,BC43/BC44-1,BC44/BC43-1))</f>
        <v/>
      </c>
      <c r="BD45" s="51" t="str">
        <f>IF(OR(ISERR(BD44/BD43-1),BD44=""),"",IF($B95=parametros!$I$3,BD43/BD44-1,BD44/BD43-1))</f>
        <v/>
      </c>
      <c r="BE45" s="51" t="str">
        <f>IF(OR(ISERR(BE44/BE43-1),BE44=""),"",IF($B95=parametros!$I$3,BE43/BE44-1,BE44/BE43-1))</f>
        <v/>
      </c>
      <c r="BF45" s="51" t="str">
        <f>IF(OR(ISERR(BF44/BF43-1),BF44=""),"",IF($B95=parametros!$I$3,BF43/BF44-1,BF44/BF43-1))</f>
        <v/>
      </c>
      <c r="BG45" s="51" t="str">
        <f>IF(OR(ISERR(BG44/BG43-1),BG44=""),"",IF($B95=parametros!$I$3,BG43/BG44-1,BG44/BG43-1))</f>
        <v/>
      </c>
      <c r="BH45" s="51" t="str">
        <f>IF(OR(ISERR(BH44/BH43-1),BH44=""),"",IF($B95=parametros!$I$3,BH43/BH44-1,BH44/BH43-1))</f>
        <v/>
      </c>
      <c r="BI45" s="51" t="str">
        <f>IF(OR(ISERR(BI44/BI43-1),BI44=""),"",IF($B95=parametros!$I$3,BI43/BI44-1,BI44/BI43-1))</f>
        <v/>
      </c>
      <c r="BJ45" s="51" t="str">
        <f>IF(OR(ISERR(BJ44/BJ43-1),BJ44=""),"",IF($B95=parametros!$I$3,BJ43/BJ44-1,BJ44/BJ43-1))</f>
        <v/>
      </c>
      <c r="BK45" s="51" t="str">
        <f>IF(OR(ISERR(BK44/BK43-1),BK44=""),"",IF($B95=parametros!$I$3,BK43/BK44-1,BK44/BK43-1))</f>
        <v/>
      </c>
      <c r="BM45" s="51" t="str">
        <f>IF(OR(ISERR(BM44/BM43-1),BM44=""),"",IF($B95=parametros!$I$3,BM43/BM44-1,BM44/BM43-1))</f>
        <v/>
      </c>
      <c r="BN45" s="51" t="str">
        <f>IF(OR(ISERR(BN44/BN43-1),BN44=""),"",IF($B95=parametros!$I$3,BN43/BN44-1,BN44/BN43-1))</f>
        <v/>
      </c>
      <c r="BO45" s="51" t="str">
        <f>IF(OR(ISERR(BO44/BO43-1),BO44=""),"",IF($B95=parametros!$I$3,BO43/BO44-1,BO44/BO43-1))</f>
        <v/>
      </c>
      <c r="BP45" s="51" t="str">
        <f>IF(OR(ISERR(BP44/BP43-1),BP44=""),"",IF($B95=parametros!$I$3,BP43/BP44-1,BP44/BP43-1))</f>
        <v/>
      </c>
      <c r="BQ45" s="51" t="str">
        <f>IF(OR(ISERR(BQ44/BQ43-1),BQ44=""),"",IF($B95=parametros!$I$3,BQ43/BQ44-1,BQ44/BQ43-1))</f>
        <v/>
      </c>
      <c r="BR45" s="51" t="str">
        <f>IF(OR(ISERR(BR44/BR43-1),BR44=""),"",IF($B95=parametros!$I$3,BR43/BR44-1,BR44/BR43-1))</f>
        <v/>
      </c>
      <c r="BS45" s="51" t="str">
        <f>IF(OR(ISERR(BS44/BS43-1),BS44=""),"",IF($B95=parametros!$I$3,BS43/BS44-1,BS44/BS43-1))</f>
        <v/>
      </c>
      <c r="BT45" s="51" t="str">
        <f>IF(OR(ISERR(BT44/BT43-1),BT44=""),"",IF($B95=parametros!$I$3,BT43/BT44-1,BT44/BT43-1))</f>
        <v/>
      </c>
      <c r="BU45" s="51" t="str">
        <f>IF(OR(ISERR(BU44/BU43-1),BU44=""),"",IF($B95=parametros!$I$3,BU43/BU44-1,BU44/BU43-1))</f>
        <v/>
      </c>
      <c r="BV45" s="51" t="str">
        <f>IF(OR(ISERR(BV44/BV43-1),BV44=""),"",IF($B95=parametros!$I$3,BV43/BV44-1,BV44/BV43-1))</f>
        <v/>
      </c>
      <c r="BW45" s="51" t="str">
        <f>IF(OR(ISERR(BW44/BW43-1),BW44=""),"",IF($B95=parametros!$I$3,BW43/BW44-1,BW44/BW43-1))</f>
        <v/>
      </c>
      <c r="BX45" s="51" t="str">
        <f>IF(OR(ISERR(BX44/BX43-1),BX44=""),"",IF($B95=parametros!$I$3,BX43/BX44-1,BX44/BX43-1))</f>
        <v/>
      </c>
      <c r="BY45" s="51" t="str">
        <f>IF(OR(ISERR(BY44/BY43-1),BY44=""),"",IF($B95=parametros!$I$3,BY43/BY44-1,BY44/BY43-1))</f>
        <v/>
      </c>
      <c r="BZ45" s="51" t="str">
        <f>IF(OR(ISERR(BZ44/BZ43-1),BZ44=""),"",IF($B95=parametros!$I$3,BZ43/BZ44-1,BZ44/BZ43-1))</f>
        <v/>
      </c>
    </row>
    <row r="54" spans="1:8" s="104" customFormat="1" x14ac:dyDescent="0.4"/>
    <row r="55" spans="1:8" s="104" customFormat="1" x14ac:dyDescent="0.4"/>
    <row r="56" spans="1:8" s="104" customFormat="1" x14ac:dyDescent="0.4"/>
    <row r="57" spans="1:8" s="104" customFormat="1" x14ac:dyDescent="0.4"/>
    <row r="58" spans="1:8" s="104" customFormat="1" x14ac:dyDescent="0.4"/>
    <row r="59" spans="1:8" s="104" customFormat="1" x14ac:dyDescent="0.4">
      <c r="A59" s="105" t="str">
        <f>me!G6</f>
        <v>Aumentar</v>
      </c>
      <c r="B59" s="105" t="str">
        <f>me!H6</f>
        <v>Base de clientes recorentes</v>
      </c>
      <c r="C59" s="105" t="str">
        <f>_xlfn.CONCAT(me!G6,": ",me!H6)</f>
        <v>Aumentar: Base de clientes recorentes</v>
      </c>
      <c r="D59" s="105">
        <f>R8</f>
        <v>0</v>
      </c>
      <c r="E59" s="105">
        <f>R9</f>
        <v>0</v>
      </c>
      <c r="F59" s="105"/>
      <c r="G59" s="105"/>
      <c r="H59" s="105"/>
    </row>
    <row r="60" spans="1:8" s="104" customFormat="1" x14ac:dyDescent="0.4">
      <c r="A60" s="105" t="str">
        <f>me!G7</f>
        <v>Aumentar</v>
      </c>
      <c r="B60" s="105" t="str">
        <f>me!H7</f>
        <v>Taxa de recompra (Fidelidade)</v>
      </c>
      <c r="C60" s="105" t="str">
        <f>_xlfn.CONCAT(me!G7,": ",me!H7)</f>
        <v>Aumentar: Taxa de recompra (Fidelidade)</v>
      </c>
      <c r="D60" s="105">
        <f>R13</f>
        <v>0</v>
      </c>
      <c r="E60" s="105">
        <f>R14</f>
        <v>0</v>
      </c>
      <c r="F60" s="105"/>
      <c r="G60" s="105"/>
      <c r="H60" s="105"/>
    </row>
    <row r="61" spans="1:8" s="104" customFormat="1" x14ac:dyDescent="0.4">
      <c r="A61" s="105" t="str">
        <f>me!G8</f>
        <v>Aumentar</v>
      </c>
      <c r="B61" s="105" t="str">
        <f>me!H8</f>
        <v>Agendamentos pelo instagram e whatsapp</v>
      </c>
      <c r="C61" s="105" t="str">
        <f>_xlfn.CONCAT(me!G8,": ",me!H8)</f>
        <v>Aumentar: Agendamentos pelo instagram e whatsapp</v>
      </c>
      <c r="D61" s="105">
        <f>R18</f>
        <v>0</v>
      </c>
      <c r="E61" s="105">
        <f>R19</f>
        <v>0</v>
      </c>
      <c r="F61" s="105"/>
      <c r="G61" s="105"/>
      <c r="H61" s="105"/>
    </row>
    <row r="62" spans="1:8" s="104" customFormat="1" x14ac:dyDescent="0.4">
      <c r="A62" s="105" t="str">
        <f>me!G9</f>
        <v>Aumentar</v>
      </c>
      <c r="B62" s="105" t="str">
        <f>me!H9</f>
        <v>Alavancar Engajamento médio</v>
      </c>
      <c r="C62" s="105" t="str">
        <f>_xlfn.CONCAT(me!G9,": ",me!H9)</f>
        <v>Aumentar: Alavancar Engajamento médio</v>
      </c>
      <c r="D62" s="105">
        <f>R23</f>
        <v>0</v>
      </c>
      <c r="E62" s="105">
        <f>R24</f>
        <v>0</v>
      </c>
      <c r="F62" s="105"/>
      <c r="G62" s="105"/>
      <c r="H62" s="105"/>
    </row>
    <row r="63" spans="1:8" s="104" customFormat="1" x14ac:dyDescent="0.4">
      <c r="A63" s="105">
        <f>me!G10</f>
        <v>0</v>
      </c>
      <c r="B63" s="105">
        <f>me!H10</f>
        <v>0</v>
      </c>
      <c r="C63" s="105" t="str">
        <f>_xlfn.CONCAT(me!G10,": ",me!H10)</f>
        <v xml:space="preserve">: </v>
      </c>
      <c r="D63" s="105">
        <f>R28</f>
        <v>0</v>
      </c>
      <c r="E63" s="105">
        <f>R29</f>
        <v>0</v>
      </c>
      <c r="F63" s="105"/>
      <c r="G63" s="105"/>
      <c r="H63" s="105"/>
    </row>
    <row r="64" spans="1:8" s="104" customFormat="1" x14ac:dyDescent="0.4">
      <c r="A64" s="105">
        <f>me!G11</f>
        <v>0</v>
      </c>
      <c r="B64" s="105">
        <f>me!H11</f>
        <v>0</v>
      </c>
      <c r="C64" s="105" t="str">
        <f>_xlfn.CONCAT(me!G11,": ",me!H11)</f>
        <v xml:space="preserve">: </v>
      </c>
      <c r="D64" s="105">
        <f>R33</f>
        <v>0</v>
      </c>
      <c r="E64" s="105">
        <f>R34</f>
        <v>0</v>
      </c>
      <c r="F64" s="105"/>
      <c r="G64" s="105"/>
      <c r="H64" s="105"/>
    </row>
    <row r="65" spans="1:16" s="104" customFormat="1" x14ac:dyDescent="0.4">
      <c r="A65" s="105">
        <f>me!G12</f>
        <v>0</v>
      </c>
      <c r="B65" s="105">
        <f>me!H12</f>
        <v>0</v>
      </c>
      <c r="C65" s="105" t="str">
        <f>_xlfn.CONCAT(me!G12,": ",me!H12)</f>
        <v xml:space="preserve">: </v>
      </c>
      <c r="D65" s="105">
        <f>R38</f>
        <v>0</v>
      </c>
      <c r="E65" s="105">
        <f>R39</f>
        <v>0</v>
      </c>
      <c r="F65" s="105"/>
      <c r="G65" s="105"/>
      <c r="H65" s="105"/>
    </row>
    <row r="66" spans="1:16" s="104" customFormat="1" x14ac:dyDescent="0.4">
      <c r="A66" s="105">
        <f>me!G13</f>
        <v>0</v>
      </c>
      <c r="B66" s="105">
        <f>me!H13</f>
        <v>0</v>
      </c>
      <c r="C66" s="105" t="str">
        <f>_xlfn.CONCAT(me!G13,": ",me!H13)</f>
        <v xml:space="preserve">: </v>
      </c>
      <c r="D66" s="105">
        <f>R43</f>
        <v>0</v>
      </c>
      <c r="E66" s="105">
        <f>R44</f>
        <v>0</v>
      </c>
      <c r="F66" s="105"/>
      <c r="G66" s="105"/>
      <c r="H66" s="105"/>
    </row>
    <row r="67" spans="1:16" s="104" customFormat="1" x14ac:dyDescent="0.4">
      <c r="D67" s="104" t="str">
        <f>D6</f>
        <v>Ano 1</v>
      </c>
      <c r="F67" s="104" t="str">
        <f>T6</f>
        <v>Ano 2</v>
      </c>
      <c r="H67" s="104" t="str">
        <f>AI6</f>
        <v>Ano 3</v>
      </c>
      <c r="J67" s="104" t="str">
        <f>AX6</f>
        <v>Ano 4</v>
      </c>
      <c r="L67" s="104" t="str">
        <f>BM6</f>
        <v>Ano 5</v>
      </c>
      <c r="N67" s="104" t="s">
        <v>305</v>
      </c>
    </row>
    <row r="68" spans="1:16" s="104" customFormat="1" x14ac:dyDescent="0.4">
      <c r="D68" s="104" t="s">
        <v>285</v>
      </c>
      <c r="E68" s="104" t="s">
        <v>286</v>
      </c>
      <c r="F68" s="104" t="s">
        <v>289</v>
      </c>
      <c r="G68" s="104" t="s">
        <v>290</v>
      </c>
      <c r="H68" s="104" t="s">
        <v>291</v>
      </c>
      <c r="I68" s="104" t="s">
        <v>292</v>
      </c>
      <c r="J68" s="104" t="s">
        <v>293</v>
      </c>
      <c r="K68" s="104" t="s">
        <v>294</v>
      </c>
      <c r="L68" s="104" t="s">
        <v>287</v>
      </c>
      <c r="M68" s="104" t="s">
        <v>288</v>
      </c>
      <c r="N68" s="104" t="s">
        <v>59</v>
      </c>
      <c r="O68" s="104" t="s">
        <v>60</v>
      </c>
      <c r="P68" s="104" t="s">
        <v>306</v>
      </c>
    </row>
    <row r="69" spans="1:16" s="104" customFormat="1" x14ac:dyDescent="0.4">
      <c r="C69" s="104" t="s">
        <v>271</v>
      </c>
      <c r="D69" s="104">
        <f t="shared" ref="D69:M69" si="0">INDEX($E$6:$BZ$45,MATCH($C69,$A$6:$A$45,0),MATCH(D$68,$E$5:$BZ$5,0))</f>
        <v>0</v>
      </c>
      <c r="E69" s="104">
        <f t="shared" si="0"/>
        <v>0</v>
      </c>
      <c r="F69" s="104">
        <f t="shared" si="0"/>
        <v>0</v>
      </c>
      <c r="G69" s="104">
        <f t="shared" si="0"/>
        <v>0</v>
      </c>
      <c r="H69" s="104">
        <f t="shared" si="0"/>
        <v>0</v>
      </c>
      <c r="I69" s="104">
        <f t="shared" si="0"/>
        <v>0</v>
      </c>
      <c r="J69" s="104">
        <f t="shared" si="0"/>
        <v>0</v>
      </c>
      <c r="K69" s="104">
        <f t="shared" si="0"/>
        <v>0</v>
      </c>
      <c r="L69" s="104">
        <f t="shared" si="0"/>
        <v>0</v>
      </c>
      <c r="M69" s="104">
        <f t="shared" si="0"/>
        <v>0</v>
      </c>
      <c r="N69" s="104">
        <f>AVERAGE(D69,F69,H69,J69,L69)</f>
        <v>0</v>
      </c>
      <c r="O69" s="104">
        <f>AVERAGE(E69,G69,I69,K69,M69)</f>
        <v>0</v>
      </c>
      <c r="P69" s="104">
        <f>IFERROR(N69/O69,0)</f>
        <v>0</v>
      </c>
    </row>
    <row r="70" spans="1:16" s="104" customFormat="1" x14ac:dyDescent="0.4">
      <c r="C70" s="104" t="s">
        <v>272</v>
      </c>
      <c r="D70" s="104">
        <f t="shared" ref="D70:M84" si="1">INDEX($E$6:$BZ$45,MATCH($C70,$A$6:$A$45,0),MATCH(D$68,$E$5:$BZ$5,0))</f>
        <v>0</v>
      </c>
      <c r="E70" s="104">
        <f t="shared" si="1"/>
        <v>0</v>
      </c>
      <c r="F70" s="104">
        <f t="shared" si="1"/>
        <v>0</v>
      </c>
      <c r="G70" s="104">
        <f t="shared" si="1"/>
        <v>0</v>
      </c>
      <c r="H70" s="104">
        <f t="shared" si="1"/>
        <v>0</v>
      </c>
      <c r="I70" s="104">
        <f t="shared" si="1"/>
        <v>0</v>
      </c>
      <c r="J70" s="104">
        <f t="shared" si="1"/>
        <v>0</v>
      </c>
      <c r="K70" s="104">
        <f t="shared" si="1"/>
        <v>0</v>
      </c>
      <c r="L70" s="104">
        <f t="shared" si="1"/>
        <v>0</v>
      </c>
      <c r="M70" s="104">
        <f t="shared" si="1"/>
        <v>0</v>
      </c>
      <c r="N70" s="104">
        <f t="shared" ref="N70:O84" si="2">AVERAGE(D70,F70,H70,J70,L70)</f>
        <v>0</v>
      </c>
      <c r="O70" s="104">
        <f t="shared" si="2"/>
        <v>0</v>
      </c>
      <c r="P70" s="104">
        <f t="shared" ref="P70:P84" si="3">IFERROR(N70/O70,0)</f>
        <v>0</v>
      </c>
    </row>
    <row r="71" spans="1:16" s="104" customFormat="1" x14ac:dyDescent="0.4">
      <c r="C71" s="104" t="s">
        <v>273</v>
      </c>
      <c r="D71" s="104">
        <f t="shared" si="1"/>
        <v>0</v>
      </c>
      <c r="E71" s="104">
        <f t="shared" si="1"/>
        <v>0</v>
      </c>
      <c r="F71" s="104">
        <f t="shared" si="1"/>
        <v>0</v>
      </c>
      <c r="G71" s="104">
        <f t="shared" si="1"/>
        <v>0</v>
      </c>
      <c r="H71" s="104">
        <f t="shared" si="1"/>
        <v>0</v>
      </c>
      <c r="I71" s="104">
        <f t="shared" si="1"/>
        <v>0</v>
      </c>
      <c r="J71" s="104">
        <f t="shared" si="1"/>
        <v>0</v>
      </c>
      <c r="K71" s="104">
        <f t="shared" si="1"/>
        <v>0</v>
      </c>
      <c r="L71" s="104">
        <f t="shared" si="1"/>
        <v>0</v>
      </c>
      <c r="M71" s="104">
        <f t="shared" si="1"/>
        <v>0</v>
      </c>
      <c r="N71" s="104">
        <f t="shared" si="2"/>
        <v>0</v>
      </c>
      <c r="O71" s="104">
        <f t="shared" si="2"/>
        <v>0</v>
      </c>
      <c r="P71" s="104">
        <f t="shared" si="3"/>
        <v>0</v>
      </c>
    </row>
    <row r="72" spans="1:16" s="104" customFormat="1" x14ac:dyDescent="0.4">
      <c r="C72" s="104" t="s">
        <v>274</v>
      </c>
      <c r="D72" s="104">
        <f t="shared" si="1"/>
        <v>0</v>
      </c>
      <c r="E72" s="104">
        <f t="shared" si="1"/>
        <v>0</v>
      </c>
      <c r="F72" s="104">
        <f t="shared" si="1"/>
        <v>0</v>
      </c>
      <c r="G72" s="104">
        <f t="shared" si="1"/>
        <v>0</v>
      </c>
      <c r="H72" s="104">
        <f t="shared" si="1"/>
        <v>0</v>
      </c>
      <c r="I72" s="104">
        <f t="shared" si="1"/>
        <v>0</v>
      </c>
      <c r="J72" s="104">
        <f t="shared" si="1"/>
        <v>0</v>
      </c>
      <c r="K72" s="104">
        <f t="shared" si="1"/>
        <v>0</v>
      </c>
      <c r="L72" s="104">
        <f t="shared" si="1"/>
        <v>0</v>
      </c>
      <c r="M72" s="104">
        <f t="shared" si="1"/>
        <v>0</v>
      </c>
      <c r="N72" s="104">
        <f t="shared" si="2"/>
        <v>0</v>
      </c>
      <c r="O72" s="104">
        <f t="shared" si="2"/>
        <v>0</v>
      </c>
      <c r="P72" s="104">
        <f t="shared" si="3"/>
        <v>0</v>
      </c>
    </row>
    <row r="73" spans="1:16" s="104" customFormat="1" x14ac:dyDescent="0.4">
      <c r="C73" s="104" t="s">
        <v>275</v>
      </c>
      <c r="D73" s="104">
        <f t="shared" si="1"/>
        <v>0</v>
      </c>
      <c r="E73" s="104">
        <f t="shared" si="1"/>
        <v>0</v>
      </c>
      <c r="F73" s="104">
        <f t="shared" si="1"/>
        <v>0</v>
      </c>
      <c r="G73" s="104">
        <f t="shared" si="1"/>
        <v>0</v>
      </c>
      <c r="H73" s="104">
        <f t="shared" si="1"/>
        <v>0</v>
      </c>
      <c r="I73" s="104">
        <f t="shared" si="1"/>
        <v>0</v>
      </c>
      <c r="J73" s="104">
        <f t="shared" si="1"/>
        <v>0</v>
      </c>
      <c r="K73" s="104">
        <f t="shared" si="1"/>
        <v>0</v>
      </c>
      <c r="L73" s="104">
        <f t="shared" si="1"/>
        <v>0</v>
      </c>
      <c r="M73" s="104">
        <f t="shared" si="1"/>
        <v>0</v>
      </c>
      <c r="N73" s="104">
        <f t="shared" si="2"/>
        <v>0</v>
      </c>
      <c r="O73" s="104">
        <f t="shared" si="2"/>
        <v>0</v>
      </c>
      <c r="P73" s="104">
        <f t="shared" si="3"/>
        <v>0</v>
      </c>
    </row>
    <row r="74" spans="1:16" s="104" customFormat="1" x14ac:dyDescent="0.4">
      <c r="C74" s="104" t="s">
        <v>276</v>
      </c>
      <c r="D74" s="104">
        <f t="shared" si="1"/>
        <v>0</v>
      </c>
      <c r="E74" s="104">
        <f t="shared" si="1"/>
        <v>0</v>
      </c>
      <c r="F74" s="104">
        <f t="shared" si="1"/>
        <v>0</v>
      </c>
      <c r="G74" s="104">
        <f t="shared" si="1"/>
        <v>0</v>
      </c>
      <c r="H74" s="104">
        <f t="shared" si="1"/>
        <v>0</v>
      </c>
      <c r="I74" s="104">
        <f t="shared" si="1"/>
        <v>0</v>
      </c>
      <c r="J74" s="104">
        <f t="shared" si="1"/>
        <v>0</v>
      </c>
      <c r="K74" s="104">
        <f t="shared" si="1"/>
        <v>0</v>
      </c>
      <c r="L74" s="104">
        <f t="shared" si="1"/>
        <v>0</v>
      </c>
      <c r="M74" s="104">
        <f t="shared" si="1"/>
        <v>0</v>
      </c>
      <c r="N74" s="104">
        <f t="shared" si="2"/>
        <v>0</v>
      </c>
      <c r="O74" s="104">
        <f t="shared" si="2"/>
        <v>0</v>
      </c>
      <c r="P74" s="104">
        <f t="shared" si="3"/>
        <v>0</v>
      </c>
    </row>
    <row r="75" spans="1:16" s="104" customFormat="1" x14ac:dyDescent="0.4">
      <c r="C75" s="104" t="s">
        <v>277</v>
      </c>
      <c r="D75" s="104">
        <f t="shared" si="1"/>
        <v>0</v>
      </c>
      <c r="E75" s="104">
        <f t="shared" si="1"/>
        <v>0</v>
      </c>
      <c r="F75" s="104">
        <f t="shared" si="1"/>
        <v>0</v>
      </c>
      <c r="G75" s="104">
        <f t="shared" si="1"/>
        <v>0</v>
      </c>
      <c r="H75" s="104">
        <f t="shared" si="1"/>
        <v>0</v>
      </c>
      <c r="I75" s="104">
        <f t="shared" si="1"/>
        <v>0</v>
      </c>
      <c r="J75" s="104">
        <f t="shared" si="1"/>
        <v>0</v>
      </c>
      <c r="K75" s="104">
        <f t="shared" si="1"/>
        <v>0</v>
      </c>
      <c r="L75" s="104">
        <f t="shared" si="1"/>
        <v>0</v>
      </c>
      <c r="M75" s="104">
        <f t="shared" si="1"/>
        <v>0</v>
      </c>
      <c r="N75" s="104">
        <f t="shared" si="2"/>
        <v>0</v>
      </c>
      <c r="O75" s="104">
        <f t="shared" si="2"/>
        <v>0</v>
      </c>
      <c r="P75" s="104">
        <f t="shared" si="3"/>
        <v>0</v>
      </c>
    </row>
    <row r="76" spans="1:16" s="104" customFormat="1" x14ac:dyDescent="0.4">
      <c r="C76" s="104" t="s">
        <v>278</v>
      </c>
      <c r="D76" s="104">
        <f t="shared" si="1"/>
        <v>0</v>
      </c>
      <c r="E76" s="104">
        <f t="shared" si="1"/>
        <v>0</v>
      </c>
      <c r="F76" s="104">
        <f t="shared" si="1"/>
        <v>0</v>
      </c>
      <c r="G76" s="104">
        <f t="shared" si="1"/>
        <v>0</v>
      </c>
      <c r="H76" s="104">
        <f t="shared" si="1"/>
        <v>0</v>
      </c>
      <c r="I76" s="104">
        <f t="shared" si="1"/>
        <v>0</v>
      </c>
      <c r="J76" s="104">
        <f t="shared" si="1"/>
        <v>0</v>
      </c>
      <c r="K76" s="104">
        <f t="shared" si="1"/>
        <v>0</v>
      </c>
      <c r="L76" s="104">
        <f t="shared" si="1"/>
        <v>0</v>
      </c>
      <c r="M76" s="104">
        <f t="shared" si="1"/>
        <v>0</v>
      </c>
      <c r="N76" s="104">
        <f t="shared" si="2"/>
        <v>0</v>
      </c>
      <c r="O76" s="104">
        <f t="shared" si="2"/>
        <v>0</v>
      </c>
      <c r="P76" s="104">
        <f t="shared" si="3"/>
        <v>0</v>
      </c>
    </row>
    <row r="77" spans="1:16" s="104" customFormat="1" x14ac:dyDescent="0.4">
      <c r="C77" s="104" t="s">
        <v>279</v>
      </c>
      <c r="D77" s="104">
        <f t="shared" si="1"/>
        <v>0</v>
      </c>
      <c r="E77" s="104">
        <f t="shared" si="1"/>
        <v>0</v>
      </c>
      <c r="F77" s="104">
        <f t="shared" si="1"/>
        <v>0</v>
      </c>
      <c r="G77" s="104">
        <f t="shared" si="1"/>
        <v>0</v>
      </c>
      <c r="H77" s="104">
        <f t="shared" si="1"/>
        <v>0</v>
      </c>
      <c r="I77" s="104">
        <f t="shared" si="1"/>
        <v>0</v>
      </c>
      <c r="J77" s="104">
        <f t="shared" si="1"/>
        <v>0</v>
      </c>
      <c r="K77" s="104">
        <f t="shared" si="1"/>
        <v>0</v>
      </c>
      <c r="L77" s="104">
        <f t="shared" si="1"/>
        <v>0</v>
      </c>
      <c r="M77" s="104">
        <f t="shared" si="1"/>
        <v>0</v>
      </c>
      <c r="N77" s="104">
        <f t="shared" si="2"/>
        <v>0</v>
      </c>
      <c r="O77" s="104">
        <f t="shared" si="2"/>
        <v>0</v>
      </c>
      <c r="P77" s="104">
        <f t="shared" si="3"/>
        <v>0</v>
      </c>
    </row>
    <row r="78" spans="1:16" s="104" customFormat="1" x14ac:dyDescent="0.4">
      <c r="C78" s="104" t="s">
        <v>280</v>
      </c>
      <c r="D78" s="104">
        <f t="shared" si="1"/>
        <v>0</v>
      </c>
      <c r="E78" s="104">
        <f t="shared" si="1"/>
        <v>0</v>
      </c>
      <c r="F78" s="104">
        <f t="shared" si="1"/>
        <v>0</v>
      </c>
      <c r="G78" s="104">
        <f t="shared" si="1"/>
        <v>0</v>
      </c>
      <c r="H78" s="104">
        <f t="shared" si="1"/>
        <v>0</v>
      </c>
      <c r="I78" s="104">
        <f t="shared" si="1"/>
        <v>0</v>
      </c>
      <c r="J78" s="104">
        <f t="shared" si="1"/>
        <v>0</v>
      </c>
      <c r="K78" s="104">
        <f t="shared" si="1"/>
        <v>0</v>
      </c>
      <c r="L78" s="104">
        <f t="shared" si="1"/>
        <v>0</v>
      </c>
      <c r="M78" s="104">
        <f t="shared" si="1"/>
        <v>0</v>
      </c>
      <c r="N78" s="104">
        <f t="shared" si="2"/>
        <v>0</v>
      </c>
      <c r="O78" s="104">
        <f t="shared" si="2"/>
        <v>0</v>
      </c>
      <c r="P78" s="104">
        <f t="shared" si="3"/>
        <v>0</v>
      </c>
    </row>
    <row r="79" spans="1:16" s="104" customFormat="1" x14ac:dyDescent="0.4">
      <c r="C79" s="104" t="s">
        <v>281</v>
      </c>
      <c r="D79" s="104">
        <f t="shared" si="1"/>
        <v>0</v>
      </c>
      <c r="E79" s="104">
        <f t="shared" si="1"/>
        <v>0</v>
      </c>
      <c r="F79" s="104">
        <f t="shared" si="1"/>
        <v>0</v>
      </c>
      <c r="G79" s="104">
        <f t="shared" si="1"/>
        <v>0</v>
      </c>
      <c r="H79" s="104">
        <f t="shared" si="1"/>
        <v>0</v>
      </c>
      <c r="I79" s="104">
        <f t="shared" si="1"/>
        <v>0</v>
      </c>
      <c r="J79" s="104">
        <f t="shared" si="1"/>
        <v>0</v>
      </c>
      <c r="K79" s="104">
        <f t="shared" si="1"/>
        <v>0</v>
      </c>
      <c r="L79" s="104">
        <f t="shared" si="1"/>
        <v>0</v>
      </c>
      <c r="M79" s="104">
        <f t="shared" si="1"/>
        <v>0</v>
      </c>
      <c r="N79" s="104">
        <f t="shared" si="2"/>
        <v>0</v>
      </c>
      <c r="O79" s="104">
        <f t="shared" si="2"/>
        <v>0</v>
      </c>
      <c r="P79" s="104">
        <f t="shared" si="3"/>
        <v>0</v>
      </c>
    </row>
    <row r="80" spans="1:16" s="104" customFormat="1" x14ac:dyDescent="0.4">
      <c r="C80" s="104" t="s">
        <v>282</v>
      </c>
      <c r="D80" s="104">
        <f t="shared" si="1"/>
        <v>0</v>
      </c>
      <c r="E80" s="104">
        <f t="shared" si="1"/>
        <v>0</v>
      </c>
      <c r="F80" s="104">
        <f t="shared" si="1"/>
        <v>0</v>
      </c>
      <c r="G80" s="104">
        <f t="shared" si="1"/>
        <v>0</v>
      </c>
      <c r="H80" s="104">
        <f t="shared" si="1"/>
        <v>0</v>
      </c>
      <c r="I80" s="104">
        <f t="shared" si="1"/>
        <v>0</v>
      </c>
      <c r="J80" s="104">
        <f t="shared" si="1"/>
        <v>0</v>
      </c>
      <c r="K80" s="104">
        <f t="shared" si="1"/>
        <v>0</v>
      </c>
      <c r="L80" s="104">
        <f t="shared" si="1"/>
        <v>0</v>
      </c>
      <c r="M80" s="104">
        <f t="shared" si="1"/>
        <v>0</v>
      </c>
      <c r="N80" s="104">
        <f t="shared" si="2"/>
        <v>0</v>
      </c>
      <c r="O80" s="104">
        <f t="shared" si="2"/>
        <v>0</v>
      </c>
      <c r="P80" s="104">
        <f t="shared" si="3"/>
        <v>0</v>
      </c>
    </row>
    <row r="81" spans="3:76" s="104" customFormat="1" x14ac:dyDescent="0.4">
      <c r="C81" s="104" t="s">
        <v>283</v>
      </c>
      <c r="D81" s="104">
        <f t="shared" si="1"/>
        <v>0</v>
      </c>
      <c r="E81" s="104">
        <f t="shared" si="1"/>
        <v>0</v>
      </c>
      <c r="F81" s="104">
        <f t="shared" si="1"/>
        <v>0</v>
      </c>
      <c r="G81" s="104">
        <f t="shared" si="1"/>
        <v>0</v>
      </c>
      <c r="H81" s="104">
        <f t="shared" si="1"/>
        <v>0</v>
      </c>
      <c r="I81" s="104">
        <f t="shared" si="1"/>
        <v>0</v>
      </c>
      <c r="J81" s="104">
        <f t="shared" si="1"/>
        <v>0</v>
      </c>
      <c r="K81" s="104">
        <f t="shared" si="1"/>
        <v>0</v>
      </c>
      <c r="L81" s="104">
        <f t="shared" si="1"/>
        <v>0</v>
      </c>
      <c r="M81" s="104">
        <f t="shared" si="1"/>
        <v>0</v>
      </c>
      <c r="N81" s="104">
        <f t="shared" si="2"/>
        <v>0</v>
      </c>
      <c r="O81" s="104">
        <f t="shared" si="2"/>
        <v>0</v>
      </c>
      <c r="P81" s="104">
        <f t="shared" si="3"/>
        <v>0</v>
      </c>
    </row>
    <row r="82" spans="3:76" s="104" customFormat="1" x14ac:dyDescent="0.4">
      <c r="C82" s="104" t="s">
        <v>284</v>
      </c>
      <c r="D82" s="104">
        <f t="shared" si="1"/>
        <v>0</v>
      </c>
      <c r="E82" s="104">
        <f t="shared" si="1"/>
        <v>0</v>
      </c>
      <c r="F82" s="104">
        <f t="shared" si="1"/>
        <v>0</v>
      </c>
      <c r="G82" s="104">
        <f t="shared" si="1"/>
        <v>0</v>
      </c>
      <c r="H82" s="104">
        <f t="shared" si="1"/>
        <v>0</v>
      </c>
      <c r="I82" s="104">
        <f t="shared" si="1"/>
        <v>0</v>
      </c>
      <c r="J82" s="104">
        <f t="shared" si="1"/>
        <v>0</v>
      </c>
      <c r="K82" s="104">
        <f t="shared" si="1"/>
        <v>0</v>
      </c>
      <c r="L82" s="104">
        <f t="shared" si="1"/>
        <v>0</v>
      </c>
      <c r="M82" s="104">
        <f t="shared" si="1"/>
        <v>0</v>
      </c>
      <c r="N82" s="104">
        <f t="shared" si="2"/>
        <v>0</v>
      </c>
      <c r="O82" s="104">
        <f t="shared" si="2"/>
        <v>0</v>
      </c>
      <c r="P82" s="104">
        <f t="shared" si="3"/>
        <v>0</v>
      </c>
    </row>
    <row r="83" spans="3:76" s="104" customFormat="1" x14ac:dyDescent="0.4">
      <c r="C83" s="104" t="s">
        <v>269</v>
      </c>
      <c r="D83" s="104">
        <f t="shared" si="1"/>
        <v>0</v>
      </c>
      <c r="E83" s="104">
        <f t="shared" si="1"/>
        <v>0</v>
      </c>
      <c r="F83" s="104">
        <f t="shared" si="1"/>
        <v>0</v>
      </c>
      <c r="G83" s="104">
        <f t="shared" si="1"/>
        <v>0</v>
      </c>
      <c r="H83" s="104">
        <f t="shared" si="1"/>
        <v>0</v>
      </c>
      <c r="I83" s="104">
        <f t="shared" si="1"/>
        <v>0</v>
      </c>
      <c r="J83" s="104">
        <f t="shared" si="1"/>
        <v>0</v>
      </c>
      <c r="K83" s="104">
        <f t="shared" si="1"/>
        <v>0</v>
      </c>
      <c r="L83" s="104">
        <f t="shared" si="1"/>
        <v>0</v>
      </c>
      <c r="M83" s="104">
        <f t="shared" si="1"/>
        <v>0</v>
      </c>
      <c r="N83" s="104">
        <f t="shared" si="2"/>
        <v>0</v>
      </c>
      <c r="O83" s="104">
        <f t="shared" si="2"/>
        <v>0</v>
      </c>
      <c r="P83" s="104">
        <f t="shared" si="3"/>
        <v>0</v>
      </c>
    </row>
    <row r="84" spans="3:76" s="104" customFormat="1" x14ac:dyDescent="0.4">
      <c r="C84" s="104" t="s">
        <v>270</v>
      </c>
      <c r="D84" s="104">
        <f t="shared" si="1"/>
        <v>0</v>
      </c>
      <c r="E84" s="104">
        <f t="shared" si="1"/>
        <v>0</v>
      </c>
      <c r="F84" s="104">
        <f t="shared" si="1"/>
        <v>0</v>
      </c>
      <c r="G84" s="104">
        <f t="shared" si="1"/>
        <v>0</v>
      </c>
      <c r="H84" s="104">
        <f t="shared" si="1"/>
        <v>0</v>
      </c>
      <c r="I84" s="104">
        <f t="shared" si="1"/>
        <v>0</v>
      </c>
      <c r="J84" s="104">
        <f t="shared" si="1"/>
        <v>0</v>
      </c>
      <c r="K84" s="104">
        <f t="shared" si="1"/>
        <v>0</v>
      </c>
      <c r="L84" s="104">
        <f t="shared" si="1"/>
        <v>0</v>
      </c>
      <c r="M84" s="104">
        <f t="shared" si="1"/>
        <v>0</v>
      </c>
      <c r="N84" s="104">
        <f t="shared" si="2"/>
        <v>0</v>
      </c>
      <c r="O84" s="104">
        <f t="shared" si="2"/>
        <v>0</v>
      </c>
      <c r="P84" s="104">
        <f t="shared" si="3"/>
        <v>0</v>
      </c>
    </row>
    <row r="85" spans="3:76" s="104" customFormat="1" x14ac:dyDescent="0.4">
      <c r="C85" s="104" t="s">
        <v>271</v>
      </c>
      <c r="E85" s="104">
        <f t="shared" ref="E85:P85" si="4">COUNTA(E8)</f>
        <v>0</v>
      </c>
      <c r="F85" s="104">
        <f t="shared" si="4"/>
        <v>0</v>
      </c>
      <c r="G85" s="104">
        <f t="shared" si="4"/>
        <v>0</v>
      </c>
      <c r="H85" s="104">
        <f t="shared" si="4"/>
        <v>0</v>
      </c>
      <c r="I85" s="104">
        <f t="shared" si="4"/>
        <v>0</v>
      </c>
      <c r="J85" s="104">
        <f t="shared" si="4"/>
        <v>0</v>
      </c>
      <c r="K85" s="104">
        <f t="shared" si="4"/>
        <v>0</v>
      </c>
      <c r="L85" s="104">
        <f t="shared" si="4"/>
        <v>0</v>
      </c>
      <c r="M85" s="104">
        <f t="shared" si="4"/>
        <v>0</v>
      </c>
      <c r="N85" s="104">
        <f t="shared" si="4"/>
        <v>0</v>
      </c>
      <c r="O85" s="104">
        <f t="shared" si="4"/>
        <v>0</v>
      </c>
      <c r="P85" s="104">
        <f t="shared" si="4"/>
        <v>0</v>
      </c>
      <c r="T85" s="104">
        <f t="shared" ref="T85:AE85" si="5">COUNTA(T8)</f>
        <v>0</v>
      </c>
      <c r="U85" s="104">
        <f t="shared" si="5"/>
        <v>0</v>
      </c>
      <c r="V85" s="104">
        <f t="shared" si="5"/>
        <v>0</v>
      </c>
      <c r="W85" s="104">
        <f t="shared" si="5"/>
        <v>0</v>
      </c>
      <c r="X85" s="104">
        <f t="shared" si="5"/>
        <v>0</v>
      </c>
      <c r="Y85" s="104">
        <f t="shared" si="5"/>
        <v>0</v>
      </c>
      <c r="Z85" s="104">
        <f t="shared" si="5"/>
        <v>0</v>
      </c>
      <c r="AA85" s="104">
        <f t="shared" si="5"/>
        <v>0</v>
      </c>
      <c r="AB85" s="104">
        <f t="shared" si="5"/>
        <v>0</v>
      </c>
      <c r="AC85" s="104">
        <f t="shared" si="5"/>
        <v>0</v>
      </c>
      <c r="AD85" s="104">
        <f t="shared" si="5"/>
        <v>0</v>
      </c>
      <c r="AE85" s="104">
        <f t="shared" si="5"/>
        <v>0</v>
      </c>
      <c r="AI85" s="104">
        <f t="shared" ref="AI85:AT85" si="6">COUNTA(AI8)</f>
        <v>0</v>
      </c>
      <c r="AJ85" s="104">
        <f t="shared" si="6"/>
        <v>0</v>
      </c>
      <c r="AK85" s="104">
        <f t="shared" si="6"/>
        <v>0</v>
      </c>
      <c r="AL85" s="104">
        <f t="shared" si="6"/>
        <v>0</v>
      </c>
      <c r="AM85" s="104">
        <f t="shared" si="6"/>
        <v>0</v>
      </c>
      <c r="AN85" s="104">
        <f t="shared" si="6"/>
        <v>0</v>
      </c>
      <c r="AO85" s="104">
        <f t="shared" si="6"/>
        <v>0</v>
      </c>
      <c r="AP85" s="104">
        <f t="shared" si="6"/>
        <v>0</v>
      </c>
      <c r="AQ85" s="104">
        <f t="shared" si="6"/>
        <v>0</v>
      </c>
      <c r="AR85" s="104">
        <f t="shared" si="6"/>
        <v>0</v>
      </c>
      <c r="AS85" s="104">
        <f t="shared" si="6"/>
        <v>0</v>
      </c>
      <c r="AT85" s="104">
        <f t="shared" si="6"/>
        <v>0</v>
      </c>
      <c r="AX85" s="104">
        <f t="shared" ref="AX85:BI85" si="7">COUNTA(AX8)</f>
        <v>0</v>
      </c>
      <c r="AY85" s="104">
        <f t="shared" si="7"/>
        <v>0</v>
      </c>
      <c r="AZ85" s="104">
        <f t="shared" si="7"/>
        <v>0</v>
      </c>
      <c r="BA85" s="104">
        <f t="shared" si="7"/>
        <v>0</v>
      </c>
      <c r="BB85" s="104">
        <f t="shared" si="7"/>
        <v>0</v>
      </c>
      <c r="BC85" s="104">
        <f t="shared" si="7"/>
        <v>0</v>
      </c>
      <c r="BD85" s="104">
        <f t="shared" si="7"/>
        <v>0</v>
      </c>
      <c r="BE85" s="104">
        <f t="shared" si="7"/>
        <v>0</v>
      </c>
      <c r="BF85" s="104">
        <f t="shared" si="7"/>
        <v>0</v>
      </c>
      <c r="BG85" s="104">
        <f t="shared" si="7"/>
        <v>0</v>
      </c>
      <c r="BH85" s="104">
        <f t="shared" si="7"/>
        <v>0</v>
      </c>
      <c r="BI85" s="104">
        <f t="shared" si="7"/>
        <v>0</v>
      </c>
      <c r="BM85" s="104">
        <f t="shared" ref="BM85:BX85" si="8">COUNTA(BM8)</f>
        <v>0</v>
      </c>
      <c r="BN85" s="104">
        <f t="shared" si="8"/>
        <v>0</v>
      </c>
      <c r="BO85" s="104">
        <f t="shared" si="8"/>
        <v>0</v>
      </c>
      <c r="BP85" s="104">
        <f t="shared" si="8"/>
        <v>0</v>
      </c>
      <c r="BQ85" s="104">
        <f t="shared" si="8"/>
        <v>0</v>
      </c>
      <c r="BR85" s="104">
        <f t="shared" si="8"/>
        <v>0</v>
      </c>
      <c r="BS85" s="104">
        <f t="shared" si="8"/>
        <v>0</v>
      </c>
      <c r="BT85" s="104">
        <f t="shared" si="8"/>
        <v>0</v>
      </c>
      <c r="BU85" s="104">
        <f t="shared" si="8"/>
        <v>0</v>
      </c>
      <c r="BV85" s="104">
        <f t="shared" si="8"/>
        <v>0</v>
      </c>
      <c r="BW85" s="104">
        <f t="shared" si="8"/>
        <v>0</v>
      </c>
      <c r="BX85" s="104">
        <f t="shared" si="8"/>
        <v>0</v>
      </c>
    </row>
    <row r="86" spans="3:76" s="104" customFormat="1" x14ac:dyDescent="0.4">
      <c r="C86" s="104" t="s">
        <v>272</v>
      </c>
      <c r="E86" s="104">
        <f t="shared" ref="E86:P86" si="9">COUNTA(E9)</f>
        <v>0</v>
      </c>
      <c r="F86" s="104">
        <f t="shared" si="9"/>
        <v>0</v>
      </c>
      <c r="G86" s="104">
        <f t="shared" si="9"/>
        <v>0</v>
      </c>
      <c r="H86" s="104">
        <f t="shared" si="9"/>
        <v>0</v>
      </c>
      <c r="I86" s="104">
        <f t="shared" si="9"/>
        <v>0</v>
      </c>
      <c r="J86" s="104">
        <f t="shared" si="9"/>
        <v>0</v>
      </c>
      <c r="K86" s="104">
        <f t="shared" si="9"/>
        <v>0</v>
      </c>
      <c r="L86" s="104">
        <f t="shared" si="9"/>
        <v>0</v>
      </c>
      <c r="M86" s="104">
        <f t="shared" si="9"/>
        <v>0</v>
      </c>
      <c r="N86" s="104">
        <f t="shared" si="9"/>
        <v>0</v>
      </c>
      <c r="O86" s="104">
        <f t="shared" si="9"/>
        <v>0</v>
      </c>
      <c r="P86" s="104">
        <f t="shared" si="9"/>
        <v>0</v>
      </c>
      <c r="T86" s="104">
        <f t="shared" ref="T86:AE86" si="10">COUNTA(T9)</f>
        <v>0</v>
      </c>
      <c r="U86" s="104">
        <f t="shared" si="10"/>
        <v>0</v>
      </c>
      <c r="V86" s="104">
        <f t="shared" si="10"/>
        <v>0</v>
      </c>
      <c r="W86" s="104">
        <f t="shared" si="10"/>
        <v>0</v>
      </c>
      <c r="X86" s="104">
        <f t="shared" si="10"/>
        <v>0</v>
      </c>
      <c r="Y86" s="104">
        <f t="shared" si="10"/>
        <v>0</v>
      </c>
      <c r="Z86" s="104">
        <f t="shared" si="10"/>
        <v>0</v>
      </c>
      <c r="AA86" s="104">
        <f t="shared" si="10"/>
        <v>0</v>
      </c>
      <c r="AB86" s="104">
        <f t="shared" si="10"/>
        <v>0</v>
      </c>
      <c r="AC86" s="104">
        <f t="shared" si="10"/>
        <v>0</v>
      </c>
      <c r="AD86" s="104">
        <f t="shared" si="10"/>
        <v>0</v>
      </c>
      <c r="AE86" s="104">
        <f t="shared" si="10"/>
        <v>0</v>
      </c>
      <c r="AI86" s="104">
        <f t="shared" ref="AI86:AT86" si="11">COUNTA(AI9)</f>
        <v>0</v>
      </c>
      <c r="AJ86" s="104">
        <f t="shared" si="11"/>
        <v>0</v>
      </c>
      <c r="AK86" s="104">
        <f t="shared" si="11"/>
        <v>0</v>
      </c>
      <c r="AL86" s="104">
        <f t="shared" si="11"/>
        <v>0</v>
      </c>
      <c r="AM86" s="104">
        <f t="shared" si="11"/>
        <v>0</v>
      </c>
      <c r="AN86" s="104">
        <f t="shared" si="11"/>
        <v>0</v>
      </c>
      <c r="AO86" s="104">
        <f t="shared" si="11"/>
        <v>0</v>
      </c>
      <c r="AP86" s="104">
        <f t="shared" si="11"/>
        <v>0</v>
      </c>
      <c r="AQ86" s="104">
        <f t="shared" si="11"/>
        <v>0</v>
      </c>
      <c r="AR86" s="104">
        <f t="shared" si="11"/>
        <v>0</v>
      </c>
      <c r="AS86" s="104">
        <f t="shared" si="11"/>
        <v>0</v>
      </c>
      <c r="AT86" s="104">
        <f t="shared" si="11"/>
        <v>0</v>
      </c>
      <c r="AX86" s="104">
        <f t="shared" ref="AX86:BI86" si="12">COUNTA(AX9)</f>
        <v>0</v>
      </c>
      <c r="AY86" s="104">
        <f t="shared" si="12"/>
        <v>0</v>
      </c>
      <c r="AZ86" s="104">
        <f t="shared" si="12"/>
        <v>0</v>
      </c>
      <c r="BA86" s="104">
        <f t="shared" si="12"/>
        <v>0</v>
      </c>
      <c r="BB86" s="104">
        <f t="shared" si="12"/>
        <v>0</v>
      </c>
      <c r="BC86" s="104">
        <f t="shared" si="12"/>
        <v>0</v>
      </c>
      <c r="BD86" s="104">
        <f t="shared" si="12"/>
        <v>0</v>
      </c>
      <c r="BE86" s="104">
        <f t="shared" si="12"/>
        <v>0</v>
      </c>
      <c r="BF86" s="104">
        <f t="shared" si="12"/>
        <v>0</v>
      </c>
      <c r="BG86" s="104">
        <f t="shared" si="12"/>
        <v>0</v>
      </c>
      <c r="BH86" s="104">
        <f t="shared" si="12"/>
        <v>0</v>
      </c>
      <c r="BI86" s="104">
        <f t="shared" si="12"/>
        <v>0</v>
      </c>
      <c r="BM86" s="104">
        <f t="shared" ref="BM86:BX86" si="13">COUNTA(BM9)</f>
        <v>0</v>
      </c>
      <c r="BN86" s="104">
        <f t="shared" si="13"/>
        <v>0</v>
      </c>
      <c r="BO86" s="104">
        <f t="shared" si="13"/>
        <v>0</v>
      </c>
      <c r="BP86" s="104">
        <f t="shared" si="13"/>
        <v>0</v>
      </c>
      <c r="BQ86" s="104">
        <f t="shared" si="13"/>
        <v>0</v>
      </c>
      <c r="BR86" s="104">
        <f t="shared" si="13"/>
        <v>0</v>
      </c>
      <c r="BS86" s="104">
        <f t="shared" si="13"/>
        <v>0</v>
      </c>
      <c r="BT86" s="104">
        <f t="shared" si="13"/>
        <v>0</v>
      </c>
      <c r="BU86" s="104">
        <f t="shared" si="13"/>
        <v>0</v>
      </c>
      <c r="BV86" s="104">
        <f t="shared" si="13"/>
        <v>0</v>
      </c>
      <c r="BW86" s="104">
        <f t="shared" si="13"/>
        <v>0</v>
      </c>
      <c r="BX86" s="104">
        <f t="shared" si="13"/>
        <v>0</v>
      </c>
    </row>
    <row r="87" spans="3:76" s="104" customFormat="1" x14ac:dyDescent="0.4">
      <c r="C87" s="104" t="s">
        <v>273</v>
      </c>
      <c r="E87" s="104">
        <f t="shared" ref="E87:P87" si="14">COUNTA(E13)</f>
        <v>0</v>
      </c>
      <c r="F87" s="104">
        <f t="shared" si="14"/>
        <v>0</v>
      </c>
      <c r="G87" s="104">
        <f t="shared" si="14"/>
        <v>0</v>
      </c>
      <c r="H87" s="104">
        <f t="shared" si="14"/>
        <v>0</v>
      </c>
      <c r="I87" s="104">
        <f t="shared" si="14"/>
        <v>0</v>
      </c>
      <c r="J87" s="104">
        <f t="shared" si="14"/>
        <v>0</v>
      </c>
      <c r="K87" s="104">
        <f t="shared" si="14"/>
        <v>0</v>
      </c>
      <c r="L87" s="104">
        <f t="shared" si="14"/>
        <v>0</v>
      </c>
      <c r="M87" s="104">
        <f t="shared" si="14"/>
        <v>0</v>
      </c>
      <c r="N87" s="104">
        <f t="shared" si="14"/>
        <v>0</v>
      </c>
      <c r="O87" s="104">
        <f t="shared" si="14"/>
        <v>0</v>
      </c>
      <c r="P87" s="104">
        <f t="shared" si="14"/>
        <v>0</v>
      </c>
      <c r="T87" s="104">
        <f t="shared" ref="T87:AE87" si="15">COUNTA(T13)</f>
        <v>0</v>
      </c>
      <c r="U87" s="104">
        <f t="shared" si="15"/>
        <v>0</v>
      </c>
      <c r="V87" s="104">
        <f t="shared" si="15"/>
        <v>0</v>
      </c>
      <c r="W87" s="104">
        <f t="shared" si="15"/>
        <v>0</v>
      </c>
      <c r="X87" s="104">
        <f t="shared" si="15"/>
        <v>0</v>
      </c>
      <c r="Y87" s="104">
        <f t="shared" si="15"/>
        <v>0</v>
      </c>
      <c r="Z87" s="104">
        <f t="shared" si="15"/>
        <v>0</v>
      </c>
      <c r="AA87" s="104">
        <f t="shared" si="15"/>
        <v>0</v>
      </c>
      <c r="AB87" s="104">
        <f t="shared" si="15"/>
        <v>0</v>
      </c>
      <c r="AC87" s="104">
        <f t="shared" si="15"/>
        <v>0</v>
      </c>
      <c r="AD87" s="104">
        <f t="shared" si="15"/>
        <v>0</v>
      </c>
      <c r="AE87" s="104">
        <f t="shared" si="15"/>
        <v>0</v>
      </c>
      <c r="AI87" s="104">
        <f t="shared" ref="AI87:AT87" si="16">COUNTA(AI13)</f>
        <v>0</v>
      </c>
      <c r="AJ87" s="104">
        <f t="shared" si="16"/>
        <v>0</v>
      </c>
      <c r="AK87" s="104">
        <f t="shared" si="16"/>
        <v>0</v>
      </c>
      <c r="AL87" s="104">
        <f t="shared" si="16"/>
        <v>0</v>
      </c>
      <c r="AM87" s="104">
        <f t="shared" si="16"/>
        <v>0</v>
      </c>
      <c r="AN87" s="104">
        <f t="shared" si="16"/>
        <v>0</v>
      </c>
      <c r="AO87" s="104">
        <f t="shared" si="16"/>
        <v>0</v>
      </c>
      <c r="AP87" s="104">
        <f t="shared" si="16"/>
        <v>0</v>
      </c>
      <c r="AQ87" s="104">
        <f t="shared" si="16"/>
        <v>0</v>
      </c>
      <c r="AR87" s="104">
        <f t="shared" si="16"/>
        <v>0</v>
      </c>
      <c r="AS87" s="104">
        <f t="shared" si="16"/>
        <v>0</v>
      </c>
      <c r="AT87" s="104">
        <f t="shared" si="16"/>
        <v>0</v>
      </c>
      <c r="AX87" s="104">
        <f t="shared" ref="AX87:BI87" si="17">COUNTA(AX13)</f>
        <v>0</v>
      </c>
      <c r="AY87" s="104">
        <f t="shared" si="17"/>
        <v>0</v>
      </c>
      <c r="AZ87" s="104">
        <f t="shared" si="17"/>
        <v>0</v>
      </c>
      <c r="BA87" s="104">
        <f t="shared" si="17"/>
        <v>0</v>
      </c>
      <c r="BB87" s="104">
        <f t="shared" si="17"/>
        <v>0</v>
      </c>
      <c r="BC87" s="104">
        <f t="shared" si="17"/>
        <v>0</v>
      </c>
      <c r="BD87" s="104">
        <f t="shared" si="17"/>
        <v>0</v>
      </c>
      <c r="BE87" s="104">
        <f t="shared" si="17"/>
        <v>0</v>
      </c>
      <c r="BF87" s="104">
        <f t="shared" si="17"/>
        <v>0</v>
      </c>
      <c r="BG87" s="104">
        <f t="shared" si="17"/>
        <v>0</v>
      </c>
      <c r="BH87" s="104">
        <f t="shared" si="17"/>
        <v>0</v>
      </c>
      <c r="BI87" s="104">
        <f t="shared" si="17"/>
        <v>0</v>
      </c>
      <c r="BM87" s="104">
        <f t="shared" ref="BM87:BX87" si="18">COUNTA(BM13)</f>
        <v>0</v>
      </c>
      <c r="BN87" s="104">
        <f t="shared" si="18"/>
        <v>0</v>
      </c>
      <c r="BO87" s="104">
        <f t="shared" si="18"/>
        <v>0</v>
      </c>
      <c r="BP87" s="104">
        <f t="shared" si="18"/>
        <v>0</v>
      </c>
      <c r="BQ87" s="104">
        <f t="shared" si="18"/>
        <v>0</v>
      </c>
      <c r="BR87" s="104">
        <f t="shared" si="18"/>
        <v>0</v>
      </c>
      <c r="BS87" s="104">
        <f t="shared" si="18"/>
        <v>0</v>
      </c>
      <c r="BT87" s="104">
        <f t="shared" si="18"/>
        <v>0</v>
      </c>
      <c r="BU87" s="104">
        <f t="shared" si="18"/>
        <v>0</v>
      </c>
      <c r="BV87" s="104">
        <f t="shared" si="18"/>
        <v>0</v>
      </c>
      <c r="BW87" s="104">
        <f t="shared" si="18"/>
        <v>0</v>
      </c>
      <c r="BX87" s="104">
        <f t="shared" si="18"/>
        <v>0</v>
      </c>
    </row>
    <row r="88" spans="3:76" s="104" customFormat="1" x14ac:dyDescent="0.4">
      <c r="C88" s="104" t="s">
        <v>274</v>
      </c>
      <c r="E88" s="104">
        <f t="shared" ref="E88:P88" si="19">COUNTA(E14)</f>
        <v>0</v>
      </c>
      <c r="F88" s="104">
        <f t="shared" si="19"/>
        <v>0</v>
      </c>
      <c r="G88" s="104">
        <f t="shared" si="19"/>
        <v>0</v>
      </c>
      <c r="H88" s="104">
        <f t="shared" si="19"/>
        <v>0</v>
      </c>
      <c r="I88" s="104">
        <f t="shared" si="19"/>
        <v>0</v>
      </c>
      <c r="J88" s="104">
        <f t="shared" si="19"/>
        <v>0</v>
      </c>
      <c r="K88" s="104">
        <f t="shared" si="19"/>
        <v>0</v>
      </c>
      <c r="L88" s="104">
        <f t="shared" si="19"/>
        <v>0</v>
      </c>
      <c r="M88" s="104">
        <f t="shared" si="19"/>
        <v>0</v>
      </c>
      <c r="N88" s="104">
        <f t="shared" si="19"/>
        <v>0</v>
      </c>
      <c r="O88" s="104">
        <f t="shared" si="19"/>
        <v>0</v>
      </c>
      <c r="P88" s="104">
        <f t="shared" si="19"/>
        <v>0</v>
      </c>
      <c r="T88" s="104">
        <f t="shared" ref="T88:AE88" si="20">COUNTA(T14)</f>
        <v>0</v>
      </c>
      <c r="U88" s="104">
        <f t="shared" si="20"/>
        <v>0</v>
      </c>
      <c r="V88" s="104">
        <f t="shared" si="20"/>
        <v>0</v>
      </c>
      <c r="W88" s="104">
        <f t="shared" si="20"/>
        <v>0</v>
      </c>
      <c r="X88" s="104">
        <f t="shared" si="20"/>
        <v>0</v>
      </c>
      <c r="Y88" s="104">
        <f t="shared" si="20"/>
        <v>0</v>
      </c>
      <c r="Z88" s="104">
        <f t="shared" si="20"/>
        <v>0</v>
      </c>
      <c r="AA88" s="104">
        <f t="shared" si="20"/>
        <v>0</v>
      </c>
      <c r="AB88" s="104">
        <f t="shared" si="20"/>
        <v>0</v>
      </c>
      <c r="AC88" s="104">
        <f t="shared" si="20"/>
        <v>0</v>
      </c>
      <c r="AD88" s="104">
        <f t="shared" si="20"/>
        <v>0</v>
      </c>
      <c r="AE88" s="104">
        <f t="shared" si="20"/>
        <v>0</v>
      </c>
      <c r="AI88" s="104">
        <f t="shared" ref="AI88:AT88" si="21">COUNTA(AI14)</f>
        <v>0</v>
      </c>
      <c r="AJ88" s="104">
        <f t="shared" si="21"/>
        <v>0</v>
      </c>
      <c r="AK88" s="104">
        <f t="shared" si="21"/>
        <v>0</v>
      </c>
      <c r="AL88" s="104">
        <f t="shared" si="21"/>
        <v>0</v>
      </c>
      <c r="AM88" s="104">
        <f t="shared" si="21"/>
        <v>0</v>
      </c>
      <c r="AN88" s="104">
        <f t="shared" si="21"/>
        <v>0</v>
      </c>
      <c r="AO88" s="104">
        <f t="shared" si="21"/>
        <v>0</v>
      </c>
      <c r="AP88" s="104">
        <f t="shared" si="21"/>
        <v>0</v>
      </c>
      <c r="AQ88" s="104">
        <f t="shared" si="21"/>
        <v>0</v>
      </c>
      <c r="AR88" s="104">
        <f t="shared" si="21"/>
        <v>0</v>
      </c>
      <c r="AS88" s="104">
        <f t="shared" si="21"/>
        <v>0</v>
      </c>
      <c r="AT88" s="104">
        <f t="shared" si="21"/>
        <v>0</v>
      </c>
      <c r="AX88" s="104">
        <f t="shared" ref="AX88:BI88" si="22">COUNTA(AX14)</f>
        <v>0</v>
      </c>
      <c r="AY88" s="104">
        <f t="shared" si="22"/>
        <v>0</v>
      </c>
      <c r="AZ88" s="104">
        <f t="shared" si="22"/>
        <v>0</v>
      </c>
      <c r="BA88" s="104">
        <f t="shared" si="22"/>
        <v>0</v>
      </c>
      <c r="BB88" s="104">
        <f t="shared" si="22"/>
        <v>0</v>
      </c>
      <c r="BC88" s="104">
        <f t="shared" si="22"/>
        <v>0</v>
      </c>
      <c r="BD88" s="104">
        <f t="shared" si="22"/>
        <v>0</v>
      </c>
      <c r="BE88" s="104">
        <f t="shared" si="22"/>
        <v>0</v>
      </c>
      <c r="BF88" s="104">
        <f t="shared" si="22"/>
        <v>0</v>
      </c>
      <c r="BG88" s="104">
        <f t="shared" si="22"/>
        <v>0</v>
      </c>
      <c r="BH88" s="104">
        <f t="shared" si="22"/>
        <v>0</v>
      </c>
      <c r="BI88" s="104">
        <f t="shared" si="22"/>
        <v>0</v>
      </c>
      <c r="BM88" s="104">
        <f t="shared" ref="BM88:BX88" si="23">COUNTA(BM14)</f>
        <v>0</v>
      </c>
      <c r="BN88" s="104">
        <f t="shared" si="23"/>
        <v>0</v>
      </c>
      <c r="BO88" s="104">
        <f t="shared" si="23"/>
        <v>0</v>
      </c>
      <c r="BP88" s="104">
        <f t="shared" si="23"/>
        <v>0</v>
      </c>
      <c r="BQ88" s="104">
        <f t="shared" si="23"/>
        <v>0</v>
      </c>
      <c r="BR88" s="104">
        <f t="shared" si="23"/>
        <v>0</v>
      </c>
      <c r="BS88" s="104">
        <f t="shared" si="23"/>
        <v>0</v>
      </c>
      <c r="BT88" s="104">
        <f t="shared" si="23"/>
        <v>0</v>
      </c>
      <c r="BU88" s="104">
        <f t="shared" si="23"/>
        <v>0</v>
      </c>
      <c r="BV88" s="104">
        <f t="shared" si="23"/>
        <v>0</v>
      </c>
      <c r="BW88" s="104">
        <f t="shared" si="23"/>
        <v>0</v>
      </c>
      <c r="BX88" s="104">
        <f t="shared" si="23"/>
        <v>0</v>
      </c>
    </row>
    <row r="89" spans="3:76" s="104" customFormat="1" x14ac:dyDescent="0.4">
      <c r="C89" s="104" t="s">
        <v>275</v>
      </c>
      <c r="E89" s="104">
        <f>COUNTA(E18)</f>
        <v>0</v>
      </c>
      <c r="F89" s="104">
        <f t="shared" ref="F89:P90" si="24">COUNTA(F18)</f>
        <v>0</v>
      </c>
      <c r="G89" s="104">
        <f t="shared" si="24"/>
        <v>0</v>
      </c>
      <c r="H89" s="104">
        <f t="shared" si="24"/>
        <v>0</v>
      </c>
      <c r="I89" s="104">
        <f t="shared" si="24"/>
        <v>0</v>
      </c>
      <c r="J89" s="104">
        <f t="shared" si="24"/>
        <v>0</v>
      </c>
      <c r="K89" s="104">
        <f t="shared" si="24"/>
        <v>0</v>
      </c>
      <c r="L89" s="104">
        <f t="shared" si="24"/>
        <v>0</v>
      </c>
      <c r="M89" s="104">
        <f t="shared" si="24"/>
        <v>0</v>
      </c>
      <c r="N89" s="104">
        <f t="shared" si="24"/>
        <v>0</v>
      </c>
      <c r="O89" s="104">
        <f t="shared" si="24"/>
        <v>0</v>
      </c>
      <c r="P89" s="104">
        <f t="shared" si="24"/>
        <v>0</v>
      </c>
      <c r="T89" s="104">
        <f>COUNTA(T18)</f>
        <v>0</v>
      </c>
      <c r="U89" s="104">
        <f t="shared" ref="U89:AE90" si="25">COUNTA(U18)</f>
        <v>0</v>
      </c>
      <c r="V89" s="104">
        <f t="shared" si="25"/>
        <v>0</v>
      </c>
      <c r="W89" s="104">
        <f t="shared" si="25"/>
        <v>0</v>
      </c>
      <c r="X89" s="104">
        <f t="shared" si="25"/>
        <v>0</v>
      </c>
      <c r="Y89" s="104">
        <f t="shared" si="25"/>
        <v>0</v>
      </c>
      <c r="Z89" s="104">
        <f t="shared" si="25"/>
        <v>0</v>
      </c>
      <c r="AA89" s="104">
        <f t="shared" si="25"/>
        <v>0</v>
      </c>
      <c r="AB89" s="104">
        <f t="shared" si="25"/>
        <v>0</v>
      </c>
      <c r="AC89" s="104">
        <f t="shared" si="25"/>
        <v>0</v>
      </c>
      <c r="AD89" s="104">
        <f t="shared" si="25"/>
        <v>0</v>
      </c>
      <c r="AE89" s="104">
        <f t="shared" si="25"/>
        <v>0</v>
      </c>
      <c r="AI89" s="104">
        <f>COUNTA(AI18)</f>
        <v>0</v>
      </c>
      <c r="AJ89" s="104">
        <f t="shared" ref="AJ89:AT90" si="26">COUNTA(AJ18)</f>
        <v>0</v>
      </c>
      <c r="AK89" s="104">
        <f t="shared" si="26"/>
        <v>0</v>
      </c>
      <c r="AL89" s="104">
        <f t="shared" si="26"/>
        <v>0</v>
      </c>
      <c r="AM89" s="104">
        <f t="shared" si="26"/>
        <v>0</v>
      </c>
      <c r="AN89" s="104">
        <f t="shared" si="26"/>
        <v>0</v>
      </c>
      <c r="AO89" s="104">
        <f t="shared" si="26"/>
        <v>0</v>
      </c>
      <c r="AP89" s="104">
        <f t="shared" si="26"/>
        <v>0</v>
      </c>
      <c r="AQ89" s="104">
        <f t="shared" si="26"/>
        <v>0</v>
      </c>
      <c r="AR89" s="104">
        <f t="shared" si="26"/>
        <v>0</v>
      </c>
      <c r="AS89" s="104">
        <f t="shared" si="26"/>
        <v>0</v>
      </c>
      <c r="AT89" s="104">
        <f t="shared" si="26"/>
        <v>0</v>
      </c>
      <c r="AX89" s="104">
        <f>COUNTA(AX18)</f>
        <v>0</v>
      </c>
      <c r="AY89" s="104">
        <f t="shared" ref="AY89:BI90" si="27">COUNTA(AY18)</f>
        <v>0</v>
      </c>
      <c r="AZ89" s="104">
        <f t="shared" si="27"/>
        <v>0</v>
      </c>
      <c r="BA89" s="104">
        <f t="shared" si="27"/>
        <v>0</v>
      </c>
      <c r="BB89" s="104">
        <f t="shared" si="27"/>
        <v>0</v>
      </c>
      <c r="BC89" s="104">
        <f t="shared" si="27"/>
        <v>0</v>
      </c>
      <c r="BD89" s="104">
        <f t="shared" si="27"/>
        <v>0</v>
      </c>
      <c r="BE89" s="104">
        <f t="shared" si="27"/>
        <v>0</v>
      </c>
      <c r="BF89" s="104">
        <f t="shared" si="27"/>
        <v>0</v>
      </c>
      <c r="BG89" s="104">
        <f t="shared" si="27"/>
        <v>0</v>
      </c>
      <c r="BH89" s="104">
        <f t="shared" si="27"/>
        <v>0</v>
      </c>
      <c r="BI89" s="104">
        <f t="shared" si="27"/>
        <v>0</v>
      </c>
      <c r="BM89" s="104">
        <f>COUNTA(BM18)</f>
        <v>0</v>
      </c>
      <c r="BN89" s="104">
        <f t="shared" ref="BN89:BX90" si="28">COUNTA(BN18)</f>
        <v>0</v>
      </c>
      <c r="BO89" s="104">
        <f t="shared" si="28"/>
        <v>0</v>
      </c>
      <c r="BP89" s="104">
        <f t="shared" si="28"/>
        <v>0</v>
      </c>
      <c r="BQ89" s="104">
        <f t="shared" si="28"/>
        <v>0</v>
      </c>
      <c r="BR89" s="104">
        <f t="shared" si="28"/>
        <v>0</v>
      </c>
      <c r="BS89" s="104">
        <f t="shared" si="28"/>
        <v>0</v>
      </c>
      <c r="BT89" s="104">
        <f t="shared" si="28"/>
        <v>0</v>
      </c>
      <c r="BU89" s="104">
        <f t="shared" si="28"/>
        <v>0</v>
      </c>
      <c r="BV89" s="104">
        <f t="shared" si="28"/>
        <v>0</v>
      </c>
      <c r="BW89" s="104">
        <f t="shared" si="28"/>
        <v>0</v>
      </c>
      <c r="BX89" s="104">
        <f t="shared" si="28"/>
        <v>0</v>
      </c>
    </row>
    <row r="90" spans="3:76" s="104" customFormat="1" x14ac:dyDescent="0.4">
      <c r="C90" s="104" t="s">
        <v>276</v>
      </c>
      <c r="E90" s="104">
        <f>COUNTA(E19)</f>
        <v>0</v>
      </c>
      <c r="F90" s="104">
        <f t="shared" si="24"/>
        <v>0</v>
      </c>
      <c r="G90" s="104">
        <f t="shared" si="24"/>
        <v>0</v>
      </c>
      <c r="H90" s="104">
        <f t="shared" si="24"/>
        <v>0</v>
      </c>
      <c r="I90" s="104">
        <f t="shared" si="24"/>
        <v>0</v>
      </c>
      <c r="J90" s="104">
        <f t="shared" si="24"/>
        <v>0</v>
      </c>
      <c r="K90" s="104">
        <f t="shared" si="24"/>
        <v>0</v>
      </c>
      <c r="L90" s="104">
        <f t="shared" si="24"/>
        <v>0</v>
      </c>
      <c r="M90" s="104">
        <f t="shared" si="24"/>
        <v>0</v>
      </c>
      <c r="N90" s="104">
        <f t="shared" si="24"/>
        <v>0</v>
      </c>
      <c r="O90" s="104">
        <f t="shared" si="24"/>
        <v>0</v>
      </c>
      <c r="P90" s="104">
        <f t="shared" si="24"/>
        <v>0</v>
      </c>
      <c r="T90" s="104">
        <f>COUNTA(T19)</f>
        <v>0</v>
      </c>
      <c r="U90" s="104">
        <f t="shared" si="25"/>
        <v>0</v>
      </c>
      <c r="V90" s="104">
        <f t="shared" si="25"/>
        <v>0</v>
      </c>
      <c r="W90" s="104">
        <f t="shared" si="25"/>
        <v>0</v>
      </c>
      <c r="X90" s="104">
        <f t="shared" si="25"/>
        <v>0</v>
      </c>
      <c r="Y90" s="104">
        <f t="shared" si="25"/>
        <v>0</v>
      </c>
      <c r="Z90" s="104">
        <f t="shared" si="25"/>
        <v>0</v>
      </c>
      <c r="AA90" s="104">
        <f t="shared" si="25"/>
        <v>0</v>
      </c>
      <c r="AB90" s="104">
        <f t="shared" si="25"/>
        <v>0</v>
      </c>
      <c r="AC90" s="104">
        <f t="shared" si="25"/>
        <v>0</v>
      </c>
      <c r="AD90" s="104">
        <f t="shared" si="25"/>
        <v>0</v>
      </c>
      <c r="AE90" s="104">
        <f t="shared" si="25"/>
        <v>0</v>
      </c>
      <c r="AI90" s="104">
        <f>COUNTA(AI19)</f>
        <v>0</v>
      </c>
      <c r="AJ90" s="104">
        <f t="shared" si="26"/>
        <v>0</v>
      </c>
      <c r="AK90" s="104">
        <f t="shared" si="26"/>
        <v>0</v>
      </c>
      <c r="AL90" s="104">
        <f t="shared" si="26"/>
        <v>0</v>
      </c>
      <c r="AM90" s="104">
        <f t="shared" si="26"/>
        <v>0</v>
      </c>
      <c r="AN90" s="104">
        <f t="shared" si="26"/>
        <v>0</v>
      </c>
      <c r="AO90" s="104">
        <f t="shared" si="26"/>
        <v>0</v>
      </c>
      <c r="AP90" s="104">
        <f t="shared" si="26"/>
        <v>0</v>
      </c>
      <c r="AQ90" s="104">
        <f t="shared" si="26"/>
        <v>0</v>
      </c>
      <c r="AR90" s="104">
        <f t="shared" si="26"/>
        <v>0</v>
      </c>
      <c r="AS90" s="104">
        <f t="shared" si="26"/>
        <v>0</v>
      </c>
      <c r="AT90" s="104">
        <f t="shared" si="26"/>
        <v>0</v>
      </c>
      <c r="AX90" s="104">
        <f>COUNTA(AX19)</f>
        <v>0</v>
      </c>
      <c r="AY90" s="104">
        <f t="shared" si="27"/>
        <v>0</v>
      </c>
      <c r="AZ90" s="104">
        <f t="shared" si="27"/>
        <v>0</v>
      </c>
      <c r="BA90" s="104">
        <f t="shared" si="27"/>
        <v>0</v>
      </c>
      <c r="BB90" s="104">
        <f t="shared" si="27"/>
        <v>0</v>
      </c>
      <c r="BC90" s="104">
        <f t="shared" si="27"/>
        <v>0</v>
      </c>
      <c r="BD90" s="104">
        <f t="shared" si="27"/>
        <v>0</v>
      </c>
      <c r="BE90" s="104">
        <f t="shared" si="27"/>
        <v>0</v>
      </c>
      <c r="BF90" s="104">
        <f t="shared" si="27"/>
        <v>0</v>
      </c>
      <c r="BG90" s="104">
        <f t="shared" si="27"/>
        <v>0</v>
      </c>
      <c r="BH90" s="104">
        <f t="shared" si="27"/>
        <v>0</v>
      </c>
      <c r="BI90" s="104">
        <f t="shared" si="27"/>
        <v>0</v>
      </c>
      <c r="BM90" s="104">
        <f>COUNTA(BM19)</f>
        <v>0</v>
      </c>
      <c r="BN90" s="104">
        <f t="shared" si="28"/>
        <v>0</v>
      </c>
      <c r="BO90" s="104">
        <f t="shared" si="28"/>
        <v>0</v>
      </c>
      <c r="BP90" s="104">
        <f t="shared" si="28"/>
        <v>0</v>
      </c>
      <c r="BQ90" s="104">
        <f t="shared" si="28"/>
        <v>0</v>
      </c>
      <c r="BR90" s="104">
        <f t="shared" si="28"/>
        <v>0</v>
      </c>
      <c r="BS90" s="104">
        <f t="shared" si="28"/>
        <v>0</v>
      </c>
      <c r="BT90" s="104">
        <f t="shared" si="28"/>
        <v>0</v>
      </c>
      <c r="BU90" s="104">
        <f t="shared" si="28"/>
        <v>0</v>
      </c>
      <c r="BV90" s="104">
        <f t="shared" si="28"/>
        <v>0</v>
      </c>
      <c r="BW90" s="104">
        <f t="shared" si="28"/>
        <v>0</v>
      </c>
      <c r="BX90" s="104">
        <f t="shared" si="28"/>
        <v>0</v>
      </c>
    </row>
    <row r="91" spans="3:76" s="104" customFormat="1" x14ac:dyDescent="0.4">
      <c r="C91" s="104" t="s">
        <v>277</v>
      </c>
      <c r="E91" s="104">
        <f>COUNTA(E23)</f>
        <v>0</v>
      </c>
      <c r="F91" s="104">
        <f t="shared" ref="F91:P92" si="29">COUNTA(F23)</f>
        <v>0</v>
      </c>
      <c r="G91" s="104">
        <f t="shared" si="29"/>
        <v>0</v>
      </c>
      <c r="H91" s="104">
        <f t="shared" si="29"/>
        <v>0</v>
      </c>
      <c r="I91" s="104">
        <f t="shared" si="29"/>
        <v>0</v>
      </c>
      <c r="J91" s="104">
        <f t="shared" si="29"/>
        <v>0</v>
      </c>
      <c r="K91" s="104">
        <f t="shared" si="29"/>
        <v>0</v>
      </c>
      <c r="L91" s="104">
        <f t="shared" si="29"/>
        <v>0</v>
      </c>
      <c r="M91" s="104">
        <f t="shared" si="29"/>
        <v>0</v>
      </c>
      <c r="N91" s="104">
        <f t="shared" si="29"/>
        <v>0</v>
      </c>
      <c r="O91" s="104">
        <f t="shared" si="29"/>
        <v>0</v>
      </c>
      <c r="P91" s="104">
        <f t="shared" si="29"/>
        <v>0</v>
      </c>
      <c r="T91" s="104">
        <f>COUNTA(T23)</f>
        <v>0</v>
      </c>
      <c r="U91" s="104">
        <f t="shared" ref="U91:AE92" si="30">COUNTA(U23)</f>
        <v>0</v>
      </c>
      <c r="V91" s="104">
        <f t="shared" si="30"/>
        <v>0</v>
      </c>
      <c r="W91" s="104">
        <f t="shared" si="30"/>
        <v>0</v>
      </c>
      <c r="X91" s="104">
        <f t="shared" si="30"/>
        <v>0</v>
      </c>
      <c r="Y91" s="104">
        <f t="shared" si="30"/>
        <v>0</v>
      </c>
      <c r="Z91" s="104">
        <f t="shared" si="30"/>
        <v>0</v>
      </c>
      <c r="AA91" s="104">
        <f t="shared" si="30"/>
        <v>0</v>
      </c>
      <c r="AB91" s="104">
        <f t="shared" si="30"/>
        <v>0</v>
      </c>
      <c r="AC91" s="104">
        <f t="shared" si="30"/>
        <v>0</v>
      </c>
      <c r="AD91" s="104">
        <f t="shared" si="30"/>
        <v>0</v>
      </c>
      <c r="AE91" s="104">
        <f t="shared" si="30"/>
        <v>0</v>
      </c>
      <c r="AI91" s="104">
        <f>COUNTA(AI23)</f>
        <v>0</v>
      </c>
      <c r="AJ91" s="104">
        <f t="shared" ref="AJ91:AT92" si="31">COUNTA(AJ23)</f>
        <v>0</v>
      </c>
      <c r="AK91" s="104">
        <f t="shared" si="31"/>
        <v>0</v>
      </c>
      <c r="AL91" s="104">
        <f t="shared" si="31"/>
        <v>0</v>
      </c>
      <c r="AM91" s="104">
        <f t="shared" si="31"/>
        <v>0</v>
      </c>
      <c r="AN91" s="104">
        <f t="shared" si="31"/>
        <v>0</v>
      </c>
      <c r="AO91" s="104">
        <f t="shared" si="31"/>
        <v>0</v>
      </c>
      <c r="AP91" s="104">
        <f t="shared" si="31"/>
        <v>0</v>
      </c>
      <c r="AQ91" s="104">
        <f t="shared" si="31"/>
        <v>0</v>
      </c>
      <c r="AR91" s="104">
        <f t="shared" si="31"/>
        <v>0</v>
      </c>
      <c r="AS91" s="104">
        <f t="shared" si="31"/>
        <v>0</v>
      </c>
      <c r="AT91" s="104">
        <f t="shared" si="31"/>
        <v>0</v>
      </c>
      <c r="AX91" s="104">
        <f>COUNTA(AX23)</f>
        <v>0</v>
      </c>
      <c r="AY91" s="104">
        <f t="shared" ref="AY91:BI92" si="32">COUNTA(AY23)</f>
        <v>0</v>
      </c>
      <c r="AZ91" s="104">
        <f t="shared" si="32"/>
        <v>0</v>
      </c>
      <c r="BA91" s="104">
        <f t="shared" si="32"/>
        <v>0</v>
      </c>
      <c r="BB91" s="104">
        <f t="shared" si="32"/>
        <v>0</v>
      </c>
      <c r="BC91" s="104">
        <f t="shared" si="32"/>
        <v>0</v>
      </c>
      <c r="BD91" s="104">
        <f t="shared" si="32"/>
        <v>0</v>
      </c>
      <c r="BE91" s="104">
        <f t="shared" si="32"/>
        <v>0</v>
      </c>
      <c r="BF91" s="104">
        <f t="shared" si="32"/>
        <v>0</v>
      </c>
      <c r="BG91" s="104">
        <f t="shared" si="32"/>
        <v>0</v>
      </c>
      <c r="BH91" s="104">
        <f t="shared" si="32"/>
        <v>0</v>
      </c>
      <c r="BI91" s="104">
        <f t="shared" si="32"/>
        <v>0</v>
      </c>
      <c r="BM91" s="104">
        <f>COUNTA(BM23)</f>
        <v>0</v>
      </c>
      <c r="BN91" s="104">
        <f t="shared" ref="BN91:BX92" si="33">COUNTA(BN23)</f>
        <v>0</v>
      </c>
      <c r="BO91" s="104">
        <f t="shared" si="33"/>
        <v>0</v>
      </c>
      <c r="BP91" s="104">
        <f t="shared" si="33"/>
        <v>0</v>
      </c>
      <c r="BQ91" s="104">
        <f t="shared" si="33"/>
        <v>0</v>
      </c>
      <c r="BR91" s="104">
        <f t="shared" si="33"/>
        <v>0</v>
      </c>
      <c r="BS91" s="104">
        <f t="shared" si="33"/>
        <v>0</v>
      </c>
      <c r="BT91" s="104">
        <f t="shared" si="33"/>
        <v>0</v>
      </c>
      <c r="BU91" s="104">
        <f t="shared" si="33"/>
        <v>0</v>
      </c>
      <c r="BV91" s="104">
        <f t="shared" si="33"/>
        <v>0</v>
      </c>
      <c r="BW91" s="104">
        <f t="shared" si="33"/>
        <v>0</v>
      </c>
      <c r="BX91" s="104">
        <f t="shared" si="33"/>
        <v>0</v>
      </c>
    </row>
    <row r="92" spans="3:76" s="104" customFormat="1" x14ac:dyDescent="0.4">
      <c r="C92" s="104" t="s">
        <v>278</v>
      </c>
      <c r="E92" s="104">
        <f>COUNTA(E24)</f>
        <v>0</v>
      </c>
      <c r="F92" s="104">
        <f t="shared" si="29"/>
        <v>0</v>
      </c>
      <c r="G92" s="104">
        <f t="shared" si="29"/>
        <v>0</v>
      </c>
      <c r="H92" s="104">
        <f t="shared" si="29"/>
        <v>0</v>
      </c>
      <c r="I92" s="104">
        <f t="shared" si="29"/>
        <v>0</v>
      </c>
      <c r="J92" s="104">
        <f t="shared" si="29"/>
        <v>0</v>
      </c>
      <c r="K92" s="104">
        <f t="shared" si="29"/>
        <v>0</v>
      </c>
      <c r="L92" s="104">
        <f t="shared" si="29"/>
        <v>0</v>
      </c>
      <c r="M92" s="104">
        <f t="shared" si="29"/>
        <v>0</v>
      </c>
      <c r="N92" s="104">
        <f t="shared" si="29"/>
        <v>0</v>
      </c>
      <c r="O92" s="104">
        <f t="shared" si="29"/>
        <v>0</v>
      </c>
      <c r="P92" s="104">
        <f t="shared" si="29"/>
        <v>0</v>
      </c>
      <c r="T92" s="104">
        <f>COUNTA(T24)</f>
        <v>0</v>
      </c>
      <c r="U92" s="104">
        <f t="shared" si="30"/>
        <v>0</v>
      </c>
      <c r="V92" s="104">
        <f t="shared" si="30"/>
        <v>0</v>
      </c>
      <c r="W92" s="104">
        <f t="shared" si="30"/>
        <v>0</v>
      </c>
      <c r="X92" s="104">
        <f t="shared" si="30"/>
        <v>0</v>
      </c>
      <c r="Y92" s="104">
        <f t="shared" si="30"/>
        <v>0</v>
      </c>
      <c r="Z92" s="104">
        <f t="shared" si="30"/>
        <v>0</v>
      </c>
      <c r="AA92" s="104">
        <f t="shared" si="30"/>
        <v>0</v>
      </c>
      <c r="AB92" s="104">
        <f t="shared" si="30"/>
        <v>0</v>
      </c>
      <c r="AC92" s="104">
        <f t="shared" si="30"/>
        <v>0</v>
      </c>
      <c r="AD92" s="104">
        <f t="shared" si="30"/>
        <v>0</v>
      </c>
      <c r="AE92" s="104">
        <f t="shared" si="30"/>
        <v>0</v>
      </c>
      <c r="AI92" s="104">
        <f>COUNTA(AI24)</f>
        <v>0</v>
      </c>
      <c r="AJ92" s="104">
        <f t="shared" si="31"/>
        <v>0</v>
      </c>
      <c r="AK92" s="104">
        <f t="shared" si="31"/>
        <v>0</v>
      </c>
      <c r="AL92" s="104">
        <f t="shared" si="31"/>
        <v>0</v>
      </c>
      <c r="AM92" s="104">
        <f t="shared" si="31"/>
        <v>0</v>
      </c>
      <c r="AN92" s="104">
        <f t="shared" si="31"/>
        <v>0</v>
      </c>
      <c r="AO92" s="104">
        <f t="shared" si="31"/>
        <v>0</v>
      </c>
      <c r="AP92" s="104">
        <f t="shared" si="31"/>
        <v>0</v>
      </c>
      <c r="AQ92" s="104">
        <f t="shared" si="31"/>
        <v>0</v>
      </c>
      <c r="AR92" s="104">
        <f t="shared" si="31"/>
        <v>0</v>
      </c>
      <c r="AS92" s="104">
        <f t="shared" si="31"/>
        <v>0</v>
      </c>
      <c r="AT92" s="104">
        <f t="shared" si="31"/>
        <v>0</v>
      </c>
      <c r="AX92" s="104">
        <f>COUNTA(AX24)</f>
        <v>0</v>
      </c>
      <c r="AY92" s="104">
        <f t="shared" si="32"/>
        <v>0</v>
      </c>
      <c r="AZ92" s="104">
        <f t="shared" si="32"/>
        <v>0</v>
      </c>
      <c r="BA92" s="104">
        <f t="shared" si="32"/>
        <v>0</v>
      </c>
      <c r="BB92" s="104">
        <f t="shared" si="32"/>
        <v>0</v>
      </c>
      <c r="BC92" s="104">
        <f t="shared" si="32"/>
        <v>0</v>
      </c>
      <c r="BD92" s="104">
        <f t="shared" si="32"/>
        <v>0</v>
      </c>
      <c r="BE92" s="104">
        <f t="shared" si="32"/>
        <v>0</v>
      </c>
      <c r="BF92" s="104">
        <f t="shared" si="32"/>
        <v>0</v>
      </c>
      <c r="BG92" s="104">
        <f t="shared" si="32"/>
        <v>0</v>
      </c>
      <c r="BH92" s="104">
        <f t="shared" si="32"/>
        <v>0</v>
      </c>
      <c r="BI92" s="104">
        <f t="shared" si="32"/>
        <v>0</v>
      </c>
      <c r="BM92" s="104">
        <f>COUNTA(BM24)</f>
        <v>0</v>
      </c>
      <c r="BN92" s="104">
        <f t="shared" si="33"/>
        <v>0</v>
      </c>
      <c r="BO92" s="104">
        <f t="shared" si="33"/>
        <v>0</v>
      </c>
      <c r="BP92" s="104">
        <f t="shared" si="33"/>
        <v>0</v>
      </c>
      <c r="BQ92" s="104">
        <f t="shared" si="33"/>
        <v>0</v>
      </c>
      <c r="BR92" s="104">
        <f t="shared" si="33"/>
        <v>0</v>
      </c>
      <c r="BS92" s="104">
        <f t="shared" si="33"/>
        <v>0</v>
      </c>
      <c r="BT92" s="104">
        <f t="shared" si="33"/>
        <v>0</v>
      </c>
      <c r="BU92" s="104">
        <f t="shared" si="33"/>
        <v>0</v>
      </c>
      <c r="BV92" s="104">
        <f t="shared" si="33"/>
        <v>0</v>
      </c>
      <c r="BW92" s="104">
        <f t="shared" si="33"/>
        <v>0</v>
      </c>
      <c r="BX92" s="104">
        <f t="shared" si="33"/>
        <v>0</v>
      </c>
    </row>
    <row r="93" spans="3:76" s="104" customFormat="1" x14ac:dyDescent="0.4">
      <c r="C93" s="104" t="s">
        <v>279</v>
      </c>
      <c r="E93" s="104">
        <f>COUNTA(E28)</f>
        <v>0</v>
      </c>
      <c r="F93" s="104">
        <f t="shared" ref="F93:P94" si="34">COUNTA(F28)</f>
        <v>0</v>
      </c>
      <c r="G93" s="104">
        <f t="shared" si="34"/>
        <v>0</v>
      </c>
      <c r="H93" s="104">
        <f t="shared" si="34"/>
        <v>0</v>
      </c>
      <c r="I93" s="104">
        <f t="shared" si="34"/>
        <v>0</v>
      </c>
      <c r="J93" s="104">
        <f t="shared" si="34"/>
        <v>0</v>
      </c>
      <c r="K93" s="104">
        <f t="shared" si="34"/>
        <v>0</v>
      </c>
      <c r="L93" s="104">
        <f t="shared" si="34"/>
        <v>0</v>
      </c>
      <c r="M93" s="104">
        <f t="shared" si="34"/>
        <v>0</v>
      </c>
      <c r="N93" s="104">
        <f t="shared" si="34"/>
        <v>0</v>
      </c>
      <c r="O93" s="104">
        <f t="shared" si="34"/>
        <v>0</v>
      </c>
      <c r="P93" s="104">
        <f t="shared" si="34"/>
        <v>0</v>
      </c>
      <c r="T93" s="104">
        <f>COUNTA(T28)</f>
        <v>0</v>
      </c>
      <c r="U93" s="104">
        <f t="shared" ref="U93:AE94" si="35">COUNTA(U28)</f>
        <v>0</v>
      </c>
      <c r="V93" s="104">
        <f t="shared" si="35"/>
        <v>0</v>
      </c>
      <c r="W93" s="104">
        <f t="shared" si="35"/>
        <v>0</v>
      </c>
      <c r="X93" s="104">
        <f t="shared" si="35"/>
        <v>0</v>
      </c>
      <c r="Y93" s="104">
        <f t="shared" si="35"/>
        <v>0</v>
      </c>
      <c r="Z93" s="104">
        <f t="shared" si="35"/>
        <v>0</v>
      </c>
      <c r="AA93" s="104">
        <f t="shared" si="35"/>
        <v>0</v>
      </c>
      <c r="AB93" s="104">
        <f t="shared" si="35"/>
        <v>0</v>
      </c>
      <c r="AC93" s="104">
        <f t="shared" si="35"/>
        <v>0</v>
      </c>
      <c r="AD93" s="104">
        <f t="shared" si="35"/>
        <v>0</v>
      </c>
      <c r="AE93" s="104">
        <f t="shared" si="35"/>
        <v>0</v>
      </c>
      <c r="AI93" s="104">
        <f>COUNTA(AI28)</f>
        <v>0</v>
      </c>
      <c r="AJ93" s="104">
        <f t="shared" ref="AJ93:AT94" si="36">COUNTA(AJ28)</f>
        <v>0</v>
      </c>
      <c r="AK93" s="104">
        <f t="shared" si="36"/>
        <v>0</v>
      </c>
      <c r="AL93" s="104">
        <f t="shared" si="36"/>
        <v>0</v>
      </c>
      <c r="AM93" s="104">
        <f t="shared" si="36"/>
        <v>0</v>
      </c>
      <c r="AN93" s="104">
        <f t="shared" si="36"/>
        <v>0</v>
      </c>
      <c r="AO93" s="104">
        <f t="shared" si="36"/>
        <v>0</v>
      </c>
      <c r="AP93" s="104">
        <f t="shared" si="36"/>
        <v>0</v>
      </c>
      <c r="AQ93" s="104">
        <f t="shared" si="36"/>
        <v>0</v>
      </c>
      <c r="AR93" s="104">
        <f t="shared" si="36"/>
        <v>0</v>
      </c>
      <c r="AS93" s="104">
        <f t="shared" si="36"/>
        <v>0</v>
      </c>
      <c r="AT93" s="104">
        <f t="shared" si="36"/>
        <v>0</v>
      </c>
      <c r="AX93" s="104">
        <f>COUNTA(AX28)</f>
        <v>0</v>
      </c>
      <c r="AY93" s="104">
        <f t="shared" ref="AY93:BI94" si="37">COUNTA(AY28)</f>
        <v>0</v>
      </c>
      <c r="AZ93" s="104">
        <f t="shared" si="37"/>
        <v>0</v>
      </c>
      <c r="BA93" s="104">
        <f t="shared" si="37"/>
        <v>0</v>
      </c>
      <c r="BB93" s="104">
        <f t="shared" si="37"/>
        <v>0</v>
      </c>
      <c r="BC93" s="104">
        <f t="shared" si="37"/>
        <v>0</v>
      </c>
      <c r="BD93" s="104">
        <f t="shared" si="37"/>
        <v>0</v>
      </c>
      <c r="BE93" s="104">
        <f t="shared" si="37"/>
        <v>0</v>
      </c>
      <c r="BF93" s="104">
        <f t="shared" si="37"/>
        <v>0</v>
      </c>
      <c r="BG93" s="104">
        <f t="shared" si="37"/>
        <v>0</v>
      </c>
      <c r="BH93" s="104">
        <f t="shared" si="37"/>
        <v>0</v>
      </c>
      <c r="BI93" s="104">
        <f t="shared" si="37"/>
        <v>0</v>
      </c>
      <c r="BM93" s="104">
        <f>COUNTA(BM28)</f>
        <v>0</v>
      </c>
      <c r="BN93" s="104">
        <f t="shared" ref="BN93:BX94" si="38">COUNTA(BN28)</f>
        <v>0</v>
      </c>
      <c r="BO93" s="104">
        <f t="shared" si="38"/>
        <v>0</v>
      </c>
      <c r="BP93" s="104">
        <f t="shared" si="38"/>
        <v>0</v>
      </c>
      <c r="BQ93" s="104">
        <f t="shared" si="38"/>
        <v>0</v>
      </c>
      <c r="BR93" s="104">
        <f t="shared" si="38"/>
        <v>0</v>
      </c>
      <c r="BS93" s="104">
        <f t="shared" si="38"/>
        <v>0</v>
      </c>
      <c r="BT93" s="104">
        <f t="shared" si="38"/>
        <v>0</v>
      </c>
      <c r="BU93" s="104">
        <f t="shared" si="38"/>
        <v>0</v>
      </c>
      <c r="BV93" s="104">
        <f t="shared" si="38"/>
        <v>0</v>
      </c>
      <c r="BW93" s="104">
        <f t="shared" si="38"/>
        <v>0</v>
      </c>
      <c r="BX93" s="104">
        <f t="shared" si="38"/>
        <v>0</v>
      </c>
    </row>
    <row r="94" spans="3:76" s="104" customFormat="1" x14ac:dyDescent="0.4">
      <c r="C94" s="104" t="s">
        <v>280</v>
      </c>
      <c r="E94" s="104">
        <f>COUNTA(E29)</f>
        <v>0</v>
      </c>
      <c r="F94" s="104">
        <f t="shared" si="34"/>
        <v>0</v>
      </c>
      <c r="G94" s="104">
        <f t="shared" si="34"/>
        <v>0</v>
      </c>
      <c r="H94" s="104">
        <f t="shared" si="34"/>
        <v>0</v>
      </c>
      <c r="I94" s="104">
        <f t="shared" si="34"/>
        <v>0</v>
      </c>
      <c r="J94" s="104">
        <f t="shared" si="34"/>
        <v>0</v>
      </c>
      <c r="K94" s="104">
        <f t="shared" si="34"/>
        <v>0</v>
      </c>
      <c r="L94" s="104">
        <f t="shared" si="34"/>
        <v>0</v>
      </c>
      <c r="M94" s="104">
        <f t="shared" si="34"/>
        <v>0</v>
      </c>
      <c r="N94" s="104">
        <f t="shared" si="34"/>
        <v>0</v>
      </c>
      <c r="O94" s="104">
        <f t="shared" si="34"/>
        <v>0</v>
      </c>
      <c r="P94" s="104">
        <f t="shared" si="34"/>
        <v>0</v>
      </c>
      <c r="T94" s="104">
        <f>COUNTA(T29)</f>
        <v>0</v>
      </c>
      <c r="U94" s="104">
        <f t="shared" si="35"/>
        <v>0</v>
      </c>
      <c r="V94" s="104">
        <f t="shared" si="35"/>
        <v>0</v>
      </c>
      <c r="W94" s="104">
        <f t="shared" si="35"/>
        <v>0</v>
      </c>
      <c r="X94" s="104">
        <f t="shared" si="35"/>
        <v>0</v>
      </c>
      <c r="Y94" s="104">
        <f t="shared" si="35"/>
        <v>0</v>
      </c>
      <c r="Z94" s="104">
        <f t="shared" si="35"/>
        <v>0</v>
      </c>
      <c r="AA94" s="104">
        <f t="shared" si="35"/>
        <v>0</v>
      </c>
      <c r="AB94" s="104">
        <f t="shared" si="35"/>
        <v>0</v>
      </c>
      <c r="AC94" s="104">
        <f t="shared" si="35"/>
        <v>0</v>
      </c>
      <c r="AD94" s="104">
        <f t="shared" si="35"/>
        <v>0</v>
      </c>
      <c r="AE94" s="104">
        <f t="shared" si="35"/>
        <v>0</v>
      </c>
      <c r="AI94" s="104">
        <f>COUNTA(AI29)</f>
        <v>0</v>
      </c>
      <c r="AJ94" s="104">
        <f t="shared" si="36"/>
        <v>0</v>
      </c>
      <c r="AK94" s="104">
        <f t="shared" si="36"/>
        <v>0</v>
      </c>
      <c r="AL94" s="104">
        <f t="shared" si="36"/>
        <v>0</v>
      </c>
      <c r="AM94" s="104">
        <f t="shared" si="36"/>
        <v>0</v>
      </c>
      <c r="AN94" s="104">
        <f t="shared" si="36"/>
        <v>0</v>
      </c>
      <c r="AO94" s="104">
        <f t="shared" si="36"/>
        <v>0</v>
      </c>
      <c r="AP94" s="104">
        <f t="shared" si="36"/>
        <v>0</v>
      </c>
      <c r="AQ94" s="104">
        <f t="shared" si="36"/>
        <v>0</v>
      </c>
      <c r="AR94" s="104">
        <f t="shared" si="36"/>
        <v>0</v>
      </c>
      <c r="AS94" s="104">
        <f t="shared" si="36"/>
        <v>0</v>
      </c>
      <c r="AT94" s="104">
        <f t="shared" si="36"/>
        <v>0</v>
      </c>
      <c r="AX94" s="104">
        <f>COUNTA(AX29)</f>
        <v>0</v>
      </c>
      <c r="AY94" s="104">
        <f t="shared" si="37"/>
        <v>0</v>
      </c>
      <c r="AZ94" s="104">
        <f t="shared" si="37"/>
        <v>0</v>
      </c>
      <c r="BA94" s="104">
        <f t="shared" si="37"/>
        <v>0</v>
      </c>
      <c r="BB94" s="104">
        <f t="shared" si="37"/>
        <v>0</v>
      </c>
      <c r="BC94" s="104">
        <f t="shared" si="37"/>
        <v>0</v>
      </c>
      <c r="BD94" s="104">
        <f t="shared" si="37"/>
        <v>0</v>
      </c>
      <c r="BE94" s="104">
        <f t="shared" si="37"/>
        <v>0</v>
      </c>
      <c r="BF94" s="104">
        <f t="shared" si="37"/>
        <v>0</v>
      </c>
      <c r="BG94" s="104">
        <f t="shared" si="37"/>
        <v>0</v>
      </c>
      <c r="BH94" s="104">
        <f t="shared" si="37"/>
        <v>0</v>
      </c>
      <c r="BI94" s="104">
        <f t="shared" si="37"/>
        <v>0</v>
      </c>
      <c r="BM94" s="104">
        <f>COUNTA(BM29)</f>
        <v>0</v>
      </c>
      <c r="BN94" s="104">
        <f t="shared" si="38"/>
        <v>0</v>
      </c>
      <c r="BO94" s="104">
        <f t="shared" si="38"/>
        <v>0</v>
      </c>
      <c r="BP94" s="104">
        <f t="shared" si="38"/>
        <v>0</v>
      </c>
      <c r="BQ94" s="104">
        <f t="shared" si="38"/>
        <v>0</v>
      </c>
      <c r="BR94" s="104">
        <f t="shared" si="38"/>
        <v>0</v>
      </c>
      <c r="BS94" s="104">
        <f t="shared" si="38"/>
        <v>0</v>
      </c>
      <c r="BT94" s="104">
        <f t="shared" si="38"/>
        <v>0</v>
      </c>
      <c r="BU94" s="104">
        <f t="shared" si="38"/>
        <v>0</v>
      </c>
      <c r="BV94" s="104">
        <f t="shared" si="38"/>
        <v>0</v>
      </c>
      <c r="BW94" s="104">
        <f t="shared" si="38"/>
        <v>0</v>
      </c>
      <c r="BX94" s="104">
        <f t="shared" si="38"/>
        <v>0</v>
      </c>
    </row>
    <row r="95" spans="3:76" s="104" customFormat="1" x14ac:dyDescent="0.4">
      <c r="C95" s="104" t="s">
        <v>281</v>
      </c>
      <c r="E95" s="104">
        <f>COUNTA(E33)</f>
        <v>0</v>
      </c>
      <c r="F95" s="104">
        <f t="shared" ref="F95:P96" si="39">COUNTA(F33)</f>
        <v>0</v>
      </c>
      <c r="G95" s="104">
        <f t="shared" si="39"/>
        <v>0</v>
      </c>
      <c r="H95" s="104">
        <f t="shared" si="39"/>
        <v>0</v>
      </c>
      <c r="I95" s="104">
        <f t="shared" si="39"/>
        <v>0</v>
      </c>
      <c r="J95" s="104">
        <f t="shared" si="39"/>
        <v>0</v>
      </c>
      <c r="K95" s="104">
        <f t="shared" si="39"/>
        <v>0</v>
      </c>
      <c r="L95" s="104">
        <f t="shared" si="39"/>
        <v>0</v>
      </c>
      <c r="M95" s="104">
        <f t="shared" si="39"/>
        <v>0</v>
      </c>
      <c r="N95" s="104">
        <f t="shared" si="39"/>
        <v>0</v>
      </c>
      <c r="O95" s="104">
        <f t="shared" si="39"/>
        <v>0</v>
      </c>
      <c r="P95" s="104">
        <f t="shared" si="39"/>
        <v>0</v>
      </c>
      <c r="T95" s="104">
        <f>COUNTA(T33)</f>
        <v>0</v>
      </c>
      <c r="U95" s="104">
        <f t="shared" ref="U95:AE96" si="40">COUNTA(U33)</f>
        <v>0</v>
      </c>
      <c r="V95" s="104">
        <f t="shared" si="40"/>
        <v>0</v>
      </c>
      <c r="W95" s="104">
        <f t="shared" si="40"/>
        <v>0</v>
      </c>
      <c r="X95" s="104">
        <f t="shared" si="40"/>
        <v>0</v>
      </c>
      <c r="Y95" s="104">
        <f t="shared" si="40"/>
        <v>0</v>
      </c>
      <c r="Z95" s="104">
        <f t="shared" si="40"/>
        <v>0</v>
      </c>
      <c r="AA95" s="104">
        <f t="shared" si="40"/>
        <v>0</v>
      </c>
      <c r="AB95" s="104">
        <f t="shared" si="40"/>
        <v>0</v>
      </c>
      <c r="AC95" s="104">
        <f t="shared" si="40"/>
        <v>0</v>
      </c>
      <c r="AD95" s="104">
        <f t="shared" si="40"/>
        <v>0</v>
      </c>
      <c r="AE95" s="104">
        <f t="shared" si="40"/>
        <v>0</v>
      </c>
      <c r="AI95" s="104">
        <f>COUNTA(AI33)</f>
        <v>0</v>
      </c>
      <c r="AJ95" s="104">
        <f t="shared" ref="AJ95:AT96" si="41">COUNTA(AJ33)</f>
        <v>0</v>
      </c>
      <c r="AK95" s="104">
        <f t="shared" si="41"/>
        <v>0</v>
      </c>
      <c r="AL95" s="104">
        <f t="shared" si="41"/>
        <v>0</v>
      </c>
      <c r="AM95" s="104">
        <f t="shared" si="41"/>
        <v>0</v>
      </c>
      <c r="AN95" s="104">
        <f t="shared" si="41"/>
        <v>0</v>
      </c>
      <c r="AO95" s="104">
        <f t="shared" si="41"/>
        <v>0</v>
      </c>
      <c r="AP95" s="104">
        <f t="shared" si="41"/>
        <v>0</v>
      </c>
      <c r="AQ95" s="104">
        <f t="shared" si="41"/>
        <v>0</v>
      </c>
      <c r="AR95" s="104">
        <f t="shared" si="41"/>
        <v>0</v>
      </c>
      <c r="AS95" s="104">
        <f t="shared" si="41"/>
        <v>0</v>
      </c>
      <c r="AT95" s="104">
        <f t="shared" si="41"/>
        <v>0</v>
      </c>
      <c r="AX95" s="104">
        <f>COUNTA(AX33)</f>
        <v>0</v>
      </c>
      <c r="AY95" s="104">
        <f t="shared" ref="AY95:BI96" si="42">COUNTA(AY33)</f>
        <v>0</v>
      </c>
      <c r="AZ95" s="104">
        <f t="shared" si="42"/>
        <v>0</v>
      </c>
      <c r="BA95" s="104">
        <f t="shared" si="42"/>
        <v>0</v>
      </c>
      <c r="BB95" s="104">
        <f t="shared" si="42"/>
        <v>0</v>
      </c>
      <c r="BC95" s="104">
        <f t="shared" si="42"/>
        <v>0</v>
      </c>
      <c r="BD95" s="104">
        <f t="shared" si="42"/>
        <v>0</v>
      </c>
      <c r="BE95" s="104">
        <f t="shared" si="42"/>
        <v>0</v>
      </c>
      <c r="BF95" s="104">
        <f t="shared" si="42"/>
        <v>0</v>
      </c>
      <c r="BG95" s="104">
        <f t="shared" si="42"/>
        <v>0</v>
      </c>
      <c r="BH95" s="104">
        <f t="shared" si="42"/>
        <v>0</v>
      </c>
      <c r="BI95" s="104">
        <f t="shared" si="42"/>
        <v>0</v>
      </c>
      <c r="BM95" s="104">
        <f>COUNTA(BM33)</f>
        <v>0</v>
      </c>
      <c r="BN95" s="104">
        <f t="shared" ref="BN95:BX96" si="43">COUNTA(BN33)</f>
        <v>0</v>
      </c>
      <c r="BO95" s="104">
        <f t="shared" si="43"/>
        <v>0</v>
      </c>
      <c r="BP95" s="104">
        <f t="shared" si="43"/>
        <v>0</v>
      </c>
      <c r="BQ95" s="104">
        <f t="shared" si="43"/>
        <v>0</v>
      </c>
      <c r="BR95" s="104">
        <f t="shared" si="43"/>
        <v>0</v>
      </c>
      <c r="BS95" s="104">
        <f t="shared" si="43"/>
        <v>0</v>
      </c>
      <c r="BT95" s="104">
        <f t="shared" si="43"/>
        <v>0</v>
      </c>
      <c r="BU95" s="104">
        <f t="shared" si="43"/>
        <v>0</v>
      </c>
      <c r="BV95" s="104">
        <f t="shared" si="43"/>
        <v>0</v>
      </c>
      <c r="BW95" s="104">
        <f t="shared" si="43"/>
        <v>0</v>
      </c>
      <c r="BX95" s="104">
        <f t="shared" si="43"/>
        <v>0</v>
      </c>
    </row>
    <row r="96" spans="3:76" s="104" customFormat="1" x14ac:dyDescent="0.4">
      <c r="C96" s="104" t="s">
        <v>282</v>
      </c>
      <c r="E96" s="104">
        <f>COUNTA(E34)</f>
        <v>0</v>
      </c>
      <c r="F96" s="104">
        <f t="shared" si="39"/>
        <v>0</v>
      </c>
      <c r="G96" s="104">
        <f t="shared" si="39"/>
        <v>0</v>
      </c>
      <c r="H96" s="104">
        <f t="shared" si="39"/>
        <v>0</v>
      </c>
      <c r="I96" s="104">
        <f t="shared" si="39"/>
        <v>0</v>
      </c>
      <c r="J96" s="104">
        <f t="shared" si="39"/>
        <v>0</v>
      </c>
      <c r="K96" s="104">
        <f t="shared" si="39"/>
        <v>0</v>
      </c>
      <c r="L96" s="104">
        <f t="shared" si="39"/>
        <v>0</v>
      </c>
      <c r="M96" s="104">
        <f t="shared" si="39"/>
        <v>0</v>
      </c>
      <c r="N96" s="104">
        <f t="shared" si="39"/>
        <v>0</v>
      </c>
      <c r="O96" s="104">
        <f t="shared" si="39"/>
        <v>0</v>
      </c>
      <c r="P96" s="104">
        <f t="shared" si="39"/>
        <v>0</v>
      </c>
      <c r="T96" s="104">
        <f>COUNTA(T34)</f>
        <v>0</v>
      </c>
      <c r="U96" s="104">
        <f t="shared" si="40"/>
        <v>0</v>
      </c>
      <c r="V96" s="104">
        <f t="shared" si="40"/>
        <v>0</v>
      </c>
      <c r="W96" s="104">
        <f t="shared" si="40"/>
        <v>0</v>
      </c>
      <c r="X96" s="104">
        <f t="shared" si="40"/>
        <v>0</v>
      </c>
      <c r="Y96" s="104">
        <f t="shared" si="40"/>
        <v>0</v>
      </c>
      <c r="Z96" s="104">
        <f t="shared" si="40"/>
        <v>0</v>
      </c>
      <c r="AA96" s="104">
        <f t="shared" si="40"/>
        <v>0</v>
      </c>
      <c r="AB96" s="104">
        <f t="shared" si="40"/>
        <v>0</v>
      </c>
      <c r="AC96" s="104">
        <f t="shared" si="40"/>
        <v>0</v>
      </c>
      <c r="AD96" s="104">
        <f t="shared" si="40"/>
        <v>0</v>
      </c>
      <c r="AE96" s="104">
        <f t="shared" si="40"/>
        <v>0</v>
      </c>
      <c r="AI96" s="104">
        <f>COUNTA(AI34)</f>
        <v>0</v>
      </c>
      <c r="AJ96" s="104">
        <f t="shared" si="41"/>
        <v>0</v>
      </c>
      <c r="AK96" s="104">
        <f t="shared" si="41"/>
        <v>0</v>
      </c>
      <c r="AL96" s="104">
        <f t="shared" si="41"/>
        <v>0</v>
      </c>
      <c r="AM96" s="104">
        <f t="shared" si="41"/>
        <v>0</v>
      </c>
      <c r="AN96" s="104">
        <f t="shared" si="41"/>
        <v>0</v>
      </c>
      <c r="AO96" s="104">
        <f t="shared" si="41"/>
        <v>0</v>
      </c>
      <c r="AP96" s="104">
        <f t="shared" si="41"/>
        <v>0</v>
      </c>
      <c r="AQ96" s="104">
        <f t="shared" si="41"/>
        <v>0</v>
      </c>
      <c r="AR96" s="104">
        <f t="shared" si="41"/>
        <v>0</v>
      </c>
      <c r="AS96" s="104">
        <f t="shared" si="41"/>
        <v>0</v>
      </c>
      <c r="AT96" s="104">
        <f t="shared" si="41"/>
        <v>0</v>
      </c>
      <c r="AX96" s="104">
        <f>COUNTA(AX34)</f>
        <v>0</v>
      </c>
      <c r="AY96" s="104">
        <f t="shared" si="42"/>
        <v>0</v>
      </c>
      <c r="AZ96" s="104">
        <f t="shared" si="42"/>
        <v>0</v>
      </c>
      <c r="BA96" s="104">
        <f t="shared" si="42"/>
        <v>0</v>
      </c>
      <c r="BB96" s="104">
        <f t="shared" si="42"/>
        <v>0</v>
      </c>
      <c r="BC96" s="104">
        <f t="shared" si="42"/>
        <v>0</v>
      </c>
      <c r="BD96" s="104">
        <f t="shared" si="42"/>
        <v>0</v>
      </c>
      <c r="BE96" s="104">
        <f t="shared" si="42"/>
        <v>0</v>
      </c>
      <c r="BF96" s="104">
        <f t="shared" si="42"/>
        <v>0</v>
      </c>
      <c r="BG96" s="104">
        <f t="shared" si="42"/>
        <v>0</v>
      </c>
      <c r="BH96" s="104">
        <f t="shared" si="42"/>
        <v>0</v>
      </c>
      <c r="BI96" s="104">
        <f t="shared" si="42"/>
        <v>0</v>
      </c>
      <c r="BM96" s="104">
        <f>COUNTA(BM34)</f>
        <v>0</v>
      </c>
      <c r="BN96" s="104">
        <f t="shared" si="43"/>
        <v>0</v>
      </c>
      <c r="BO96" s="104">
        <f t="shared" si="43"/>
        <v>0</v>
      </c>
      <c r="BP96" s="104">
        <f t="shared" si="43"/>
        <v>0</v>
      </c>
      <c r="BQ96" s="104">
        <f t="shared" si="43"/>
        <v>0</v>
      </c>
      <c r="BR96" s="104">
        <f t="shared" si="43"/>
        <v>0</v>
      </c>
      <c r="BS96" s="104">
        <f t="shared" si="43"/>
        <v>0</v>
      </c>
      <c r="BT96" s="104">
        <f t="shared" si="43"/>
        <v>0</v>
      </c>
      <c r="BU96" s="104">
        <f t="shared" si="43"/>
        <v>0</v>
      </c>
      <c r="BV96" s="104">
        <f t="shared" si="43"/>
        <v>0</v>
      </c>
      <c r="BW96" s="104">
        <f t="shared" si="43"/>
        <v>0</v>
      </c>
      <c r="BX96" s="104">
        <f t="shared" si="43"/>
        <v>0</v>
      </c>
    </row>
    <row r="97" spans="3:76" s="104" customFormat="1" x14ac:dyDescent="0.4">
      <c r="C97" s="104" t="s">
        <v>283</v>
      </c>
      <c r="E97" s="104">
        <f>COUNTA(E38)</f>
        <v>0</v>
      </c>
      <c r="F97" s="104">
        <f t="shared" ref="F97:P98" si="44">COUNTA(F38)</f>
        <v>0</v>
      </c>
      <c r="G97" s="104">
        <f t="shared" si="44"/>
        <v>0</v>
      </c>
      <c r="H97" s="104">
        <f t="shared" si="44"/>
        <v>0</v>
      </c>
      <c r="I97" s="104">
        <f t="shared" si="44"/>
        <v>0</v>
      </c>
      <c r="J97" s="104">
        <f t="shared" si="44"/>
        <v>0</v>
      </c>
      <c r="K97" s="104">
        <f t="shared" si="44"/>
        <v>0</v>
      </c>
      <c r="L97" s="104">
        <f t="shared" si="44"/>
        <v>0</v>
      </c>
      <c r="M97" s="104">
        <f t="shared" si="44"/>
        <v>0</v>
      </c>
      <c r="N97" s="104">
        <f t="shared" si="44"/>
        <v>0</v>
      </c>
      <c r="O97" s="104">
        <f t="shared" si="44"/>
        <v>0</v>
      </c>
      <c r="P97" s="104">
        <f t="shared" si="44"/>
        <v>0</v>
      </c>
      <c r="T97" s="104">
        <f>COUNTA(T38)</f>
        <v>0</v>
      </c>
      <c r="U97" s="104">
        <f t="shared" ref="U97:AE98" si="45">COUNTA(U38)</f>
        <v>0</v>
      </c>
      <c r="V97" s="104">
        <f t="shared" si="45"/>
        <v>0</v>
      </c>
      <c r="W97" s="104">
        <f t="shared" si="45"/>
        <v>0</v>
      </c>
      <c r="X97" s="104">
        <f t="shared" si="45"/>
        <v>0</v>
      </c>
      <c r="Y97" s="104">
        <f t="shared" si="45"/>
        <v>0</v>
      </c>
      <c r="Z97" s="104">
        <f t="shared" si="45"/>
        <v>0</v>
      </c>
      <c r="AA97" s="104">
        <f t="shared" si="45"/>
        <v>0</v>
      </c>
      <c r="AB97" s="104">
        <f t="shared" si="45"/>
        <v>0</v>
      </c>
      <c r="AC97" s="104">
        <f t="shared" si="45"/>
        <v>0</v>
      </c>
      <c r="AD97" s="104">
        <f t="shared" si="45"/>
        <v>0</v>
      </c>
      <c r="AE97" s="104">
        <f t="shared" si="45"/>
        <v>0</v>
      </c>
      <c r="AI97" s="104">
        <f>COUNTA(AI38)</f>
        <v>0</v>
      </c>
      <c r="AJ97" s="104">
        <f t="shared" ref="AJ97:AT98" si="46">COUNTA(AJ38)</f>
        <v>0</v>
      </c>
      <c r="AK97" s="104">
        <f t="shared" si="46"/>
        <v>0</v>
      </c>
      <c r="AL97" s="104">
        <f t="shared" si="46"/>
        <v>0</v>
      </c>
      <c r="AM97" s="104">
        <f t="shared" si="46"/>
        <v>0</v>
      </c>
      <c r="AN97" s="104">
        <f t="shared" si="46"/>
        <v>0</v>
      </c>
      <c r="AO97" s="104">
        <f t="shared" si="46"/>
        <v>0</v>
      </c>
      <c r="AP97" s="104">
        <f t="shared" si="46"/>
        <v>0</v>
      </c>
      <c r="AQ97" s="104">
        <f t="shared" si="46"/>
        <v>0</v>
      </c>
      <c r="AR97" s="104">
        <f t="shared" si="46"/>
        <v>0</v>
      </c>
      <c r="AS97" s="104">
        <f t="shared" si="46"/>
        <v>0</v>
      </c>
      <c r="AT97" s="104">
        <f t="shared" si="46"/>
        <v>0</v>
      </c>
      <c r="AX97" s="104">
        <f>COUNTA(AX38)</f>
        <v>0</v>
      </c>
      <c r="AY97" s="104">
        <f t="shared" ref="AY97:BI98" si="47">COUNTA(AY38)</f>
        <v>0</v>
      </c>
      <c r="AZ97" s="104">
        <f t="shared" si="47"/>
        <v>0</v>
      </c>
      <c r="BA97" s="104">
        <f t="shared" si="47"/>
        <v>0</v>
      </c>
      <c r="BB97" s="104">
        <f t="shared" si="47"/>
        <v>0</v>
      </c>
      <c r="BC97" s="104">
        <f t="shared" si="47"/>
        <v>0</v>
      </c>
      <c r="BD97" s="104">
        <f t="shared" si="47"/>
        <v>0</v>
      </c>
      <c r="BE97" s="104">
        <f t="shared" si="47"/>
        <v>0</v>
      </c>
      <c r="BF97" s="104">
        <f t="shared" si="47"/>
        <v>0</v>
      </c>
      <c r="BG97" s="104">
        <f t="shared" si="47"/>
        <v>0</v>
      </c>
      <c r="BH97" s="104">
        <f t="shared" si="47"/>
        <v>0</v>
      </c>
      <c r="BI97" s="104">
        <f t="shared" si="47"/>
        <v>0</v>
      </c>
      <c r="BM97" s="104">
        <f>COUNTA(BM38)</f>
        <v>0</v>
      </c>
      <c r="BN97" s="104">
        <f t="shared" ref="BN97:BX98" si="48">COUNTA(BN38)</f>
        <v>0</v>
      </c>
      <c r="BO97" s="104">
        <f t="shared" si="48"/>
        <v>0</v>
      </c>
      <c r="BP97" s="104">
        <f t="shared" si="48"/>
        <v>0</v>
      </c>
      <c r="BQ97" s="104">
        <f t="shared" si="48"/>
        <v>0</v>
      </c>
      <c r="BR97" s="104">
        <f t="shared" si="48"/>
        <v>0</v>
      </c>
      <c r="BS97" s="104">
        <f t="shared" si="48"/>
        <v>0</v>
      </c>
      <c r="BT97" s="104">
        <f t="shared" si="48"/>
        <v>0</v>
      </c>
      <c r="BU97" s="104">
        <f t="shared" si="48"/>
        <v>0</v>
      </c>
      <c r="BV97" s="104">
        <f t="shared" si="48"/>
        <v>0</v>
      </c>
      <c r="BW97" s="104">
        <f t="shared" si="48"/>
        <v>0</v>
      </c>
      <c r="BX97" s="104">
        <f t="shared" si="48"/>
        <v>0</v>
      </c>
    </row>
    <row r="98" spans="3:76" s="104" customFormat="1" x14ac:dyDescent="0.4">
      <c r="C98" s="104" t="s">
        <v>284</v>
      </c>
      <c r="E98" s="104">
        <f>COUNTA(E39)</f>
        <v>0</v>
      </c>
      <c r="F98" s="104">
        <f t="shared" si="44"/>
        <v>0</v>
      </c>
      <c r="G98" s="104">
        <f t="shared" si="44"/>
        <v>0</v>
      </c>
      <c r="H98" s="104">
        <f t="shared" si="44"/>
        <v>0</v>
      </c>
      <c r="I98" s="104">
        <f t="shared" si="44"/>
        <v>0</v>
      </c>
      <c r="J98" s="104">
        <f t="shared" si="44"/>
        <v>0</v>
      </c>
      <c r="K98" s="104">
        <f t="shared" si="44"/>
        <v>0</v>
      </c>
      <c r="L98" s="104">
        <f t="shared" si="44"/>
        <v>0</v>
      </c>
      <c r="M98" s="104">
        <f t="shared" si="44"/>
        <v>0</v>
      </c>
      <c r="N98" s="104">
        <f t="shared" si="44"/>
        <v>0</v>
      </c>
      <c r="O98" s="104">
        <f t="shared" si="44"/>
        <v>0</v>
      </c>
      <c r="P98" s="104">
        <f t="shared" si="44"/>
        <v>0</v>
      </c>
      <c r="T98" s="104">
        <f>COUNTA(T39)</f>
        <v>0</v>
      </c>
      <c r="U98" s="104">
        <f t="shared" si="45"/>
        <v>0</v>
      </c>
      <c r="V98" s="104">
        <f t="shared" si="45"/>
        <v>0</v>
      </c>
      <c r="W98" s="104">
        <f t="shared" si="45"/>
        <v>0</v>
      </c>
      <c r="X98" s="104">
        <f t="shared" si="45"/>
        <v>0</v>
      </c>
      <c r="Y98" s="104">
        <f t="shared" si="45"/>
        <v>0</v>
      </c>
      <c r="Z98" s="104">
        <f t="shared" si="45"/>
        <v>0</v>
      </c>
      <c r="AA98" s="104">
        <f t="shared" si="45"/>
        <v>0</v>
      </c>
      <c r="AB98" s="104">
        <f t="shared" si="45"/>
        <v>0</v>
      </c>
      <c r="AC98" s="104">
        <f t="shared" si="45"/>
        <v>0</v>
      </c>
      <c r="AD98" s="104">
        <f t="shared" si="45"/>
        <v>0</v>
      </c>
      <c r="AE98" s="104">
        <f t="shared" si="45"/>
        <v>0</v>
      </c>
      <c r="AI98" s="104">
        <f>COUNTA(AI39)</f>
        <v>0</v>
      </c>
      <c r="AJ98" s="104">
        <f t="shared" si="46"/>
        <v>0</v>
      </c>
      <c r="AK98" s="104">
        <f t="shared" si="46"/>
        <v>0</v>
      </c>
      <c r="AL98" s="104">
        <f t="shared" si="46"/>
        <v>0</v>
      </c>
      <c r="AM98" s="104">
        <f t="shared" si="46"/>
        <v>0</v>
      </c>
      <c r="AN98" s="104">
        <f t="shared" si="46"/>
        <v>0</v>
      </c>
      <c r="AO98" s="104">
        <f t="shared" si="46"/>
        <v>0</v>
      </c>
      <c r="AP98" s="104">
        <f t="shared" si="46"/>
        <v>0</v>
      </c>
      <c r="AQ98" s="104">
        <f t="shared" si="46"/>
        <v>0</v>
      </c>
      <c r="AR98" s="104">
        <f t="shared" si="46"/>
        <v>0</v>
      </c>
      <c r="AS98" s="104">
        <f t="shared" si="46"/>
        <v>0</v>
      </c>
      <c r="AT98" s="104">
        <f t="shared" si="46"/>
        <v>0</v>
      </c>
      <c r="AX98" s="104">
        <f>COUNTA(AX39)</f>
        <v>0</v>
      </c>
      <c r="AY98" s="104">
        <f t="shared" si="47"/>
        <v>0</v>
      </c>
      <c r="AZ98" s="104">
        <f t="shared" si="47"/>
        <v>0</v>
      </c>
      <c r="BA98" s="104">
        <f t="shared" si="47"/>
        <v>0</v>
      </c>
      <c r="BB98" s="104">
        <f t="shared" si="47"/>
        <v>0</v>
      </c>
      <c r="BC98" s="104">
        <f t="shared" si="47"/>
        <v>0</v>
      </c>
      <c r="BD98" s="104">
        <f t="shared" si="47"/>
        <v>0</v>
      </c>
      <c r="BE98" s="104">
        <f t="shared" si="47"/>
        <v>0</v>
      </c>
      <c r="BF98" s="104">
        <f t="shared" si="47"/>
        <v>0</v>
      </c>
      <c r="BG98" s="104">
        <f t="shared" si="47"/>
        <v>0</v>
      </c>
      <c r="BH98" s="104">
        <f t="shared" si="47"/>
        <v>0</v>
      </c>
      <c r="BI98" s="104">
        <f t="shared" si="47"/>
        <v>0</v>
      </c>
      <c r="BM98" s="104">
        <f>COUNTA(BM39)</f>
        <v>0</v>
      </c>
      <c r="BN98" s="104">
        <f t="shared" si="48"/>
        <v>0</v>
      </c>
      <c r="BO98" s="104">
        <f t="shared" si="48"/>
        <v>0</v>
      </c>
      <c r="BP98" s="104">
        <f t="shared" si="48"/>
        <v>0</v>
      </c>
      <c r="BQ98" s="104">
        <f t="shared" si="48"/>
        <v>0</v>
      </c>
      <c r="BR98" s="104">
        <f t="shared" si="48"/>
        <v>0</v>
      </c>
      <c r="BS98" s="104">
        <f t="shared" si="48"/>
        <v>0</v>
      </c>
      <c r="BT98" s="104">
        <f t="shared" si="48"/>
        <v>0</v>
      </c>
      <c r="BU98" s="104">
        <f t="shared" si="48"/>
        <v>0</v>
      </c>
      <c r="BV98" s="104">
        <f t="shared" si="48"/>
        <v>0</v>
      </c>
      <c r="BW98" s="104">
        <f t="shared" si="48"/>
        <v>0</v>
      </c>
      <c r="BX98" s="104">
        <f t="shared" si="48"/>
        <v>0</v>
      </c>
    </row>
    <row r="99" spans="3:76" s="104" customFormat="1" x14ac:dyDescent="0.4">
      <c r="C99" s="104" t="s">
        <v>269</v>
      </c>
      <c r="E99" s="104">
        <f>COUNTA(E43)</f>
        <v>0</v>
      </c>
      <c r="F99" s="104">
        <f t="shared" ref="F99:P100" si="49">COUNTA(F43)</f>
        <v>0</v>
      </c>
      <c r="G99" s="104">
        <f t="shared" si="49"/>
        <v>0</v>
      </c>
      <c r="H99" s="104">
        <f t="shared" si="49"/>
        <v>0</v>
      </c>
      <c r="I99" s="104">
        <f t="shared" si="49"/>
        <v>0</v>
      </c>
      <c r="J99" s="104">
        <f t="shared" si="49"/>
        <v>0</v>
      </c>
      <c r="K99" s="104">
        <f t="shared" si="49"/>
        <v>0</v>
      </c>
      <c r="L99" s="104">
        <f t="shared" si="49"/>
        <v>0</v>
      </c>
      <c r="M99" s="104">
        <f t="shared" si="49"/>
        <v>0</v>
      </c>
      <c r="N99" s="104">
        <f t="shared" si="49"/>
        <v>0</v>
      </c>
      <c r="O99" s="104">
        <f t="shared" si="49"/>
        <v>0</v>
      </c>
      <c r="P99" s="104">
        <f t="shared" si="49"/>
        <v>0</v>
      </c>
      <c r="T99" s="104">
        <f>COUNTA(T43)</f>
        <v>0</v>
      </c>
      <c r="U99" s="104">
        <f t="shared" ref="U99:AE100" si="50">COUNTA(U43)</f>
        <v>0</v>
      </c>
      <c r="V99" s="104">
        <f t="shared" si="50"/>
        <v>0</v>
      </c>
      <c r="W99" s="104">
        <f t="shared" si="50"/>
        <v>0</v>
      </c>
      <c r="X99" s="104">
        <f t="shared" si="50"/>
        <v>0</v>
      </c>
      <c r="Y99" s="104">
        <f t="shared" si="50"/>
        <v>0</v>
      </c>
      <c r="Z99" s="104">
        <f t="shared" si="50"/>
        <v>0</v>
      </c>
      <c r="AA99" s="104">
        <f t="shared" si="50"/>
        <v>0</v>
      </c>
      <c r="AB99" s="104">
        <f t="shared" si="50"/>
        <v>0</v>
      </c>
      <c r="AC99" s="104">
        <f t="shared" si="50"/>
        <v>0</v>
      </c>
      <c r="AD99" s="104">
        <f t="shared" si="50"/>
        <v>0</v>
      </c>
      <c r="AE99" s="104">
        <f t="shared" si="50"/>
        <v>0</v>
      </c>
      <c r="AI99" s="104">
        <f>COUNTA(AI43)</f>
        <v>0</v>
      </c>
      <c r="AJ99" s="104">
        <f t="shared" ref="AJ99:AT100" si="51">COUNTA(AJ43)</f>
        <v>0</v>
      </c>
      <c r="AK99" s="104">
        <f t="shared" si="51"/>
        <v>0</v>
      </c>
      <c r="AL99" s="104">
        <f t="shared" si="51"/>
        <v>0</v>
      </c>
      <c r="AM99" s="104">
        <f t="shared" si="51"/>
        <v>0</v>
      </c>
      <c r="AN99" s="104">
        <f t="shared" si="51"/>
        <v>0</v>
      </c>
      <c r="AO99" s="104">
        <f t="shared" si="51"/>
        <v>0</v>
      </c>
      <c r="AP99" s="104">
        <f t="shared" si="51"/>
        <v>0</v>
      </c>
      <c r="AQ99" s="104">
        <f t="shared" si="51"/>
        <v>0</v>
      </c>
      <c r="AR99" s="104">
        <f t="shared" si="51"/>
        <v>0</v>
      </c>
      <c r="AS99" s="104">
        <f t="shared" si="51"/>
        <v>0</v>
      </c>
      <c r="AT99" s="104">
        <f t="shared" si="51"/>
        <v>0</v>
      </c>
      <c r="AX99" s="104">
        <f>COUNTA(AX43)</f>
        <v>0</v>
      </c>
      <c r="AY99" s="104">
        <f t="shared" ref="AY99:BI100" si="52">COUNTA(AY43)</f>
        <v>0</v>
      </c>
      <c r="AZ99" s="104">
        <f t="shared" si="52"/>
        <v>0</v>
      </c>
      <c r="BA99" s="104">
        <f t="shared" si="52"/>
        <v>0</v>
      </c>
      <c r="BB99" s="104">
        <f t="shared" si="52"/>
        <v>0</v>
      </c>
      <c r="BC99" s="104">
        <f t="shared" si="52"/>
        <v>0</v>
      </c>
      <c r="BD99" s="104">
        <f t="shared" si="52"/>
        <v>0</v>
      </c>
      <c r="BE99" s="104">
        <f t="shared" si="52"/>
        <v>0</v>
      </c>
      <c r="BF99" s="104">
        <f t="shared" si="52"/>
        <v>0</v>
      </c>
      <c r="BG99" s="104">
        <f t="shared" si="52"/>
        <v>0</v>
      </c>
      <c r="BH99" s="104">
        <f t="shared" si="52"/>
        <v>0</v>
      </c>
      <c r="BI99" s="104">
        <f t="shared" si="52"/>
        <v>0</v>
      </c>
      <c r="BM99" s="104">
        <f>COUNTA(BM43)</f>
        <v>0</v>
      </c>
      <c r="BN99" s="104">
        <f t="shared" ref="BN99:BX100" si="53">COUNTA(BN43)</f>
        <v>0</v>
      </c>
      <c r="BO99" s="104">
        <f t="shared" si="53"/>
        <v>0</v>
      </c>
      <c r="BP99" s="104">
        <f t="shared" si="53"/>
        <v>0</v>
      </c>
      <c r="BQ99" s="104">
        <f t="shared" si="53"/>
        <v>0</v>
      </c>
      <c r="BR99" s="104">
        <f t="shared" si="53"/>
        <v>0</v>
      </c>
      <c r="BS99" s="104">
        <f t="shared" si="53"/>
        <v>0</v>
      </c>
      <c r="BT99" s="104">
        <f t="shared" si="53"/>
        <v>0</v>
      </c>
      <c r="BU99" s="104">
        <f t="shared" si="53"/>
        <v>0</v>
      </c>
      <c r="BV99" s="104">
        <f t="shared" si="53"/>
        <v>0</v>
      </c>
      <c r="BW99" s="104">
        <f t="shared" si="53"/>
        <v>0</v>
      </c>
      <c r="BX99" s="104">
        <f t="shared" si="53"/>
        <v>0</v>
      </c>
    </row>
    <row r="100" spans="3:76" s="104" customFormat="1" x14ac:dyDescent="0.4">
      <c r="C100" s="104" t="s">
        <v>270</v>
      </c>
      <c r="E100" s="104">
        <f>COUNTA(E44)</f>
        <v>0</v>
      </c>
      <c r="F100" s="104">
        <f t="shared" si="49"/>
        <v>0</v>
      </c>
      <c r="G100" s="104">
        <f t="shared" si="49"/>
        <v>0</v>
      </c>
      <c r="H100" s="104">
        <f t="shared" si="49"/>
        <v>0</v>
      </c>
      <c r="I100" s="104">
        <f t="shared" si="49"/>
        <v>0</v>
      </c>
      <c r="J100" s="104">
        <f t="shared" si="49"/>
        <v>0</v>
      </c>
      <c r="K100" s="104">
        <f t="shared" si="49"/>
        <v>0</v>
      </c>
      <c r="L100" s="104">
        <f t="shared" si="49"/>
        <v>0</v>
      </c>
      <c r="M100" s="104">
        <f t="shared" si="49"/>
        <v>0</v>
      </c>
      <c r="N100" s="104">
        <f t="shared" si="49"/>
        <v>0</v>
      </c>
      <c r="O100" s="104">
        <f t="shared" si="49"/>
        <v>0</v>
      </c>
      <c r="P100" s="104">
        <f t="shared" si="49"/>
        <v>0</v>
      </c>
      <c r="T100" s="104">
        <f>COUNTA(T44)</f>
        <v>0</v>
      </c>
      <c r="U100" s="104">
        <f t="shared" si="50"/>
        <v>0</v>
      </c>
      <c r="V100" s="104">
        <f t="shared" si="50"/>
        <v>0</v>
      </c>
      <c r="W100" s="104">
        <f t="shared" si="50"/>
        <v>0</v>
      </c>
      <c r="X100" s="104">
        <f t="shared" si="50"/>
        <v>0</v>
      </c>
      <c r="Y100" s="104">
        <f t="shared" si="50"/>
        <v>0</v>
      </c>
      <c r="Z100" s="104">
        <f t="shared" si="50"/>
        <v>0</v>
      </c>
      <c r="AA100" s="104">
        <f t="shared" si="50"/>
        <v>0</v>
      </c>
      <c r="AB100" s="104">
        <f t="shared" si="50"/>
        <v>0</v>
      </c>
      <c r="AC100" s="104">
        <f t="shared" si="50"/>
        <v>0</v>
      </c>
      <c r="AD100" s="104">
        <f t="shared" si="50"/>
        <v>0</v>
      </c>
      <c r="AE100" s="104">
        <f t="shared" si="50"/>
        <v>0</v>
      </c>
      <c r="AI100" s="104">
        <f>COUNTA(AI44)</f>
        <v>0</v>
      </c>
      <c r="AJ100" s="104">
        <f t="shared" si="51"/>
        <v>0</v>
      </c>
      <c r="AK100" s="104">
        <f t="shared" si="51"/>
        <v>0</v>
      </c>
      <c r="AL100" s="104">
        <f t="shared" si="51"/>
        <v>0</v>
      </c>
      <c r="AM100" s="104">
        <f t="shared" si="51"/>
        <v>0</v>
      </c>
      <c r="AN100" s="104">
        <f t="shared" si="51"/>
        <v>0</v>
      </c>
      <c r="AO100" s="104">
        <f t="shared" si="51"/>
        <v>0</v>
      </c>
      <c r="AP100" s="104">
        <f t="shared" si="51"/>
        <v>0</v>
      </c>
      <c r="AQ100" s="104">
        <f t="shared" si="51"/>
        <v>0</v>
      </c>
      <c r="AR100" s="104">
        <f t="shared" si="51"/>
        <v>0</v>
      </c>
      <c r="AS100" s="104">
        <f t="shared" si="51"/>
        <v>0</v>
      </c>
      <c r="AT100" s="104">
        <f t="shared" si="51"/>
        <v>0</v>
      </c>
      <c r="AX100" s="104">
        <f>COUNTA(AX44)</f>
        <v>0</v>
      </c>
      <c r="AY100" s="104">
        <f t="shared" si="52"/>
        <v>0</v>
      </c>
      <c r="AZ100" s="104">
        <f t="shared" si="52"/>
        <v>0</v>
      </c>
      <c r="BA100" s="104">
        <f t="shared" si="52"/>
        <v>0</v>
      </c>
      <c r="BB100" s="104">
        <f t="shared" si="52"/>
        <v>0</v>
      </c>
      <c r="BC100" s="104">
        <f t="shared" si="52"/>
        <v>0</v>
      </c>
      <c r="BD100" s="104">
        <f t="shared" si="52"/>
        <v>0</v>
      </c>
      <c r="BE100" s="104">
        <f t="shared" si="52"/>
        <v>0</v>
      </c>
      <c r="BF100" s="104">
        <f t="shared" si="52"/>
        <v>0</v>
      </c>
      <c r="BG100" s="104">
        <f t="shared" si="52"/>
        <v>0</v>
      </c>
      <c r="BH100" s="104">
        <f t="shared" si="52"/>
        <v>0</v>
      </c>
      <c r="BI100" s="104">
        <f t="shared" si="52"/>
        <v>0</v>
      </c>
      <c r="BM100" s="104">
        <f>COUNTA(BM44)</f>
        <v>0</v>
      </c>
      <c r="BN100" s="104">
        <f t="shared" si="53"/>
        <v>0</v>
      </c>
      <c r="BO100" s="104">
        <f t="shared" si="53"/>
        <v>0</v>
      </c>
      <c r="BP100" s="104">
        <f t="shared" si="53"/>
        <v>0</v>
      </c>
      <c r="BQ100" s="104">
        <f t="shared" si="53"/>
        <v>0</v>
      </c>
      <c r="BR100" s="104">
        <f t="shared" si="53"/>
        <v>0</v>
      </c>
      <c r="BS100" s="104">
        <f t="shared" si="53"/>
        <v>0</v>
      </c>
      <c r="BT100" s="104">
        <f t="shared" si="53"/>
        <v>0</v>
      </c>
      <c r="BU100" s="104">
        <f t="shared" si="53"/>
        <v>0</v>
      </c>
      <c r="BV100" s="104">
        <f t="shared" si="53"/>
        <v>0</v>
      </c>
      <c r="BW100" s="104">
        <f t="shared" si="53"/>
        <v>0</v>
      </c>
      <c r="BX100" s="104">
        <f t="shared" si="53"/>
        <v>0</v>
      </c>
    </row>
    <row r="101" spans="3:76" s="104" customFormat="1" x14ac:dyDescent="0.4"/>
    <row r="102" spans="3:76" s="104" customFormat="1" x14ac:dyDescent="0.4"/>
    <row r="103" spans="3:76" s="104" customFormat="1" x14ac:dyDescent="0.4"/>
    <row r="104" spans="3:76" s="104" customFormat="1" x14ac:dyDescent="0.4"/>
    <row r="105" spans="3:76" s="104" customFormat="1" x14ac:dyDescent="0.4"/>
    <row r="106" spans="3:76" s="104" customFormat="1" x14ac:dyDescent="0.4"/>
    <row r="107" spans="3:76" s="104" customFormat="1" x14ac:dyDescent="0.4"/>
    <row r="108" spans="3:76" s="104" customFormat="1" x14ac:dyDescent="0.4"/>
    <row r="109" spans="3:76" s="104" customFormat="1" x14ac:dyDescent="0.4"/>
    <row r="110" spans="3:76" s="104" customFormat="1" x14ac:dyDescent="0.4"/>
    <row r="111" spans="3:76" s="104" customFormat="1" x14ac:dyDescent="0.4"/>
    <row r="112" spans="3:76" s="104" customFormat="1" x14ac:dyDescent="0.4"/>
    <row r="113" s="104" customFormat="1" x14ac:dyDescent="0.4"/>
    <row r="114" s="104" customFormat="1" x14ac:dyDescent="0.4"/>
    <row r="115" s="104" customFormat="1" x14ac:dyDescent="0.4"/>
    <row r="116" s="104" customFormat="1" x14ac:dyDescent="0.4"/>
    <row r="117" s="104" customFormat="1" x14ac:dyDescent="0.4"/>
    <row r="118" s="104" customFormat="1" x14ac:dyDescent="0.4"/>
    <row r="119" s="104" customFormat="1" x14ac:dyDescent="0.4"/>
    <row r="120" s="104" customFormat="1" x14ac:dyDescent="0.4"/>
    <row r="121" s="104" customFormat="1" x14ac:dyDescent="0.4"/>
    <row r="122" s="104" customFormat="1" x14ac:dyDescent="0.4"/>
  </sheetData>
  <mergeCells count="8">
    <mergeCell ref="C38:C40"/>
    <mergeCell ref="C43:C45"/>
    <mergeCell ref="C8:C10"/>
    <mergeCell ref="C13:C15"/>
    <mergeCell ref="C18:C20"/>
    <mergeCell ref="C23:C25"/>
    <mergeCell ref="C28:C30"/>
    <mergeCell ref="C33:C35"/>
  </mergeCells>
  <conditionalFormatting sqref="E10:R10">
    <cfRule type="cellIs" dxfId="731" priority="357" operator="greaterThan">
      <formula>0</formula>
    </cfRule>
    <cfRule type="cellIs" dxfId="730" priority="356" operator="lessThan">
      <formula>0</formula>
    </cfRule>
  </conditionalFormatting>
  <conditionalFormatting sqref="E15:R15">
    <cfRule type="cellIs" dxfId="726" priority="230" operator="greaterThan">
      <formula>0</formula>
    </cfRule>
    <cfRule type="cellIs" dxfId="725" priority="229" operator="lessThan">
      <formula>0</formula>
    </cfRule>
  </conditionalFormatting>
  <conditionalFormatting sqref="E20:R20">
    <cfRule type="cellIs" dxfId="721" priority="220" operator="greaterThan">
      <formula>0</formula>
    </cfRule>
    <cfRule type="cellIs" dxfId="720" priority="219" operator="lessThan">
      <formula>0</formula>
    </cfRule>
  </conditionalFormatting>
  <conditionalFormatting sqref="E25:R25">
    <cfRule type="cellIs" dxfId="716" priority="209" operator="lessThan">
      <formula>0</formula>
    </cfRule>
    <cfRule type="cellIs" dxfId="715" priority="210" operator="greaterThan">
      <formula>0</formula>
    </cfRule>
  </conditionalFormatting>
  <conditionalFormatting sqref="E30:R30">
    <cfRule type="cellIs" dxfId="711" priority="199" operator="lessThan">
      <formula>0</formula>
    </cfRule>
    <cfRule type="cellIs" dxfId="710" priority="200" operator="greaterThan">
      <formula>0</formula>
    </cfRule>
  </conditionalFormatting>
  <conditionalFormatting sqref="E35:R35">
    <cfRule type="cellIs" dxfId="706" priority="189" operator="lessThan">
      <formula>0</formula>
    </cfRule>
    <cfRule type="cellIs" dxfId="705" priority="190" operator="greaterThan">
      <formula>0</formula>
    </cfRule>
  </conditionalFormatting>
  <conditionalFormatting sqref="E40:R40">
    <cfRule type="cellIs" dxfId="701" priority="180" operator="greaterThan">
      <formula>0</formula>
    </cfRule>
    <cfRule type="cellIs" dxfId="700" priority="179" operator="lessThan">
      <formula>0</formula>
    </cfRule>
  </conditionalFormatting>
  <conditionalFormatting sqref="E45:R45">
    <cfRule type="cellIs" dxfId="696" priority="170" operator="greaterThan">
      <formula>0</formula>
    </cfRule>
    <cfRule type="cellIs" dxfId="695" priority="169" operator="lessThan">
      <formula>0</formula>
    </cfRule>
  </conditionalFormatting>
  <conditionalFormatting sqref="T10:AG10">
    <cfRule type="cellIs" dxfId="691" priority="157" operator="greaterThan">
      <formula>0</formula>
    </cfRule>
    <cfRule type="cellIs" dxfId="690" priority="156" operator="lessThan">
      <formula>0</formula>
    </cfRule>
  </conditionalFormatting>
  <conditionalFormatting sqref="T15:AG15">
    <cfRule type="cellIs" dxfId="686" priority="133" operator="lessThan">
      <formula>0</formula>
    </cfRule>
    <cfRule type="cellIs" dxfId="685" priority="134" operator="greaterThan">
      <formula>0</formula>
    </cfRule>
  </conditionalFormatting>
  <conditionalFormatting sqref="T20:AG20">
    <cfRule type="cellIs" dxfId="681" priority="132" operator="greaterThan">
      <formula>0</formula>
    </cfRule>
    <cfRule type="cellIs" dxfId="680" priority="131" operator="lessThan">
      <formula>0</formula>
    </cfRule>
  </conditionalFormatting>
  <conditionalFormatting sqref="T25:AG25">
    <cfRule type="cellIs" dxfId="676" priority="129" operator="lessThan">
      <formula>0</formula>
    </cfRule>
    <cfRule type="cellIs" dxfId="675" priority="130" operator="greaterThan">
      <formula>0</formula>
    </cfRule>
  </conditionalFormatting>
  <conditionalFormatting sqref="T30:AG30">
    <cfRule type="cellIs" dxfId="671" priority="128" operator="greaterThan">
      <formula>0</formula>
    </cfRule>
    <cfRule type="cellIs" dxfId="670" priority="127" operator="lessThan">
      <formula>0</formula>
    </cfRule>
  </conditionalFormatting>
  <conditionalFormatting sqref="T35:AG35">
    <cfRule type="cellIs" dxfId="666" priority="125" operator="lessThan">
      <formula>0</formula>
    </cfRule>
    <cfRule type="cellIs" dxfId="665" priority="126" operator="greaterThan">
      <formula>0</formula>
    </cfRule>
  </conditionalFormatting>
  <conditionalFormatting sqref="T40:AG40">
    <cfRule type="cellIs" dxfId="661" priority="124" operator="greaterThan">
      <formula>0</formula>
    </cfRule>
    <cfRule type="cellIs" dxfId="660" priority="123" operator="lessThan">
      <formula>0</formula>
    </cfRule>
  </conditionalFormatting>
  <conditionalFormatting sqref="T45:AG45">
    <cfRule type="cellIs" dxfId="656" priority="122" operator="greaterThan">
      <formula>0</formula>
    </cfRule>
    <cfRule type="cellIs" dxfId="655" priority="121" operator="lessThan">
      <formula>0</formula>
    </cfRule>
  </conditionalFormatting>
  <conditionalFormatting sqref="AI10:AV10">
    <cfRule type="cellIs" dxfId="651" priority="116" operator="lessThan">
      <formula>0</formula>
    </cfRule>
    <cfRule type="cellIs" dxfId="650" priority="117" operator="greaterThan">
      <formula>0</formula>
    </cfRule>
  </conditionalFormatting>
  <conditionalFormatting sqref="AI15:AV15">
    <cfRule type="cellIs" dxfId="646" priority="93" operator="lessThan">
      <formula>0</formula>
    </cfRule>
    <cfRule type="cellIs" dxfId="645" priority="94" operator="greaterThan">
      <formula>0</formula>
    </cfRule>
  </conditionalFormatting>
  <conditionalFormatting sqref="AI20:AV20">
    <cfRule type="cellIs" dxfId="641" priority="91" operator="lessThan">
      <formula>0</formula>
    </cfRule>
    <cfRule type="cellIs" dxfId="640" priority="92" operator="greaterThan">
      <formula>0</formula>
    </cfRule>
  </conditionalFormatting>
  <conditionalFormatting sqref="AI25:AV25">
    <cfRule type="cellIs" dxfId="636" priority="89" operator="lessThan">
      <formula>0</formula>
    </cfRule>
    <cfRule type="cellIs" dxfId="635" priority="90" operator="greaterThan">
      <formula>0</formula>
    </cfRule>
  </conditionalFormatting>
  <conditionalFormatting sqref="AI30:AV30">
    <cfRule type="cellIs" dxfId="631" priority="87" operator="lessThan">
      <formula>0</formula>
    </cfRule>
    <cfRule type="cellIs" dxfId="630" priority="88" operator="greaterThan">
      <formula>0</formula>
    </cfRule>
  </conditionalFormatting>
  <conditionalFormatting sqref="AI35:AV35">
    <cfRule type="cellIs" dxfId="626" priority="86" operator="greaterThan">
      <formula>0</formula>
    </cfRule>
    <cfRule type="cellIs" dxfId="625" priority="85" operator="lessThan">
      <formula>0</formula>
    </cfRule>
  </conditionalFormatting>
  <conditionalFormatting sqref="AI40:AV40">
    <cfRule type="cellIs" dxfId="621" priority="84" operator="greaterThan">
      <formula>0</formula>
    </cfRule>
    <cfRule type="cellIs" dxfId="620" priority="83" operator="lessThan">
      <formula>0</formula>
    </cfRule>
  </conditionalFormatting>
  <conditionalFormatting sqref="AI45:AV45">
    <cfRule type="cellIs" dxfId="616" priority="82" operator="greaterThan">
      <formula>0</formula>
    </cfRule>
    <cfRule type="cellIs" dxfId="615" priority="81" operator="lessThan">
      <formula>0</formula>
    </cfRule>
  </conditionalFormatting>
  <conditionalFormatting sqref="AX10:BK10">
    <cfRule type="cellIs" dxfId="611" priority="77" operator="greaterThan">
      <formula>0</formula>
    </cfRule>
    <cfRule type="cellIs" dxfId="610" priority="76" operator="lessThan">
      <formula>0</formula>
    </cfRule>
  </conditionalFormatting>
  <conditionalFormatting sqref="AX15:BK15">
    <cfRule type="cellIs" dxfId="606" priority="53" operator="lessThan">
      <formula>0</formula>
    </cfRule>
    <cfRule type="cellIs" dxfId="605" priority="54" operator="greaterThan">
      <formula>0</formula>
    </cfRule>
  </conditionalFormatting>
  <conditionalFormatting sqref="AX20:BK20">
    <cfRule type="cellIs" dxfId="601" priority="52" operator="greaterThan">
      <formula>0</formula>
    </cfRule>
    <cfRule type="cellIs" dxfId="600" priority="51" operator="lessThan">
      <formula>0</formula>
    </cfRule>
  </conditionalFormatting>
  <conditionalFormatting sqref="AX25:BK25">
    <cfRule type="cellIs" dxfId="596" priority="50" operator="greaterThan">
      <formula>0</formula>
    </cfRule>
    <cfRule type="cellIs" dxfId="595" priority="49" operator="lessThan">
      <formula>0</formula>
    </cfRule>
  </conditionalFormatting>
  <conditionalFormatting sqref="AX30:BK30">
    <cfRule type="cellIs" dxfId="591" priority="48" operator="greaterThan">
      <formula>0</formula>
    </cfRule>
    <cfRule type="cellIs" dxfId="590" priority="47" operator="lessThan">
      <formula>0</formula>
    </cfRule>
  </conditionalFormatting>
  <conditionalFormatting sqref="AX35:BK35">
    <cfRule type="cellIs" dxfId="586" priority="46" operator="greaterThan">
      <formula>0</formula>
    </cfRule>
    <cfRule type="cellIs" dxfId="585" priority="45" operator="lessThan">
      <formula>0</formula>
    </cfRule>
  </conditionalFormatting>
  <conditionalFormatting sqref="AX40:BK40">
    <cfRule type="cellIs" dxfId="581" priority="43" operator="lessThan">
      <formula>0</formula>
    </cfRule>
    <cfRule type="cellIs" dxfId="580" priority="44" operator="greaterThan">
      <formula>0</formula>
    </cfRule>
  </conditionalFormatting>
  <conditionalFormatting sqref="AX45:BK45">
    <cfRule type="cellIs" dxfId="576" priority="41" operator="lessThan">
      <formula>0</formula>
    </cfRule>
    <cfRule type="cellIs" dxfId="575" priority="42" operator="greaterThan">
      <formula>0</formula>
    </cfRule>
  </conditionalFormatting>
  <conditionalFormatting sqref="BM10:BZ10">
    <cfRule type="cellIs" dxfId="571" priority="37" operator="greaterThan">
      <formula>0</formula>
    </cfRule>
    <cfRule type="cellIs" dxfId="570" priority="36" operator="lessThan">
      <formula>0</formula>
    </cfRule>
  </conditionalFormatting>
  <conditionalFormatting sqref="BM15:BZ15">
    <cfRule type="cellIs" dxfId="566" priority="13" operator="lessThan">
      <formula>0</formula>
    </cfRule>
    <cfRule type="cellIs" dxfId="565" priority="14" operator="greaterThan">
      <formula>0</formula>
    </cfRule>
  </conditionalFormatting>
  <conditionalFormatting sqref="BM20:BZ20">
    <cfRule type="cellIs" dxfId="561" priority="12" operator="greaterThan">
      <formula>0</formula>
    </cfRule>
    <cfRule type="cellIs" dxfId="560" priority="11" operator="lessThan">
      <formula>0</formula>
    </cfRule>
  </conditionalFormatting>
  <conditionalFormatting sqref="BM25:BZ25">
    <cfRule type="cellIs" dxfId="556" priority="10" operator="greaterThan">
      <formula>0</formula>
    </cfRule>
    <cfRule type="cellIs" dxfId="555" priority="9" operator="lessThan">
      <formula>0</formula>
    </cfRule>
  </conditionalFormatting>
  <conditionalFormatting sqref="BM30:BZ30">
    <cfRule type="cellIs" dxfId="551" priority="8" operator="greaterThan">
      <formula>0</formula>
    </cfRule>
    <cfRule type="cellIs" dxfId="550" priority="7" operator="lessThan">
      <formula>0</formula>
    </cfRule>
  </conditionalFormatting>
  <conditionalFormatting sqref="BM35:BZ35">
    <cfRule type="cellIs" dxfId="546" priority="6" operator="greaterThan">
      <formula>0</formula>
    </cfRule>
    <cfRule type="cellIs" dxfId="545" priority="5" operator="lessThan">
      <formula>0</formula>
    </cfRule>
  </conditionalFormatting>
  <conditionalFormatting sqref="BM40:BZ40">
    <cfRule type="cellIs" dxfId="541" priority="4" operator="greaterThan">
      <formula>0</formula>
    </cfRule>
    <cfRule type="cellIs" dxfId="540" priority="3" operator="lessThan">
      <formula>0</formula>
    </cfRule>
  </conditionalFormatting>
  <conditionalFormatting sqref="BM45:BZ45">
    <cfRule type="cellIs" dxfId="536" priority="2" operator="greaterThan">
      <formula>0</formula>
    </cfRule>
    <cfRule type="cellIs" dxfId="535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8" id="{D3C6C90A-7F9D-4173-8369-28C30856B43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60" id="{4BA89B85-8741-454C-8BC2-55C59EAA11CF}">
            <xm:f>$D$7=parametros!$J$2</xm:f>
            <x14:dxf>
              <numFmt numFmtId="2" formatCode="0.00"/>
            </x14:dxf>
          </x14:cfRule>
          <x14:cfRule type="expression" priority="359" id="{64DB82E7-D6AB-4574-9C40-45EADD1A73A6}">
            <xm:f>$D$7=parametros!$J$3</xm:f>
            <x14:dxf>
              <numFmt numFmtId="14" formatCode="0.00%"/>
            </x14:dxf>
          </x14:cfRule>
          <xm:sqref>E8:R9</xm:sqref>
        </x14:conditionalFormatting>
        <x14:conditionalFormatting xmlns:xm="http://schemas.microsoft.com/office/excel/2006/main">
          <x14:cfRule type="expression" priority="355" id="{0CDA7B49-B40C-4F32-95F0-2BE3CF18B69D}">
            <xm:f>$D$7=parametros!$J$2</xm:f>
            <x14:dxf>
              <numFmt numFmtId="2" formatCode="0.00"/>
            </x14:dxf>
          </x14:cfRule>
          <x14:cfRule type="expression" priority="354" id="{F6523906-B5EC-4017-BBA8-6FE53EF605E4}">
            <xm:f>$D$7=parametros!$J$3</xm:f>
            <x14:dxf>
              <numFmt numFmtId="14" formatCode="0.00%"/>
            </x14:dxf>
          </x14:cfRule>
          <x14:cfRule type="expression" priority="353" id="{3B5C97CF-52C1-42D7-9157-02C71D44E87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E13:R14</xm:sqref>
        </x14:conditionalFormatting>
        <x14:conditionalFormatting xmlns:xm="http://schemas.microsoft.com/office/excel/2006/main">
          <x14:cfRule type="expression" priority="352" id="{00998258-F2CE-441F-AD69-F692D83C3855}">
            <xm:f>$D$7=parametros!$J$2</xm:f>
            <x14:dxf>
              <numFmt numFmtId="2" formatCode="0.00"/>
            </x14:dxf>
          </x14:cfRule>
          <x14:cfRule type="expression" priority="351" id="{9D31F976-1470-4CF9-8FD8-0483144BE616}">
            <xm:f>$D$7=parametros!$J$3</xm:f>
            <x14:dxf>
              <numFmt numFmtId="14" formatCode="0.00%"/>
            </x14:dxf>
          </x14:cfRule>
          <x14:cfRule type="expression" priority="350" id="{E3AB9839-AFA2-4403-AC84-7DC7A7F8B8A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E18:R19</xm:sqref>
        </x14:conditionalFormatting>
        <x14:conditionalFormatting xmlns:xm="http://schemas.microsoft.com/office/excel/2006/main">
          <x14:cfRule type="expression" priority="349" id="{B69B6DC6-E3BB-478E-9223-7134BE35D7C4}">
            <xm:f>$D$7=parametros!$J$2</xm:f>
            <x14:dxf>
              <numFmt numFmtId="2" formatCode="0.00"/>
            </x14:dxf>
          </x14:cfRule>
          <x14:cfRule type="expression" priority="348" id="{B9D914FF-3909-4CFA-A67E-9D8CEE220EA6}">
            <xm:f>$D$7=parametros!$J$3</xm:f>
            <x14:dxf>
              <numFmt numFmtId="14" formatCode="0.00%"/>
            </x14:dxf>
          </x14:cfRule>
          <x14:cfRule type="expression" priority="347" id="{4A8BF7C3-5E75-4818-856E-AEB65D65802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E23:R24</xm:sqref>
        </x14:conditionalFormatting>
        <x14:conditionalFormatting xmlns:xm="http://schemas.microsoft.com/office/excel/2006/main">
          <x14:cfRule type="expression" priority="346" id="{5AD1FF09-9A35-4BBE-B678-055E473A7172}">
            <xm:f>$D$7=parametros!$J$2</xm:f>
            <x14:dxf>
              <numFmt numFmtId="2" formatCode="0.00"/>
            </x14:dxf>
          </x14:cfRule>
          <x14:cfRule type="expression" priority="345" id="{51913572-B473-4F3A-8EF1-FAD44F511CA6}">
            <xm:f>$D$7=parametros!$J$3</xm:f>
            <x14:dxf>
              <numFmt numFmtId="14" formatCode="0.00%"/>
            </x14:dxf>
          </x14:cfRule>
          <x14:cfRule type="expression" priority="344" id="{A69DBDA5-FADB-4C1A-9A16-073EFEF2E85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E28:R29</xm:sqref>
        </x14:conditionalFormatting>
        <x14:conditionalFormatting xmlns:xm="http://schemas.microsoft.com/office/excel/2006/main">
          <x14:cfRule type="expression" priority="343" id="{43C391A2-8C31-4D46-8421-B7203A0EB134}">
            <xm:f>$D$7=parametros!$J$2</xm:f>
            <x14:dxf>
              <numFmt numFmtId="2" formatCode="0.00"/>
            </x14:dxf>
          </x14:cfRule>
          <x14:cfRule type="expression" priority="341" id="{71211A75-4FAE-47F4-B801-9BF87B42074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42" id="{03E90F47-0A84-43E4-9459-E1B42798E430}">
            <xm:f>$D$7=parametros!$J$3</xm:f>
            <x14:dxf>
              <numFmt numFmtId="14" formatCode="0.00%"/>
            </x14:dxf>
          </x14:cfRule>
          <xm:sqref>E33:R34</xm:sqref>
        </x14:conditionalFormatting>
        <x14:conditionalFormatting xmlns:xm="http://schemas.microsoft.com/office/excel/2006/main">
          <x14:cfRule type="expression" priority="340" id="{77360B3D-C804-47D8-AB2B-E9BF5E307CB0}">
            <xm:f>$D$7=parametros!$J$2</xm:f>
            <x14:dxf>
              <numFmt numFmtId="2" formatCode="0.00"/>
            </x14:dxf>
          </x14:cfRule>
          <x14:cfRule type="expression" priority="338" id="{0D7E6B63-52A6-4D8C-99BF-2678D93B75D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9" id="{6DA6FCDC-D66F-4B59-960F-C8412D48737E}">
            <xm:f>$D$7=parametros!$J$3</xm:f>
            <x14:dxf>
              <numFmt numFmtId="14" formatCode="0.00%"/>
            </x14:dxf>
          </x14:cfRule>
          <xm:sqref>E38:R39</xm:sqref>
        </x14:conditionalFormatting>
        <x14:conditionalFormatting xmlns:xm="http://schemas.microsoft.com/office/excel/2006/main">
          <x14:cfRule type="expression" priority="335" id="{AC0F1A98-C64B-4F88-9E36-E9B16B3A7B1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6" id="{53D9672C-2EA5-4430-B3B4-462DF0AAE4B2}">
            <xm:f>$D$7=parametros!$J$3</xm:f>
            <x14:dxf>
              <numFmt numFmtId="14" formatCode="0.00%"/>
            </x14:dxf>
          </x14:cfRule>
          <x14:cfRule type="expression" priority="337" id="{0236184F-5A3F-467A-9C3E-9881199AF259}">
            <xm:f>$D$7=parametros!$J$2</xm:f>
            <x14:dxf>
              <numFmt numFmtId="2" formatCode="0.00"/>
            </x14:dxf>
          </x14:cfRule>
          <xm:sqref>E43:R44</xm:sqref>
        </x14:conditionalFormatting>
        <x14:conditionalFormatting xmlns:xm="http://schemas.microsoft.com/office/excel/2006/main">
          <x14:cfRule type="expression" priority="160" id="{EE60CAAA-5DA3-4672-B9D9-49D7B1A2315A}">
            <xm:f>$D$7=parametros!$J$2</xm:f>
            <x14:dxf>
              <numFmt numFmtId="2" formatCode="0.00"/>
            </x14:dxf>
          </x14:cfRule>
          <x14:cfRule type="expression" priority="159" id="{CE61A2CF-531F-44B8-951D-407F6E410A19}">
            <xm:f>$D$7=parametros!$J$3</xm:f>
            <x14:dxf>
              <numFmt numFmtId="14" formatCode="0.00%"/>
            </x14:dxf>
          </x14:cfRule>
          <x14:cfRule type="expression" priority="158" id="{45A5D4CE-1807-463B-8784-0E7BD8CAC5A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T8:AG9</xm:sqref>
        </x14:conditionalFormatting>
        <x14:conditionalFormatting xmlns:xm="http://schemas.microsoft.com/office/excel/2006/main">
          <x14:cfRule type="expression" priority="155" id="{EF3DFD90-6407-47C5-88E6-C6B2F33AAFAF}">
            <xm:f>$D$7=parametros!$J$2</xm:f>
            <x14:dxf>
              <numFmt numFmtId="2" formatCode="0.00"/>
            </x14:dxf>
          </x14:cfRule>
          <x14:cfRule type="expression" priority="154" id="{4C483631-1B4F-498A-A480-58E01A6B1B2E}">
            <xm:f>$D$7=parametros!$J$3</xm:f>
            <x14:dxf>
              <numFmt numFmtId="14" formatCode="0.00%"/>
            </x14:dxf>
          </x14:cfRule>
          <x14:cfRule type="expression" priority="153" id="{865D8E41-A3AA-486B-9E0B-7324E74301D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T13:AG14</xm:sqref>
        </x14:conditionalFormatting>
        <x14:conditionalFormatting xmlns:xm="http://schemas.microsoft.com/office/excel/2006/main">
          <x14:cfRule type="expression" priority="151" id="{38E032BD-FC0B-4653-81D2-EF82CAE9DD96}">
            <xm:f>$D$7=parametros!$J$3</xm:f>
            <x14:dxf>
              <numFmt numFmtId="14" formatCode="0.00%"/>
            </x14:dxf>
          </x14:cfRule>
          <x14:cfRule type="expression" priority="150" id="{EDC868D5-0F0E-4C05-A07A-AD2B8860A8B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52" id="{E041584C-C33A-4B79-A38F-23586517A176}">
            <xm:f>$D$7=parametros!$J$2</xm:f>
            <x14:dxf>
              <numFmt numFmtId="2" formatCode="0.00"/>
            </x14:dxf>
          </x14:cfRule>
          <xm:sqref>T18:AG19</xm:sqref>
        </x14:conditionalFormatting>
        <x14:conditionalFormatting xmlns:xm="http://schemas.microsoft.com/office/excel/2006/main">
          <x14:cfRule type="expression" priority="149" id="{37257783-C1E0-4489-B2D8-479AABBCF4AD}">
            <xm:f>$D$7=parametros!$J$2</xm:f>
            <x14:dxf>
              <numFmt numFmtId="2" formatCode="0.00"/>
            </x14:dxf>
          </x14:cfRule>
          <x14:cfRule type="expression" priority="148" id="{B22AF590-4001-4ED7-A972-9C6DF447BA27}">
            <xm:f>$D$7=parametros!$J$3</xm:f>
            <x14:dxf>
              <numFmt numFmtId="14" formatCode="0.00%"/>
            </x14:dxf>
          </x14:cfRule>
          <x14:cfRule type="expression" priority="147" id="{10F819C1-DAA7-4909-AB3F-AE3FC03FB34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T23:AG24</xm:sqref>
        </x14:conditionalFormatting>
        <x14:conditionalFormatting xmlns:xm="http://schemas.microsoft.com/office/excel/2006/main">
          <x14:cfRule type="expression" priority="144" id="{AF3D1D47-F44C-4BCD-8742-48FF4484177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45" id="{BF94616E-5923-4197-9243-84B66FA5ACC2}">
            <xm:f>$D$7=parametros!$J$3</xm:f>
            <x14:dxf>
              <numFmt numFmtId="14" formatCode="0.00%"/>
            </x14:dxf>
          </x14:cfRule>
          <x14:cfRule type="expression" priority="146" id="{9519034B-66C2-47BC-B16B-9FDC8F84F89C}">
            <xm:f>$D$7=parametros!$J$2</xm:f>
            <x14:dxf>
              <numFmt numFmtId="2" formatCode="0.00"/>
            </x14:dxf>
          </x14:cfRule>
          <xm:sqref>T28:AG29</xm:sqref>
        </x14:conditionalFormatting>
        <x14:conditionalFormatting xmlns:xm="http://schemas.microsoft.com/office/excel/2006/main">
          <x14:cfRule type="expression" priority="143" id="{AC67833E-EE5A-4B9B-8286-F6B8CA7E5CC5}">
            <xm:f>$D$7=parametros!$J$2</xm:f>
            <x14:dxf>
              <numFmt numFmtId="2" formatCode="0.00"/>
            </x14:dxf>
          </x14:cfRule>
          <x14:cfRule type="expression" priority="142" id="{C53822C9-F5CC-47F5-8DFF-B1397EDA2FE0}">
            <xm:f>$D$7=parametros!$J$3</xm:f>
            <x14:dxf>
              <numFmt numFmtId="14" formatCode="0.00%"/>
            </x14:dxf>
          </x14:cfRule>
          <x14:cfRule type="expression" priority="141" id="{7F572600-906D-49B6-A34B-BC224FA91B9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T33:AG34</xm:sqref>
        </x14:conditionalFormatting>
        <x14:conditionalFormatting xmlns:xm="http://schemas.microsoft.com/office/excel/2006/main">
          <x14:cfRule type="expression" priority="140" id="{D6EA62B4-0810-42A0-833F-70C05E1FB8B8}">
            <xm:f>$D$7=parametros!$J$2</xm:f>
            <x14:dxf>
              <numFmt numFmtId="2" formatCode="0.00"/>
            </x14:dxf>
          </x14:cfRule>
          <x14:cfRule type="expression" priority="139" id="{ACE047FB-42E3-49BE-9A2A-67F534D92181}">
            <xm:f>$D$7=parametros!$J$3</xm:f>
            <x14:dxf>
              <numFmt numFmtId="14" formatCode="0.00%"/>
            </x14:dxf>
          </x14:cfRule>
          <x14:cfRule type="expression" priority="138" id="{8FF11857-EB9F-41A7-BADF-0F65863CCE6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T38:AG39</xm:sqref>
        </x14:conditionalFormatting>
        <x14:conditionalFormatting xmlns:xm="http://schemas.microsoft.com/office/excel/2006/main">
          <x14:cfRule type="expression" priority="135" id="{FBD15943-DEBB-4019-8FBA-D466FBF5A0E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37" id="{4FB4BACA-A70B-4F0A-AE20-6978A0497EF1}">
            <xm:f>$D$7=parametros!$J$2</xm:f>
            <x14:dxf>
              <numFmt numFmtId="2" formatCode="0.00"/>
            </x14:dxf>
          </x14:cfRule>
          <x14:cfRule type="expression" priority="136" id="{D22A31E9-9C3F-46A3-8595-610AD3EC6294}">
            <xm:f>$D$7=parametros!$J$3</xm:f>
            <x14:dxf>
              <numFmt numFmtId="14" formatCode="0.00%"/>
            </x14:dxf>
          </x14:cfRule>
          <xm:sqref>T43:AG44</xm:sqref>
        </x14:conditionalFormatting>
        <x14:conditionalFormatting xmlns:xm="http://schemas.microsoft.com/office/excel/2006/main">
          <x14:cfRule type="expression" priority="120" id="{E629D298-39DE-41FE-A020-D9E4764A1C8F}">
            <xm:f>$D$7=parametros!$J$2</xm:f>
            <x14:dxf>
              <numFmt numFmtId="2" formatCode="0.00"/>
            </x14:dxf>
          </x14:cfRule>
          <x14:cfRule type="expression" priority="119" id="{A230AD79-E91C-4FBA-8B2D-9F0DD7CEB35A}">
            <xm:f>$D$7=parametros!$J$3</xm:f>
            <x14:dxf>
              <numFmt numFmtId="14" formatCode="0.00%"/>
            </x14:dxf>
          </x14:cfRule>
          <x14:cfRule type="expression" priority="118" id="{ACF1E8A7-EDCC-42D6-97D4-FAA409F17F8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AI8:AV9</xm:sqref>
        </x14:conditionalFormatting>
        <x14:conditionalFormatting xmlns:xm="http://schemas.microsoft.com/office/excel/2006/main">
          <x14:cfRule type="expression" priority="113" id="{A49B65F4-A532-439A-90F0-7556B013ED8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15" id="{3BCB90D5-9828-4958-891D-CC44384817F3}">
            <xm:f>$D$7=parametros!$J$2</xm:f>
            <x14:dxf>
              <numFmt numFmtId="2" formatCode="0.00"/>
            </x14:dxf>
          </x14:cfRule>
          <x14:cfRule type="expression" priority="114" id="{FA30D98E-A416-4346-BC39-5FB96CD01D80}">
            <xm:f>$D$7=parametros!$J$3</xm:f>
            <x14:dxf>
              <numFmt numFmtId="14" formatCode="0.00%"/>
            </x14:dxf>
          </x14:cfRule>
          <xm:sqref>AI13:AV14</xm:sqref>
        </x14:conditionalFormatting>
        <x14:conditionalFormatting xmlns:xm="http://schemas.microsoft.com/office/excel/2006/main">
          <x14:cfRule type="expression" priority="112" id="{F6DAC330-FAB2-4B0E-BB37-BE76D7E86C6D}">
            <xm:f>$D$7=parametros!$J$2</xm:f>
            <x14:dxf>
              <numFmt numFmtId="2" formatCode="0.00"/>
            </x14:dxf>
          </x14:cfRule>
          <x14:cfRule type="expression" priority="111" id="{3D5F5909-84F9-449C-9E57-7BA3ABF9FADF}">
            <xm:f>$D$7=parametros!$J$3</xm:f>
            <x14:dxf>
              <numFmt numFmtId="14" formatCode="0.00%"/>
            </x14:dxf>
          </x14:cfRule>
          <x14:cfRule type="expression" priority="110" id="{B29D3EA5-D22E-46D6-88C9-E0D47DC797C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AI18:AV19</xm:sqref>
        </x14:conditionalFormatting>
        <x14:conditionalFormatting xmlns:xm="http://schemas.microsoft.com/office/excel/2006/main">
          <x14:cfRule type="expression" priority="108" id="{E93AFD17-6AE6-456C-9418-F9EC9CFBBCD3}">
            <xm:f>$D$7=parametros!$J$3</xm:f>
            <x14:dxf>
              <numFmt numFmtId="14" formatCode="0.00%"/>
            </x14:dxf>
          </x14:cfRule>
          <x14:cfRule type="expression" priority="107" id="{D9D7BC0A-AFE5-4CC6-B71F-64BF459C481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9" id="{59E97A6A-E899-4730-9810-E939F780F795}">
            <xm:f>$D$7=parametros!$J$2</xm:f>
            <x14:dxf>
              <numFmt numFmtId="2" formatCode="0.00"/>
            </x14:dxf>
          </x14:cfRule>
          <xm:sqref>AI23:AV24</xm:sqref>
        </x14:conditionalFormatting>
        <x14:conditionalFormatting xmlns:xm="http://schemas.microsoft.com/office/excel/2006/main">
          <x14:cfRule type="expression" priority="106" id="{4783CBDA-556D-456C-A212-7C42FD960D71}">
            <xm:f>$D$7=parametros!$J$2</xm:f>
            <x14:dxf>
              <numFmt numFmtId="2" formatCode="0.00"/>
            </x14:dxf>
          </x14:cfRule>
          <x14:cfRule type="expression" priority="105" id="{2DCACC1C-50B8-45EE-811F-55D0E22317E4}">
            <xm:f>$D$7=parametros!$J$3</xm:f>
            <x14:dxf>
              <numFmt numFmtId="14" formatCode="0.00%"/>
            </x14:dxf>
          </x14:cfRule>
          <x14:cfRule type="expression" priority="104" id="{29CDD1EB-AE56-4C7B-A214-0DAC7488904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AI28:AV29</xm:sqref>
        </x14:conditionalFormatting>
        <x14:conditionalFormatting xmlns:xm="http://schemas.microsoft.com/office/excel/2006/main">
          <x14:cfRule type="expression" priority="103" id="{0A8B617A-E3DB-49BD-BF9B-D275C0476920}">
            <xm:f>$D$7=parametros!$J$2</xm:f>
            <x14:dxf>
              <numFmt numFmtId="2" formatCode="0.00"/>
            </x14:dxf>
          </x14:cfRule>
          <x14:cfRule type="expression" priority="101" id="{DE55F156-BA3F-47E2-AE78-E1A4D9A4BB4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2" id="{DE23D37F-65C0-4D9E-BEFE-5062240468F2}">
            <xm:f>$D$7=parametros!$J$3</xm:f>
            <x14:dxf>
              <numFmt numFmtId="14" formatCode="0.00%"/>
            </x14:dxf>
          </x14:cfRule>
          <xm:sqref>AI33:AV34</xm:sqref>
        </x14:conditionalFormatting>
        <x14:conditionalFormatting xmlns:xm="http://schemas.microsoft.com/office/excel/2006/main">
          <x14:cfRule type="expression" priority="100" id="{3555C6D3-ACF8-4147-965E-BEFC0CE75EE5}">
            <xm:f>$D$7=parametros!$J$2</xm:f>
            <x14:dxf>
              <numFmt numFmtId="2" formatCode="0.00"/>
            </x14:dxf>
          </x14:cfRule>
          <x14:cfRule type="expression" priority="99" id="{6F23DB4C-E404-43AE-91CB-E6C4FC886941}">
            <xm:f>$D$7=parametros!$J$3</xm:f>
            <x14:dxf>
              <numFmt numFmtId="14" formatCode="0.00%"/>
            </x14:dxf>
          </x14:cfRule>
          <x14:cfRule type="expression" priority="98" id="{76DE625C-8BB8-4A64-A132-F7A999EE358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AI38:AV39</xm:sqref>
        </x14:conditionalFormatting>
        <x14:conditionalFormatting xmlns:xm="http://schemas.microsoft.com/office/excel/2006/main">
          <x14:cfRule type="expression" priority="95" id="{BEDECAE8-4E71-4E5B-9937-03E3BC07009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6" id="{43A72E7B-7407-476D-BB16-74337D02A691}">
            <xm:f>$D$7=parametros!$J$3</xm:f>
            <x14:dxf>
              <numFmt numFmtId="14" formatCode="0.00%"/>
            </x14:dxf>
          </x14:cfRule>
          <x14:cfRule type="expression" priority="97" id="{60E18AEB-13E9-4C60-855E-877D45F6218F}">
            <xm:f>$D$7=parametros!$J$2</xm:f>
            <x14:dxf>
              <numFmt numFmtId="2" formatCode="0.00"/>
            </x14:dxf>
          </x14:cfRule>
          <xm:sqref>AI43:AV44</xm:sqref>
        </x14:conditionalFormatting>
        <x14:conditionalFormatting xmlns:xm="http://schemas.microsoft.com/office/excel/2006/main">
          <x14:cfRule type="expression" priority="80" id="{B6B6A893-A4EB-4584-AA92-DE34F85CF7FB}">
            <xm:f>$D$7=parametros!$J$2</xm:f>
            <x14:dxf>
              <numFmt numFmtId="2" formatCode="0.00"/>
            </x14:dxf>
          </x14:cfRule>
          <x14:cfRule type="expression" priority="79" id="{9BFCC472-AB37-49B9-A113-11B90AD8A0A0}">
            <xm:f>$D$7=parametros!$J$3</xm:f>
            <x14:dxf>
              <numFmt numFmtId="14" formatCode="0.00%"/>
            </x14:dxf>
          </x14:cfRule>
          <x14:cfRule type="expression" priority="78" id="{CEE37E08-7340-44D3-AF22-932C8990B71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AX8:BK9</xm:sqref>
        </x14:conditionalFormatting>
        <x14:conditionalFormatting xmlns:xm="http://schemas.microsoft.com/office/excel/2006/main">
          <x14:cfRule type="expression" priority="75" id="{46676BBE-F464-4320-BEE0-DEA377909ADD}">
            <xm:f>$D$7=parametros!$J$2</xm:f>
            <x14:dxf>
              <numFmt numFmtId="2" formatCode="0.00"/>
            </x14:dxf>
          </x14:cfRule>
          <x14:cfRule type="expression" priority="74" id="{389F9628-771B-45EA-8C8C-8124C5CDDCF1}">
            <xm:f>$D$7=parametros!$J$3</xm:f>
            <x14:dxf>
              <numFmt numFmtId="14" formatCode="0.00%"/>
            </x14:dxf>
          </x14:cfRule>
          <x14:cfRule type="expression" priority="73" id="{74A84265-11EE-4939-97CC-C970647F665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AX13:BK14</xm:sqref>
        </x14:conditionalFormatting>
        <x14:conditionalFormatting xmlns:xm="http://schemas.microsoft.com/office/excel/2006/main">
          <x14:cfRule type="expression" priority="72" id="{E44DEA79-003A-4896-B527-304710D85D07}">
            <xm:f>$D$7=parametros!$J$2</xm:f>
            <x14:dxf>
              <numFmt numFmtId="2" formatCode="0.00"/>
            </x14:dxf>
          </x14:cfRule>
          <x14:cfRule type="expression" priority="71" id="{4B9149A0-BE0B-48C2-9BBA-F7114CB67B43}">
            <xm:f>$D$7=parametros!$J$3</xm:f>
            <x14:dxf>
              <numFmt numFmtId="14" formatCode="0.00%"/>
            </x14:dxf>
          </x14:cfRule>
          <x14:cfRule type="expression" priority="70" id="{0B322E99-DB26-4239-AEB6-92FE9587C19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AX18:BK19</xm:sqref>
        </x14:conditionalFormatting>
        <x14:conditionalFormatting xmlns:xm="http://schemas.microsoft.com/office/excel/2006/main">
          <x14:cfRule type="expression" priority="69" id="{EEEB8630-22EC-4FEB-82FC-5F8317553945}">
            <xm:f>$D$7=parametros!$J$2</xm:f>
            <x14:dxf>
              <numFmt numFmtId="2" formatCode="0.00"/>
            </x14:dxf>
          </x14:cfRule>
          <x14:cfRule type="expression" priority="68" id="{AA0A2289-BB06-46E1-9371-9D78F9C21A9D}">
            <xm:f>$D$7=parametros!$J$3</xm:f>
            <x14:dxf>
              <numFmt numFmtId="14" formatCode="0.00%"/>
            </x14:dxf>
          </x14:cfRule>
          <x14:cfRule type="expression" priority="67" id="{E859EEF8-90C6-48D8-B9DC-7B3CED77369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AX23:BK24</xm:sqref>
        </x14:conditionalFormatting>
        <x14:conditionalFormatting xmlns:xm="http://schemas.microsoft.com/office/excel/2006/main">
          <x14:cfRule type="expression" priority="64" id="{3585E384-7933-482E-B4F2-C5167854AED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5" id="{2A3DBE35-8FDD-4752-92B2-6C783221E79B}">
            <xm:f>$D$7=parametros!$J$3</xm:f>
            <x14:dxf>
              <numFmt numFmtId="14" formatCode="0.00%"/>
            </x14:dxf>
          </x14:cfRule>
          <x14:cfRule type="expression" priority="66" id="{0E0D5CBD-DFAE-4C89-9050-CC9FAF1BD0B5}">
            <xm:f>$D$7=parametros!$J$2</xm:f>
            <x14:dxf>
              <numFmt numFmtId="2" formatCode="0.00"/>
            </x14:dxf>
          </x14:cfRule>
          <xm:sqref>AX28:BK29</xm:sqref>
        </x14:conditionalFormatting>
        <x14:conditionalFormatting xmlns:xm="http://schemas.microsoft.com/office/excel/2006/main">
          <x14:cfRule type="expression" priority="63" id="{CD9A13CB-08BB-41B8-8A1F-A39313423E72}">
            <xm:f>$D$7=parametros!$J$2</xm:f>
            <x14:dxf>
              <numFmt numFmtId="2" formatCode="0.00"/>
            </x14:dxf>
          </x14:cfRule>
          <x14:cfRule type="expression" priority="61" id="{F1A8C971-246C-41CF-8908-81632092694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2" id="{E7650C3F-6474-43A8-BB32-079F0802DA21}">
            <xm:f>$D$7=parametros!$J$3</xm:f>
            <x14:dxf>
              <numFmt numFmtId="14" formatCode="0.00%"/>
            </x14:dxf>
          </x14:cfRule>
          <xm:sqref>AX33:BK34</xm:sqref>
        </x14:conditionalFormatting>
        <x14:conditionalFormatting xmlns:xm="http://schemas.microsoft.com/office/excel/2006/main">
          <x14:cfRule type="expression" priority="60" id="{D73A2C55-1E55-4B5C-A319-3E18D1DB03EB}">
            <xm:f>$D$7=parametros!$J$2</xm:f>
            <x14:dxf>
              <numFmt numFmtId="2" formatCode="0.00"/>
            </x14:dxf>
          </x14:cfRule>
          <x14:cfRule type="expression" priority="59" id="{36F9D67A-D898-4561-9027-1FCE15BE4C65}">
            <xm:f>$D$7=parametros!$J$3</xm:f>
            <x14:dxf>
              <numFmt numFmtId="14" formatCode="0.00%"/>
            </x14:dxf>
          </x14:cfRule>
          <x14:cfRule type="expression" priority="58" id="{7A20ED69-0BC3-420D-998D-ECCACC24CEE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AX38:BK39</xm:sqref>
        </x14:conditionalFormatting>
        <x14:conditionalFormatting xmlns:xm="http://schemas.microsoft.com/office/excel/2006/main">
          <x14:cfRule type="expression" priority="55" id="{017D5D4B-5032-43D6-AF95-E42D9B947ED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7" id="{386EDF69-702A-432C-AE77-5036302570C8}">
            <xm:f>$D$7=parametros!$J$2</xm:f>
            <x14:dxf>
              <numFmt numFmtId="2" formatCode="0.00"/>
            </x14:dxf>
          </x14:cfRule>
          <x14:cfRule type="expression" priority="56" id="{B58C0790-C03E-44E3-B1C5-BFA80D88FAF4}">
            <xm:f>$D$7=parametros!$J$3</xm:f>
            <x14:dxf>
              <numFmt numFmtId="14" formatCode="0.00%"/>
            </x14:dxf>
          </x14:cfRule>
          <xm:sqref>AX43:BK44</xm:sqref>
        </x14:conditionalFormatting>
        <x14:conditionalFormatting xmlns:xm="http://schemas.microsoft.com/office/excel/2006/main">
          <x14:cfRule type="expression" priority="40" id="{08E1F5EA-EE65-451C-AF35-9DADF1F8CB38}">
            <xm:f>$D$7=parametros!$J$2</xm:f>
            <x14:dxf>
              <numFmt numFmtId="2" formatCode="0.00"/>
            </x14:dxf>
          </x14:cfRule>
          <x14:cfRule type="expression" priority="39" id="{C84ED942-656B-48B6-971B-2CC68821B3CA}">
            <xm:f>$D$7=parametros!$J$3</xm:f>
            <x14:dxf>
              <numFmt numFmtId="14" formatCode="0.00%"/>
            </x14:dxf>
          </x14:cfRule>
          <x14:cfRule type="expression" priority="38" id="{190E74AE-43CF-4604-A19D-57CBEFCF5F4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BM8:BZ9</xm:sqref>
        </x14:conditionalFormatting>
        <x14:conditionalFormatting xmlns:xm="http://schemas.microsoft.com/office/excel/2006/main">
          <x14:cfRule type="expression" priority="35" id="{217F3D8E-45F4-4AE6-9A8A-BF555F60AE81}">
            <xm:f>$D$7=parametros!$J$2</xm:f>
            <x14:dxf>
              <numFmt numFmtId="2" formatCode="0.00"/>
            </x14:dxf>
          </x14:cfRule>
          <x14:cfRule type="expression" priority="34" id="{3978061E-71EC-46E2-8A92-46D02F716250}">
            <xm:f>$D$7=parametros!$J$3</xm:f>
            <x14:dxf>
              <numFmt numFmtId="14" formatCode="0.00%"/>
            </x14:dxf>
          </x14:cfRule>
          <x14:cfRule type="expression" priority="33" id="{85C10C58-795D-407E-A53E-3F4B18A3262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BM13:BZ14</xm:sqref>
        </x14:conditionalFormatting>
        <x14:conditionalFormatting xmlns:xm="http://schemas.microsoft.com/office/excel/2006/main">
          <x14:cfRule type="expression" priority="32" id="{E1DED441-81C6-4626-B21E-FCD54044CA4B}">
            <xm:f>$D$7=parametros!$J$2</xm:f>
            <x14:dxf>
              <numFmt numFmtId="2" formatCode="0.00"/>
            </x14:dxf>
          </x14:cfRule>
          <x14:cfRule type="expression" priority="31" id="{5098C370-BA45-4CF9-95C7-C41F1323A4D4}">
            <xm:f>$D$7=parametros!$J$3</xm:f>
            <x14:dxf>
              <numFmt numFmtId="14" formatCode="0.00%"/>
            </x14:dxf>
          </x14:cfRule>
          <x14:cfRule type="expression" priority="30" id="{A08AFB6E-5F05-4744-868E-DB75AAD5588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BM18:BZ19</xm:sqref>
        </x14:conditionalFormatting>
        <x14:conditionalFormatting xmlns:xm="http://schemas.microsoft.com/office/excel/2006/main">
          <x14:cfRule type="expression" priority="29" id="{BF7CFEE8-6A33-430B-8239-382109D9BC0D}">
            <xm:f>$D$7=parametros!$J$2</xm:f>
            <x14:dxf>
              <numFmt numFmtId="2" formatCode="0.00"/>
            </x14:dxf>
          </x14:cfRule>
          <x14:cfRule type="expression" priority="28" id="{1439E0AF-4190-4CA0-A1EE-E60E1A2F4A93}">
            <xm:f>$D$7=parametros!$J$3</xm:f>
            <x14:dxf>
              <numFmt numFmtId="14" formatCode="0.00%"/>
            </x14:dxf>
          </x14:cfRule>
          <x14:cfRule type="expression" priority="27" id="{40EBD278-42DD-4FCB-9F0A-09F3F519BFD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BM23:BZ24</xm:sqref>
        </x14:conditionalFormatting>
        <x14:conditionalFormatting xmlns:xm="http://schemas.microsoft.com/office/excel/2006/main">
          <x14:cfRule type="expression" priority="25" id="{23D3132B-5AEE-46BC-BCAF-12885482B53D}">
            <xm:f>$D$7=parametros!$J$3</xm:f>
            <x14:dxf>
              <numFmt numFmtId="14" formatCode="0.00%"/>
            </x14:dxf>
          </x14:cfRule>
          <x14:cfRule type="expression" priority="24" id="{8153968F-8BAB-4F5A-A182-174BA099ACC0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26" id="{59FDE87D-D8D7-4685-8AAE-55B3C1D617FC}">
            <xm:f>$D$7=parametros!$J$2</xm:f>
            <x14:dxf>
              <numFmt numFmtId="2" formatCode="0.00"/>
            </x14:dxf>
          </x14:cfRule>
          <xm:sqref>BM28:BZ29</xm:sqref>
        </x14:conditionalFormatting>
        <x14:conditionalFormatting xmlns:xm="http://schemas.microsoft.com/office/excel/2006/main">
          <x14:cfRule type="expression" priority="23" id="{804471BF-0DCB-4104-8293-A9C45028E8D8}">
            <xm:f>$D$7=parametros!$J$2</xm:f>
            <x14:dxf>
              <numFmt numFmtId="2" formatCode="0.00"/>
            </x14:dxf>
          </x14:cfRule>
          <x14:cfRule type="expression" priority="22" id="{57871E8E-C182-4A7F-9BAE-B042BCF076E4}">
            <xm:f>$D$7=parametros!$J$3</xm:f>
            <x14:dxf>
              <numFmt numFmtId="14" formatCode="0.00%"/>
            </x14:dxf>
          </x14:cfRule>
          <x14:cfRule type="expression" priority="21" id="{A5CD97FC-201C-4E7A-96D2-9776295526C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BM33:BZ34</xm:sqref>
        </x14:conditionalFormatting>
        <x14:conditionalFormatting xmlns:xm="http://schemas.microsoft.com/office/excel/2006/main">
          <x14:cfRule type="expression" priority="20" id="{4A9ADF9A-BD29-44FD-A400-334D12B72C26}">
            <xm:f>$D$7=parametros!$J$2</xm:f>
            <x14:dxf>
              <numFmt numFmtId="2" formatCode="0.00"/>
            </x14:dxf>
          </x14:cfRule>
          <x14:cfRule type="expression" priority="19" id="{7B37CD62-E342-4A78-A44A-2B33E7AD7457}">
            <xm:f>$D$7=parametros!$J$3</xm:f>
            <x14:dxf>
              <numFmt numFmtId="14" formatCode="0.00%"/>
            </x14:dxf>
          </x14:cfRule>
          <x14:cfRule type="expression" priority="18" id="{73C8CF64-175F-45B4-A04C-C47C817F1D8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BM38:BZ39</xm:sqref>
        </x14:conditionalFormatting>
        <x14:conditionalFormatting xmlns:xm="http://schemas.microsoft.com/office/excel/2006/main">
          <x14:cfRule type="expression" priority="17" id="{C2884592-CCFC-4D2A-B3D4-48259109D66E}">
            <xm:f>$D$7=parametros!$J$2</xm:f>
            <x14:dxf>
              <numFmt numFmtId="2" formatCode="0.00"/>
            </x14:dxf>
          </x14:cfRule>
          <x14:cfRule type="expression" priority="16" id="{128B3C96-502B-46F9-B6AE-C459353D2B78}">
            <xm:f>$D$7=parametros!$J$3</xm:f>
            <x14:dxf>
              <numFmt numFmtId="14" formatCode="0.00%"/>
            </x14:dxf>
          </x14:cfRule>
          <x14:cfRule type="expression" priority="15" id="{869A11C3-0ED5-438B-9721-6905645E0A8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BM43:BZ44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99A4AD-3C69-4779-976B-627EEE3BD839}">
          <x14:formula1>
            <xm:f>parametros!$J$2:$J$4</xm:f>
          </x14:formula1>
          <xm:sqref>D7 D12 D17 D22 D27 D32 D37 D42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9402-E4FA-429E-A5AA-8BBC1A7FCFF6}">
  <dimension ref="A1:BZ119"/>
  <sheetViews>
    <sheetView showGridLines="0" zoomScale="107" zoomScaleNormal="107" workbookViewId="0">
      <selection activeCell="A35" sqref="A1:B1048576"/>
    </sheetView>
  </sheetViews>
  <sheetFormatPr defaultRowHeight="13.2" x14ac:dyDescent="0.4"/>
  <cols>
    <col min="1" max="2" width="2.21875" style="104" customWidth="1"/>
    <col min="3" max="3" width="16.6640625" style="7" customWidth="1"/>
    <col min="4" max="4" width="9.77734375" style="7" customWidth="1"/>
    <col min="5" max="18" width="12.77734375" style="7" customWidth="1"/>
    <col min="19" max="19" width="1.21875" style="7" customWidth="1"/>
    <col min="20" max="33" width="12.77734375" style="7" customWidth="1"/>
    <col min="34" max="34" width="1.21875" style="7" customWidth="1"/>
    <col min="35" max="48" width="12.77734375" style="7" customWidth="1"/>
    <col min="49" max="49" width="1.21875" style="7" customWidth="1"/>
    <col min="50" max="63" width="12.77734375" style="7" customWidth="1"/>
    <col min="64" max="64" width="1.21875" style="7" customWidth="1"/>
    <col min="65" max="78" width="12.77734375" style="7" customWidth="1"/>
    <col min="79" max="16384" width="8.88671875" style="7"/>
  </cols>
  <sheetData>
    <row r="1" spans="1:78" s="3" customFormat="1" ht="27.6" customHeight="1" x14ac:dyDescent="0.4">
      <c r="A1" s="234"/>
      <c r="B1" s="234"/>
      <c r="E1" s="4"/>
    </row>
    <row r="2" spans="1:78" s="5" customFormat="1" ht="21.6" customHeight="1" x14ac:dyDescent="0.4">
      <c r="A2" s="235"/>
      <c r="B2" s="235"/>
    </row>
    <row r="3" spans="1:78" ht="4.95" customHeight="1" x14ac:dyDescent="0.4"/>
    <row r="4" spans="1:78" ht="22.05" customHeight="1" x14ac:dyDescent="0.4">
      <c r="C4" s="76" t="s">
        <v>41</v>
      </c>
      <c r="D4" s="162" t="s">
        <v>34</v>
      </c>
      <c r="E4" s="15"/>
      <c r="F4" s="16"/>
    </row>
    <row r="5" spans="1:78" ht="4.95" customHeight="1" x14ac:dyDescent="0.4">
      <c r="D5" s="7">
        <v>1</v>
      </c>
      <c r="Q5" s="7" t="str">
        <f>_xlfn.CONCAT(Q7,D5)</f>
        <v>Parcial1</v>
      </c>
      <c r="R5" s="7" t="str">
        <f>_xlfn.CONCAT(R7,D5)</f>
        <v>Total1</v>
      </c>
      <c r="T5" s="7">
        <v>2</v>
      </c>
      <c r="AF5" s="7" t="str">
        <f>_xlfn.CONCAT(AF7,T5)</f>
        <v>Parcial2</v>
      </c>
      <c r="AG5" s="7" t="str">
        <f>_xlfn.CONCAT(AG7,T5)</f>
        <v>Total2</v>
      </c>
      <c r="AI5" s="7">
        <v>3</v>
      </c>
      <c r="AU5" s="7" t="str">
        <f>_xlfn.CONCAT(AU7,AI5)</f>
        <v>Parcial3</v>
      </c>
      <c r="AV5" s="7" t="str">
        <f>_xlfn.CONCAT(AV7,AI5)</f>
        <v>Total3</v>
      </c>
      <c r="AX5" s="7">
        <v>4</v>
      </c>
      <c r="BJ5" s="7" t="str">
        <f>_xlfn.CONCAT(BJ7,AX5)</f>
        <v>Parcial4</v>
      </c>
      <c r="BK5" s="7" t="str">
        <f>_xlfn.CONCAT(BK7,AX5)</f>
        <v>Total4</v>
      </c>
      <c r="BM5" s="7">
        <v>5</v>
      </c>
      <c r="BY5" s="7" t="str">
        <f>_xlfn.CONCAT(BY7,BM5)</f>
        <v>Parcial5</v>
      </c>
      <c r="BZ5" s="7" t="str">
        <f>_xlfn.CONCAT(BZ7,BM5)</f>
        <v>Total5</v>
      </c>
    </row>
    <row r="6" spans="1:78" ht="22.05" customHeight="1" x14ac:dyDescent="0.55000000000000004">
      <c r="D6" s="39" t="s">
        <v>64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T6" s="39" t="s">
        <v>72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I6" s="39" t="s">
        <v>73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X6" s="39" t="s">
        <v>74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M6" s="39" t="s">
        <v>75</v>
      </c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</row>
    <row r="7" spans="1:78" ht="22.05" customHeight="1" thickBot="1" x14ac:dyDescent="0.45">
      <c r="B7" s="104">
        <f>1</f>
        <v>1</v>
      </c>
      <c r="C7" s="33" t="s">
        <v>42</v>
      </c>
      <c r="D7" s="41" t="s">
        <v>45</v>
      </c>
      <c r="E7" s="34" t="s">
        <v>47</v>
      </c>
      <c r="F7" s="34" t="s">
        <v>48</v>
      </c>
      <c r="G7" s="34" t="s">
        <v>49</v>
      </c>
      <c r="H7" s="34" t="s">
        <v>50</v>
      </c>
      <c r="I7" s="34" t="s">
        <v>51</v>
      </c>
      <c r="J7" s="34" t="s">
        <v>52</v>
      </c>
      <c r="K7" s="34" t="s">
        <v>53</v>
      </c>
      <c r="L7" s="34" t="s">
        <v>54</v>
      </c>
      <c r="M7" s="34" t="s">
        <v>55</v>
      </c>
      <c r="N7" s="34" t="s">
        <v>56</v>
      </c>
      <c r="O7" s="34" t="s">
        <v>57</v>
      </c>
      <c r="P7" s="34" t="s">
        <v>58</v>
      </c>
      <c r="Q7" s="34" t="s">
        <v>59</v>
      </c>
      <c r="R7" s="35" t="s">
        <v>60</v>
      </c>
      <c r="T7" s="34" t="s">
        <v>47</v>
      </c>
      <c r="U7" s="34" t="s">
        <v>48</v>
      </c>
      <c r="V7" s="34" t="s">
        <v>49</v>
      </c>
      <c r="W7" s="34" t="s">
        <v>50</v>
      </c>
      <c r="X7" s="34" t="s">
        <v>51</v>
      </c>
      <c r="Y7" s="34" t="s">
        <v>52</v>
      </c>
      <c r="Z7" s="34" t="s">
        <v>53</v>
      </c>
      <c r="AA7" s="34" t="s">
        <v>54</v>
      </c>
      <c r="AB7" s="34" t="s">
        <v>55</v>
      </c>
      <c r="AC7" s="34" t="s">
        <v>56</v>
      </c>
      <c r="AD7" s="34" t="s">
        <v>57</v>
      </c>
      <c r="AE7" s="34" t="s">
        <v>58</v>
      </c>
      <c r="AF7" s="34" t="s">
        <v>59</v>
      </c>
      <c r="AG7" s="35" t="s">
        <v>60</v>
      </c>
      <c r="AI7" s="34" t="s">
        <v>47</v>
      </c>
      <c r="AJ7" s="34" t="s">
        <v>48</v>
      </c>
      <c r="AK7" s="34" t="s">
        <v>49</v>
      </c>
      <c r="AL7" s="34" t="s">
        <v>50</v>
      </c>
      <c r="AM7" s="34" t="s">
        <v>51</v>
      </c>
      <c r="AN7" s="34" t="s">
        <v>52</v>
      </c>
      <c r="AO7" s="34" t="s">
        <v>53</v>
      </c>
      <c r="AP7" s="34" t="s">
        <v>54</v>
      </c>
      <c r="AQ7" s="34" t="s">
        <v>55</v>
      </c>
      <c r="AR7" s="34" t="s">
        <v>56</v>
      </c>
      <c r="AS7" s="34" t="s">
        <v>57</v>
      </c>
      <c r="AT7" s="34" t="s">
        <v>58</v>
      </c>
      <c r="AU7" s="34" t="s">
        <v>59</v>
      </c>
      <c r="AV7" s="35" t="s">
        <v>60</v>
      </c>
      <c r="AX7" s="34" t="s">
        <v>47</v>
      </c>
      <c r="AY7" s="34" t="s">
        <v>48</v>
      </c>
      <c r="AZ7" s="34" t="s">
        <v>49</v>
      </c>
      <c r="BA7" s="34" t="s">
        <v>50</v>
      </c>
      <c r="BB7" s="34" t="s">
        <v>51</v>
      </c>
      <c r="BC7" s="34" t="s">
        <v>52</v>
      </c>
      <c r="BD7" s="34" t="s">
        <v>53</v>
      </c>
      <c r="BE7" s="34" t="s">
        <v>54</v>
      </c>
      <c r="BF7" s="34" t="s">
        <v>55</v>
      </c>
      <c r="BG7" s="34" t="s">
        <v>56</v>
      </c>
      <c r="BH7" s="34" t="s">
        <v>57</v>
      </c>
      <c r="BI7" s="34" t="s">
        <v>58</v>
      </c>
      <c r="BJ7" s="34" t="s">
        <v>59</v>
      </c>
      <c r="BK7" s="35" t="s">
        <v>60</v>
      </c>
      <c r="BM7" s="34" t="s">
        <v>47</v>
      </c>
      <c r="BN7" s="34" t="s">
        <v>48</v>
      </c>
      <c r="BO7" s="34" t="s">
        <v>49</v>
      </c>
      <c r="BP7" s="34" t="s">
        <v>50</v>
      </c>
      <c r="BQ7" s="34" t="s">
        <v>51</v>
      </c>
      <c r="BR7" s="34" t="s">
        <v>52</v>
      </c>
      <c r="BS7" s="34" t="s">
        <v>53</v>
      </c>
      <c r="BT7" s="34" t="s">
        <v>54</v>
      </c>
      <c r="BU7" s="34" t="s">
        <v>55</v>
      </c>
      <c r="BV7" s="34" t="s">
        <v>56</v>
      </c>
      <c r="BW7" s="34" t="s">
        <v>57</v>
      </c>
      <c r="BX7" s="34" t="s">
        <v>58</v>
      </c>
      <c r="BY7" s="34" t="s">
        <v>59</v>
      </c>
      <c r="BZ7" s="35" t="s">
        <v>60</v>
      </c>
    </row>
    <row r="8" spans="1:78" ht="22.05" customHeight="1" thickBot="1" x14ac:dyDescent="0.45">
      <c r="A8" s="104" t="str">
        <f>_xlfn.CONCAT(D8,B7)</f>
        <v>Planejado1</v>
      </c>
      <c r="C8" s="248" t="str">
        <f>C59</f>
        <v>Aumentar: Crescimento</v>
      </c>
      <c r="D8" s="42" t="s">
        <v>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>
        <f>SUMIF(E86:P86,"=1",E8:P8)</f>
        <v>0</v>
      </c>
      <c r="R8" s="46">
        <f>SUM(E8:P8)</f>
        <v>0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45">
        <f>SUMIF(T86:AE86,"=1",T8:AE8)</f>
        <v>0</v>
      </c>
      <c r="AG8" s="46">
        <f>SUM(T8:AE8)</f>
        <v>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4"/>
      <c r="AU8" s="45">
        <f>SUMIF(AI86:AT86,"=1",AI8:AT8)</f>
        <v>0</v>
      </c>
      <c r="AV8" s="46">
        <f>SUM(AI8:AT8)</f>
        <v>0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4"/>
      <c r="BJ8" s="45">
        <f>SUMIF(AX86:BI86,"=1",AX8:BI8)</f>
        <v>0</v>
      </c>
      <c r="BK8" s="46">
        <f>SUM(AX8:BI8)</f>
        <v>0</v>
      </c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5">
        <f>SUMIF(BM86:BX86,"=1",BM8:BX8)</f>
        <v>0</v>
      </c>
      <c r="BZ8" s="46">
        <f>SUM(BM8:BX8)</f>
        <v>0</v>
      </c>
    </row>
    <row r="9" spans="1:78" ht="22.05" customHeight="1" thickBot="1" x14ac:dyDescent="0.45">
      <c r="A9" s="104" t="str">
        <f>_xlfn.CONCAT(D9,B7)</f>
        <v>Realizado1</v>
      </c>
      <c r="C9" s="249"/>
      <c r="D9" s="47" t="s">
        <v>62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5">
        <f>SUMIF(E86:P86,"=1",E9:P9)</f>
        <v>0</v>
      </c>
      <c r="R9" s="46">
        <f>SUM(E9:P9)</f>
        <v>0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9"/>
      <c r="AF9" s="45">
        <f>SUMIF(T86:AE86,"=1",T9:AE9)</f>
        <v>0</v>
      </c>
      <c r="AG9" s="46">
        <f>SUM(T9:AE9)</f>
        <v>0</v>
      </c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9"/>
      <c r="AU9" s="45">
        <f>SUMIF(AI86:AT86,"=1",AI9:AT9)</f>
        <v>0</v>
      </c>
      <c r="AV9" s="46">
        <f>SUM(AI9:AT9)</f>
        <v>0</v>
      </c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9"/>
      <c r="BJ9" s="45">
        <f>SUMIF(AX86:BI86,"=1",AX9:BI9)</f>
        <v>0</v>
      </c>
      <c r="BK9" s="46">
        <f>SUM(AX9:BI9)</f>
        <v>0</v>
      </c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9"/>
      <c r="BY9" s="45">
        <f>SUMIF(BM86:BX86,"=1",BM9:BX9)</f>
        <v>0</v>
      </c>
      <c r="BZ9" s="46">
        <f>SUM(BM9:BX9)</f>
        <v>0</v>
      </c>
    </row>
    <row r="10" spans="1:78" ht="22.05" customHeight="1" thickBot="1" x14ac:dyDescent="0.45">
      <c r="C10" s="249"/>
      <c r="D10" s="50" t="s">
        <v>63</v>
      </c>
      <c r="E10" s="51" t="str">
        <f>IF(OR(ISERR(E9/E8-1),E9=""),"",IF($A59=parametros!$I$3,E8/E9-1,E9/E8-1))</f>
        <v/>
      </c>
      <c r="F10" s="51" t="str">
        <f>IF(OR(ISERR(F9/F8-1),F9=""),"",IF($A59=parametros!$I$3,F8/F9-1,F9/F8-1))</f>
        <v/>
      </c>
      <c r="G10" s="51" t="str">
        <f>IF(OR(ISERR(G9/G8-1),G9=""),"",IF($A59=parametros!$I$3,G8/G9-1,G9/G8-1))</f>
        <v/>
      </c>
      <c r="H10" s="51" t="str">
        <f>IF(OR(ISERR(H9/H8-1),H9=""),"",IF($A59=parametros!$I$3,H8/H9-1,H9/H8-1))</f>
        <v/>
      </c>
      <c r="I10" s="51" t="str">
        <f>IF(OR(ISERR(I9/I8-1),I9=""),"",IF($A59=parametros!$I$3,I8/I9-1,I9/I8-1))</f>
        <v/>
      </c>
      <c r="J10" s="51" t="str">
        <f>IF(OR(ISERR(J9/J8-1),J9=""),"",IF($A59=parametros!$I$3,J8/J9-1,J9/J8-1))</f>
        <v/>
      </c>
      <c r="K10" s="51" t="str">
        <f>IF(OR(ISERR(K9/K8-1),K9=""),"",IF($A59=parametros!$I$3,K8/K9-1,K9/K8-1))</f>
        <v/>
      </c>
      <c r="L10" s="51" t="str">
        <f>IF(OR(ISERR(L9/L8-1),L9=""),"",IF($A59=parametros!$I$3,L8/L9-1,L9/L8-1))</f>
        <v/>
      </c>
      <c r="M10" s="51" t="str">
        <f>IF(OR(ISERR(M9/M8-1),M9=""),"",IF($A59=parametros!$I$3,M8/M9-1,M9/M8-1))</f>
        <v/>
      </c>
      <c r="N10" s="51" t="str">
        <f>IF(OR(ISERR(N9/N8-1),N9=""),"",IF($A59=parametros!$I$3,N8/N9-1,N9/N8-1))</f>
        <v/>
      </c>
      <c r="O10" s="51" t="str">
        <f>IF(OR(ISERR(O9/O8-1),O9=""),"",IF($A59=parametros!$I$3,O8/O9-1,O9/O8-1))</f>
        <v/>
      </c>
      <c r="P10" s="51" t="str">
        <f>IF(OR(ISERR(P9/P8-1),P9=""),"",IF($A59=parametros!$I$3,P8/P9-1,P9/P8-1))</f>
        <v/>
      </c>
      <c r="Q10" s="51" t="str">
        <f>IF(OR(ISERR(Q9/Q8-1),Q9=""),"",IF($A59=parametros!$I$3,Q8/Q9-1,Q9/Q8-1))</f>
        <v/>
      </c>
      <c r="R10" s="51" t="str">
        <f>IF(OR(ISERR(R9/R8-1),R9=""),"",IF($A59=parametros!$I$3,R8/R9-1,R9/R8-1))</f>
        <v/>
      </c>
      <c r="T10" s="51" t="str">
        <f>IF(OR(ISERR(T9/T8-1),T9=""),"",IF($A59=parametros!$I$3,T8/T9-1,T9/T8-1))</f>
        <v/>
      </c>
      <c r="U10" s="51" t="str">
        <f>IF(OR(ISERR(U9/U8-1),U9=""),"",IF($A59=parametros!$I$3,U8/U9-1,U9/U8-1))</f>
        <v/>
      </c>
      <c r="V10" s="51" t="str">
        <f>IF(OR(ISERR(V9/V8-1),V9=""),"",IF($A59=parametros!$I$3,V8/V9-1,V9/V8-1))</f>
        <v/>
      </c>
      <c r="W10" s="51" t="str">
        <f>IF(OR(ISERR(W9/W8-1),W9=""),"",IF($A59=parametros!$I$3,W8/W9-1,W9/W8-1))</f>
        <v/>
      </c>
      <c r="X10" s="51" t="str">
        <f>IF(OR(ISERR(X9/X8-1),X9=""),"",IF($A59=parametros!$I$3,X8/X9-1,X9/X8-1))</f>
        <v/>
      </c>
      <c r="Y10" s="51" t="str">
        <f>IF(OR(ISERR(Y9/Y8-1),Y9=""),"",IF($A59=parametros!$I$3,Y8/Y9-1,Y9/Y8-1))</f>
        <v/>
      </c>
      <c r="Z10" s="51" t="str">
        <f>IF(OR(ISERR(Z9/Z8-1),Z9=""),"",IF($A59=parametros!$I$3,Z8/Z9-1,Z9/Z8-1))</f>
        <v/>
      </c>
      <c r="AA10" s="51" t="str">
        <f>IF(OR(ISERR(AA9/AA8-1),AA9=""),"",IF($A59=parametros!$I$3,AA8/AA9-1,AA9/AA8-1))</f>
        <v/>
      </c>
      <c r="AB10" s="51" t="str">
        <f>IF(OR(ISERR(AB9/AB8-1),AB9=""),"",IF($A59=parametros!$I$3,AB8/AB9-1,AB9/AB8-1))</f>
        <v/>
      </c>
      <c r="AC10" s="51" t="str">
        <f>IF(OR(ISERR(AC9/AC8-1),AC9=""),"",IF($A59=parametros!$I$3,AC8/AC9-1,AC9/AC8-1))</f>
        <v/>
      </c>
      <c r="AD10" s="51" t="str">
        <f>IF(OR(ISERR(AD9/AD8-1),AD9=""),"",IF($A59=parametros!$I$3,AD8/AD9-1,AD9/AD8-1))</f>
        <v/>
      </c>
      <c r="AE10" s="51" t="str">
        <f>IF(OR(ISERR(AE9/AE8-1),AE9=""),"",IF($A59=parametros!$I$3,AE8/AE9-1,AE9/AE8-1))</f>
        <v/>
      </c>
      <c r="AF10" s="51" t="str">
        <f>IF(OR(ISERR(AF9/AF8-1),AF9=""),"",IF($A59=parametros!$I$3,AF8/AF9-1,AF9/AF8-1))</f>
        <v/>
      </c>
      <c r="AG10" s="51" t="str">
        <f>IF(OR(ISERR(AG9/AG8-1),AG9=""),"",IF($A59=parametros!$I$3,AG8/AG9-1,AG9/AG8-1))</f>
        <v/>
      </c>
      <c r="AI10" s="51" t="str">
        <f>IF(OR(ISERR(AI9/AI8-1),AI9=""),"",IF($A59=parametros!$I$3,AI8/AI9-1,AI9/AI8-1))</f>
        <v/>
      </c>
      <c r="AJ10" s="51" t="str">
        <f>IF(OR(ISERR(AJ9/AJ8-1),AJ9=""),"",IF($A59=parametros!$I$3,AJ8/AJ9-1,AJ9/AJ8-1))</f>
        <v/>
      </c>
      <c r="AK10" s="51" t="str">
        <f>IF(OR(ISERR(AK9/AK8-1),AK9=""),"",IF($A59=parametros!$I$3,AK8/AK9-1,AK9/AK8-1))</f>
        <v/>
      </c>
      <c r="AL10" s="51" t="str">
        <f>IF(OR(ISERR(AL9/AL8-1),AL9=""),"",IF($A59=parametros!$I$3,AL8/AL9-1,AL9/AL8-1))</f>
        <v/>
      </c>
      <c r="AM10" s="51" t="str">
        <f>IF(OR(ISERR(AM9/AM8-1),AM9=""),"",IF($A59=parametros!$I$3,AM8/AM9-1,AM9/AM8-1))</f>
        <v/>
      </c>
      <c r="AN10" s="51" t="str">
        <f>IF(OR(ISERR(AN9/AN8-1),AN9=""),"",IF($A59=parametros!$I$3,AN8/AN9-1,AN9/AN8-1))</f>
        <v/>
      </c>
      <c r="AO10" s="51" t="str">
        <f>IF(OR(ISERR(AO9/AO8-1),AO9=""),"",IF($A59=parametros!$I$3,AO8/AO9-1,AO9/AO8-1))</f>
        <v/>
      </c>
      <c r="AP10" s="51" t="str">
        <f>IF(OR(ISERR(AP9/AP8-1),AP9=""),"",IF($A59=parametros!$I$3,AP8/AP9-1,AP9/AP8-1))</f>
        <v/>
      </c>
      <c r="AQ10" s="51" t="str">
        <f>IF(OR(ISERR(AQ9/AQ8-1),AQ9=""),"",IF($A59=parametros!$I$3,AQ8/AQ9-1,AQ9/AQ8-1))</f>
        <v/>
      </c>
      <c r="AR10" s="51" t="str">
        <f>IF(OR(ISERR(AR9/AR8-1),AR9=""),"",IF($A59=parametros!$I$3,AR8/AR9-1,AR9/AR8-1))</f>
        <v/>
      </c>
      <c r="AS10" s="51" t="str">
        <f>IF(OR(ISERR(AS9/AS8-1),AS9=""),"",IF($A59=parametros!$I$3,AS8/AS9-1,AS9/AS8-1))</f>
        <v/>
      </c>
      <c r="AT10" s="51" t="str">
        <f>IF(OR(ISERR(AT9/AT8-1),AT9=""),"",IF($A59=parametros!$I$3,AT8/AT9-1,AT9/AT8-1))</f>
        <v/>
      </c>
      <c r="AU10" s="51" t="str">
        <f>IF(OR(ISERR(AU9/AU8-1),AU9=""),"",IF($A59=parametros!$I$3,AU8/AU9-1,AU9/AU8-1))</f>
        <v/>
      </c>
      <c r="AV10" s="51" t="str">
        <f>IF(OR(ISERR(AV9/AV8-1),AV9=""),"",IF($A59=parametros!$I$3,AV8/AV9-1,AV9/AV8-1))</f>
        <v/>
      </c>
      <c r="AX10" s="51" t="str">
        <f>IF(OR(ISERR(AX9/AX8-1),AX9=""),"",IF($A59=parametros!$I$3,AX8/AX9-1,AX9/AX8-1))</f>
        <v/>
      </c>
      <c r="AY10" s="51" t="str">
        <f>IF(OR(ISERR(AY9/AY8-1),AY9=""),"",IF($A59=parametros!$I$3,AY8/AY9-1,AY9/AY8-1))</f>
        <v/>
      </c>
      <c r="AZ10" s="51" t="str">
        <f>IF(OR(ISERR(AZ9/AZ8-1),AZ9=""),"",IF($A59=parametros!$I$3,AZ8/AZ9-1,AZ9/AZ8-1))</f>
        <v/>
      </c>
      <c r="BA10" s="51" t="str">
        <f>IF(OR(ISERR(BA9/BA8-1),BA9=""),"",IF($A59=parametros!$I$3,BA8/BA9-1,BA9/BA8-1))</f>
        <v/>
      </c>
      <c r="BB10" s="51" t="str">
        <f>IF(OR(ISERR(BB9/BB8-1),BB9=""),"",IF($A59=parametros!$I$3,BB8/BB9-1,BB9/BB8-1))</f>
        <v/>
      </c>
      <c r="BC10" s="51" t="str">
        <f>IF(OR(ISERR(BC9/BC8-1),BC9=""),"",IF($A59=parametros!$I$3,BC8/BC9-1,BC9/BC8-1))</f>
        <v/>
      </c>
      <c r="BD10" s="51" t="str">
        <f>IF(OR(ISERR(BD9/BD8-1),BD9=""),"",IF($A59=parametros!$I$3,BD8/BD9-1,BD9/BD8-1))</f>
        <v/>
      </c>
      <c r="BE10" s="51" t="str">
        <f>IF(OR(ISERR(BE9/BE8-1),BE9=""),"",IF($A59=parametros!$I$3,BE8/BE9-1,BE9/BE8-1))</f>
        <v/>
      </c>
      <c r="BF10" s="51" t="str">
        <f>IF(OR(ISERR(BF9/BF8-1),BF9=""),"",IF($A59=parametros!$I$3,BF8/BF9-1,BF9/BF8-1))</f>
        <v/>
      </c>
      <c r="BG10" s="51" t="str">
        <f>IF(OR(ISERR(BG9/BG8-1),BG9=""),"",IF($A59=parametros!$I$3,BG8/BG9-1,BG9/BG8-1))</f>
        <v/>
      </c>
      <c r="BH10" s="51" t="str">
        <f>IF(OR(ISERR(BH9/BH8-1),BH9=""),"",IF($A59=parametros!$I$3,BH8/BH9-1,BH9/BH8-1))</f>
        <v/>
      </c>
      <c r="BI10" s="51" t="str">
        <f>IF(OR(ISERR(BI9/BI8-1),BI9=""),"",IF($A59=parametros!$I$3,BI8/BI9-1,BI9/BI8-1))</f>
        <v/>
      </c>
      <c r="BJ10" s="51" t="str">
        <f>IF(OR(ISERR(BJ9/BJ8-1),BJ9=""),"",IF($A59=parametros!$I$3,BJ8/BJ9-1,BJ9/BJ8-1))</f>
        <v/>
      </c>
      <c r="BK10" s="51" t="str">
        <f>IF(OR(ISERR(BK9/BK8-1),BK9=""),"",IF($A59=parametros!$I$3,BK8/BK9-1,BK9/BK8-1))</f>
        <v/>
      </c>
      <c r="BM10" s="51" t="str">
        <f>IF(OR(ISERR(BM9/BM8-1),BM9=""),"",IF($A59=parametros!$I$3,BM8/BM9-1,BM9/BM8-1))</f>
        <v/>
      </c>
      <c r="BN10" s="51" t="str">
        <f>IF(OR(ISERR(BN9/BN8-1),BN9=""),"",IF($A59=parametros!$I$3,BN8/BN9-1,BN9/BN8-1))</f>
        <v/>
      </c>
      <c r="BO10" s="51" t="str">
        <f>IF(OR(ISERR(BO9/BO8-1),BO9=""),"",IF($A59=parametros!$I$3,BO8/BO9-1,BO9/BO8-1))</f>
        <v/>
      </c>
      <c r="BP10" s="51" t="str">
        <f>IF(OR(ISERR(BP9/BP8-1),BP9=""),"",IF($A59=parametros!$I$3,BP8/BP9-1,BP9/BP8-1))</f>
        <v/>
      </c>
      <c r="BQ10" s="51" t="str">
        <f>IF(OR(ISERR(BQ9/BQ8-1),BQ9=""),"",IF($A59=parametros!$I$3,BQ8/BQ9-1,BQ9/BQ8-1))</f>
        <v/>
      </c>
      <c r="BR10" s="51" t="str">
        <f>IF(OR(ISERR(BR9/BR8-1),BR9=""),"",IF($A59=parametros!$I$3,BR8/BR9-1,BR9/BR8-1))</f>
        <v/>
      </c>
      <c r="BS10" s="51" t="str">
        <f>IF(OR(ISERR(BS9/BS8-1),BS9=""),"",IF($A59=parametros!$I$3,BS8/BS9-1,BS9/BS8-1))</f>
        <v/>
      </c>
      <c r="BT10" s="51" t="str">
        <f>IF(OR(ISERR(BT9/BT8-1),BT9=""),"",IF($A59=parametros!$I$3,BT8/BT9-1,BT9/BT8-1))</f>
        <v/>
      </c>
      <c r="BU10" s="51" t="str">
        <f>IF(OR(ISERR(BU9/BU8-1),BU9=""),"",IF($A59=parametros!$I$3,BU8/BU9-1,BU9/BU8-1))</f>
        <v/>
      </c>
      <c r="BV10" s="51" t="str">
        <f>IF(OR(ISERR(BV9/BV8-1),BV9=""),"",IF($A59=parametros!$I$3,BV8/BV9-1,BV9/BV8-1))</f>
        <v/>
      </c>
      <c r="BW10" s="51" t="str">
        <f>IF(OR(ISERR(BW9/BW8-1),BW9=""),"",IF($A59=parametros!$I$3,BW8/BW9-1,BW9/BW8-1))</f>
        <v/>
      </c>
      <c r="BX10" s="51" t="str">
        <f>IF(OR(ISERR(BX9/BX8-1),BX9=""),"",IF($A59=parametros!$I$3,BX8/BX9-1,BX9/BX8-1))</f>
        <v/>
      </c>
      <c r="BY10" s="51" t="str">
        <f>IF(OR(ISERR(BY9/BY8-1),BY9=""),"",IF($A59=parametros!$I$3,BY8/BY9-1,BY9/BY8-1))</f>
        <v/>
      </c>
      <c r="BZ10" s="51" t="str">
        <f>IF(OR(ISERR(BZ9/BZ8-1),BZ9=""),"",IF($A59=parametros!$I$3,BZ8/BZ9-1,BZ9/BZ8-1))</f>
        <v/>
      </c>
    </row>
    <row r="11" spans="1:78" ht="4.95" customHeight="1" x14ac:dyDescent="0.4"/>
    <row r="12" spans="1:78" ht="22.05" customHeight="1" thickBot="1" x14ac:dyDescent="0.45">
      <c r="B12" s="104">
        <f>2</f>
        <v>2</v>
      </c>
      <c r="C12" s="33" t="s">
        <v>65</v>
      </c>
      <c r="D12" s="41" t="s">
        <v>44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  <c r="L12" s="34" t="s">
        <v>54</v>
      </c>
      <c r="M12" s="34" t="s">
        <v>55</v>
      </c>
      <c r="N12" s="34" t="s">
        <v>56</v>
      </c>
      <c r="O12" s="34" t="s">
        <v>57</v>
      </c>
      <c r="P12" s="34" t="s">
        <v>58</v>
      </c>
      <c r="Q12" s="34" t="s">
        <v>59</v>
      </c>
      <c r="R12" s="35" t="s">
        <v>60</v>
      </c>
      <c r="T12" s="34" t="s">
        <v>47</v>
      </c>
      <c r="U12" s="34" t="s">
        <v>48</v>
      </c>
      <c r="V12" s="34" t="s">
        <v>49</v>
      </c>
      <c r="W12" s="34" t="s">
        <v>50</v>
      </c>
      <c r="X12" s="34" t="s">
        <v>51</v>
      </c>
      <c r="Y12" s="34" t="s">
        <v>52</v>
      </c>
      <c r="Z12" s="34" t="s">
        <v>53</v>
      </c>
      <c r="AA12" s="34" t="s">
        <v>54</v>
      </c>
      <c r="AB12" s="34" t="s">
        <v>55</v>
      </c>
      <c r="AC12" s="34" t="s">
        <v>56</v>
      </c>
      <c r="AD12" s="34" t="s">
        <v>57</v>
      </c>
      <c r="AE12" s="34" t="s">
        <v>58</v>
      </c>
      <c r="AF12" s="34" t="s">
        <v>59</v>
      </c>
      <c r="AG12" s="35" t="s">
        <v>60</v>
      </c>
      <c r="AI12" s="34" t="s">
        <v>47</v>
      </c>
      <c r="AJ12" s="34" t="s">
        <v>48</v>
      </c>
      <c r="AK12" s="34" t="s">
        <v>49</v>
      </c>
      <c r="AL12" s="34" t="s">
        <v>50</v>
      </c>
      <c r="AM12" s="34" t="s">
        <v>51</v>
      </c>
      <c r="AN12" s="34" t="s">
        <v>52</v>
      </c>
      <c r="AO12" s="34" t="s">
        <v>53</v>
      </c>
      <c r="AP12" s="34" t="s">
        <v>54</v>
      </c>
      <c r="AQ12" s="34" t="s">
        <v>55</v>
      </c>
      <c r="AR12" s="34" t="s">
        <v>56</v>
      </c>
      <c r="AS12" s="34" t="s">
        <v>57</v>
      </c>
      <c r="AT12" s="34" t="s">
        <v>58</v>
      </c>
      <c r="AU12" s="34" t="s">
        <v>59</v>
      </c>
      <c r="AV12" s="35" t="s">
        <v>60</v>
      </c>
      <c r="AX12" s="34" t="s">
        <v>47</v>
      </c>
      <c r="AY12" s="34" t="s">
        <v>48</v>
      </c>
      <c r="AZ12" s="34" t="s">
        <v>49</v>
      </c>
      <c r="BA12" s="34" t="s">
        <v>50</v>
      </c>
      <c r="BB12" s="34" t="s">
        <v>51</v>
      </c>
      <c r="BC12" s="34" t="s">
        <v>52</v>
      </c>
      <c r="BD12" s="34" t="s">
        <v>53</v>
      </c>
      <c r="BE12" s="34" t="s">
        <v>54</v>
      </c>
      <c r="BF12" s="34" t="s">
        <v>55</v>
      </c>
      <c r="BG12" s="34" t="s">
        <v>56</v>
      </c>
      <c r="BH12" s="34" t="s">
        <v>57</v>
      </c>
      <c r="BI12" s="34" t="s">
        <v>58</v>
      </c>
      <c r="BJ12" s="34" t="s">
        <v>59</v>
      </c>
      <c r="BK12" s="35" t="s">
        <v>60</v>
      </c>
      <c r="BM12" s="34" t="s">
        <v>47</v>
      </c>
      <c r="BN12" s="34" t="s">
        <v>48</v>
      </c>
      <c r="BO12" s="34" t="s">
        <v>49</v>
      </c>
      <c r="BP12" s="34" t="s">
        <v>50</v>
      </c>
      <c r="BQ12" s="34" t="s">
        <v>51</v>
      </c>
      <c r="BR12" s="34" t="s">
        <v>52</v>
      </c>
      <c r="BS12" s="34" t="s">
        <v>53</v>
      </c>
      <c r="BT12" s="34" t="s">
        <v>54</v>
      </c>
      <c r="BU12" s="34" t="s">
        <v>55</v>
      </c>
      <c r="BV12" s="34" t="s">
        <v>56</v>
      </c>
      <c r="BW12" s="34" t="s">
        <v>57</v>
      </c>
      <c r="BX12" s="34" t="s">
        <v>58</v>
      </c>
      <c r="BY12" s="34" t="s">
        <v>59</v>
      </c>
      <c r="BZ12" s="35" t="s">
        <v>60</v>
      </c>
    </row>
    <row r="13" spans="1:78" ht="22.05" customHeight="1" thickBot="1" x14ac:dyDescent="0.45">
      <c r="A13" s="104" t="str">
        <f>_xlfn.CONCAT(D13,B12)</f>
        <v>Planejado2</v>
      </c>
      <c r="C13" s="248" t="str">
        <f>C60</f>
        <v xml:space="preserve">: </v>
      </c>
      <c r="D13" s="37" t="s">
        <v>61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/>
      <c r="Q13" s="45">
        <f>SUMIF(E88:P88,"=1",E13:P13)</f>
        <v>0</v>
      </c>
      <c r="R13" s="46">
        <f>SUM(E13:P13)</f>
        <v>0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/>
      <c r="AF13" s="45">
        <f>SUMIF(T88:AE88,"=1",T13:AE13)</f>
        <v>0</v>
      </c>
      <c r="AG13" s="46">
        <f>SUM(T13:AE13)</f>
        <v>0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4"/>
      <c r="AU13" s="45">
        <f>SUMIF(AI88:AT88,"=1",AI13:AT13)</f>
        <v>0</v>
      </c>
      <c r="AV13" s="46">
        <f>SUM(AI13:AT13)</f>
        <v>0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4"/>
      <c r="BJ13" s="45">
        <f>SUMIF(AX88:BI88,"=1",AX13:BI13)</f>
        <v>0</v>
      </c>
      <c r="BK13" s="46">
        <f>SUM(AX13:BI13)</f>
        <v>0</v>
      </c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4"/>
      <c r="BY13" s="45">
        <f>SUMIF(BM88:BX88,"=1",BM13:BX13)</f>
        <v>0</v>
      </c>
      <c r="BZ13" s="46">
        <f>SUM(BM13:BX13)</f>
        <v>0</v>
      </c>
    </row>
    <row r="14" spans="1:78" ht="22.05" customHeight="1" thickBot="1" x14ac:dyDescent="0.45">
      <c r="A14" s="104" t="str">
        <f>_xlfn.CONCAT(D14,B12)</f>
        <v>Realizado2</v>
      </c>
      <c r="C14" s="249"/>
      <c r="D14" s="38" t="s">
        <v>62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5">
        <f>SUMIF(E88:P88,"=1",E14:P14)</f>
        <v>0</v>
      </c>
      <c r="R14" s="46">
        <f>SUM(E14:P14)</f>
        <v>0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5">
        <f>SUMIF(T88:AE88,"=1",T14:AE14)</f>
        <v>0</v>
      </c>
      <c r="AG14" s="46">
        <f>SUM(T14:AE14)</f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  <c r="AU14" s="45">
        <f>SUMIF(AI88:AT88,"=1",AI14:AT14)</f>
        <v>0</v>
      </c>
      <c r="AV14" s="46">
        <f>SUM(AI14:AT14)</f>
        <v>0</v>
      </c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9"/>
      <c r="BJ14" s="45">
        <f>SUMIF(AX88:BI88,"=1",AX14:BI14)</f>
        <v>0</v>
      </c>
      <c r="BK14" s="46">
        <f>SUM(AX14:BI14)</f>
        <v>0</v>
      </c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9"/>
      <c r="BY14" s="45">
        <f>SUMIF(BM88:BX88,"=1",BM14:BX14)</f>
        <v>0</v>
      </c>
      <c r="BZ14" s="46">
        <f>SUM(BM14:BX14)</f>
        <v>0</v>
      </c>
    </row>
    <row r="15" spans="1:78" ht="22.05" customHeight="1" thickBot="1" x14ac:dyDescent="0.45">
      <c r="C15" s="249"/>
      <c r="D15" s="36" t="s">
        <v>63</v>
      </c>
      <c r="E15" s="51" t="str">
        <f>IF(OR(ISERR(E14/E13-1),E14=""),"",IF($A64=parametros!$I$3,E13/E14-1,E14/E13-1))</f>
        <v/>
      </c>
      <c r="F15" s="51" t="str">
        <f>IF(OR(ISERR(F14/F13-1),F14=""),"",IF($A64=parametros!$I$3,F13/F14-1,F14/F13-1))</f>
        <v/>
      </c>
      <c r="G15" s="51" t="str">
        <f>IF(OR(ISERR(G14/G13-1),G14=""),"",IF($A64=parametros!$I$3,G13/G14-1,G14/G13-1))</f>
        <v/>
      </c>
      <c r="H15" s="51" t="str">
        <f>IF(OR(ISERR(H14/H13-1),H14=""),"",IF($A64=parametros!$I$3,H13/H14-1,H14/H13-1))</f>
        <v/>
      </c>
      <c r="I15" s="51" t="str">
        <f>IF(OR(ISERR(I14/I13-1),I14=""),"",IF($A64=parametros!$I$3,I13/I14-1,I14/I13-1))</f>
        <v/>
      </c>
      <c r="J15" s="51" t="str">
        <f>IF(OR(ISERR(J14/J13-1),J14=""),"",IF($A64=parametros!$I$3,J13/J14-1,J14/J13-1))</f>
        <v/>
      </c>
      <c r="K15" s="51" t="str">
        <f>IF(OR(ISERR(K14/K13-1),K14=""),"",IF($A64=parametros!$I$3,K13/K14-1,K14/K13-1))</f>
        <v/>
      </c>
      <c r="L15" s="51" t="str">
        <f>IF(OR(ISERR(L14/L13-1),L14=""),"",IF($A64=parametros!$I$3,L13/L14-1,L14/L13-1))</f>
        <v/>
      </c>
      <c r="M15" s="51" t="str">
        <f>IF(OR(ISERR(M14/M13-1),M14=""),"",IF($A64=parametros!$I$3,M13/M14-1,M14/M13-1))</f>
        <v/>
      </c>
      <c r="N15" s="51" t="str">
        <f>IF(OR(ISERR(N14/N13-1),N14=""),"",IF($A64=parametros!$I$3,N13/N14-1,N14/N13-1))</f>
        <v/>
      </c>
      <c r="O15" s="51" t="str">
        <f>IF(OR(ISERR(O14/O13-1),O14=""),"",IF($A64=parametros!$I$3,O13/O14-1,O14/O13-1))</f>
        <v/>
      </c>
      <c r="P15" s="51" t="str">
        <f>IF(OR(ISERR(P14/P13-1),P14=""),"",IF($A64=parametros!$I$3,P13/P14-1,P14/P13-1))</f>
        <v/>
      </c>
      <c r="Q15" s="51" t="str">
        <f>IF(OR(ISERR(Q14/Q13-1),Q14=""),"",IF($A64=parametros!$I$3,Q13/Q14-1,Q14/Q13-1))</f>
        <v/>
      </c>
      <c r="R15" s="51" t="str">
        <f>IF(OR(ISERR(R14/R13-1),R14=""),"",IF($A64=parametros!$I$3,R13/R14-1,R14/R13-1))</f>
        <v/>
      </c>
      <c r="T15" s="51" t="str">
        <f>IF(OR(ISERR(T14/T13-1),T14=""),"",IF($A64=parametros!$I$3,T13/T14-1,T14/T13-1))</f>
        <v/>
      </c>
      <c r="U15" s="51" t="str">
        <f>IF(OR(ISERR(U14/U13-1),U14=""),"",IF($A64=parametros!$I$3,U13/U14-1,U14/U13-1))</f>
        <v/>
      </c>
      <c r="V15" s="51" t="str">
        <f>IF(OR(ISERR(V14/V13-1),V14=""),"",IF($A64=parametros!$I$3,V13/V14-1,V14/V13-1))</f>
        <v/>
      </c>
      <c r="W15" s="51" t="str">
        <f>IF(OR(ISERR(W14/W13-1),W14=""),"",IF($A64=parametros!$I$3,W13/W14-1,W14/W13-1))</f>
        <v/>
      </c>
      <c r="X15" s="51" t="str">
        <f>IF(OR(ISERR(X14/X13-1),X14=""),"",IF($A64=parametros!$I$3,X13/X14-1,X14/X13-1))</f>
        <v/>
      </c>
      <c r="Y15" s="51" t="str">
        <f>IF(OR(ISERR(Y14/Y13-1),Y14=""),"",IF($A64=parametros!$I$3,Y13/Y14-1,Y14/Y13-1))</f>
        <v/>
      </c>
      <c r="Z15" s="51" t="str">
        <f>IF(OR(ISERR(Z14/Z13-1),Z14=""),"",IF($A64=parametros!$I$3,Z13/Z14-1,Z14/Z13-1))</f>
        <v/>
      </c>
      <c r="AA15" s="51" t="str">
        <f>IF(OR(ISERR(AA14/AA13-1),AA14=""),"",IF($A64=parametros!$I$3,AA13/AA14-1,AA14/AA13-1))</f>
        <v/>
      </c>
      <c r="AB15" s="51" t="str">
        <f>IF(OR(ISERR(AB14/AB13-1),AB14=""),"",IF($A64=parametros!$I$3,AB13/AB14-1,AB14/AB13-1))</f>
        <v/>
      </c>
      <c r="AC15" s="51" t="str">
        <f>IF(OR(ISERR(AC14/AC13-1),AC14=""),"",IF($A64=parametros!$I$3,AC13/AC14-1,AC14/AC13-1))</f>
        <v/>
      </c>
      <c r="AD15" s="51" t="str">
        <f>IF(OR(ISERR(AD14/AD13-1),AD14=""),"",IF($A64=parametros!$I$3,AD13/AD14-1,AD14/AD13-1))</f>
        <v/>
      </c>
      <c r="AE15" s="51" t="str">
        <f>IF(OR(ISERR(AE14/AE13-1),AE14=""),"",IF($A64=parametros!$I$3,AE13/AE14-1,AE14/AE13-1))</f>
        <v/>
      </c>
      <c r="AF15" s="51" t="str">
        <f>IF(OR(ISERR(AF14/AF13-1),AF14=""),"",IF($A64=parametros!$I$3,AF13/AF14-1,AF14/AF13-1))</f>
        <v/>
      </c>
      <c r="AG15" s="51" t="str">
        <f>IF(OR(ISERR(AG14/AG13-1),AG14=""),"",IF($A64=parametros!$I$3,AG13/AG14-1,AG14/AG13-1))</f>
        <v/>
      </c>
      <c r="AI15" s="51" t="str">
        <f>IF(OR(ISERR(AI14/AI13-1),AI14=""),"",IF($A64=parametros!$I$3,AI13/AI14-1,AI14/AI13-1))</f>
        <v/>
      </c>
      <c r="AJ15" s="51" t="str">
        <f>IF(OR(ISERR(AJ14/AJ13-1),AJ14=""),"",IF($A64=parametros!$I$3,AJ13/AJ14-1,AJ14/AJ13-1))</f>
        <v/>
      </c>
      <c r="AK15" s="51" t="str">
        <f>IF(OR(ISERR(AK14/AK13-1),AK14=""),"",IF($A64=parametros!$I$3,AK13/AK14-1,AK14/AK13-1))</f>
        <v/>
      </c>
      <c r="AL15" s="51" t="str">
        <f>IF(OR(ISERR(AL14/AL13-1),AL14=""),"",IF($A64=parametros!$I$3,AL13/AL14-1,AL14/AL13-1))</f>
        <v/>
      </c>
      <c r="AM15" s="51" t="str">
        <f>IF(OR(ISERR(AM14/AM13-1),AM14=""),"",IF($A64=parametros!$I$3,AM13/AM14-1,AM14/AM13-1))</f>
        <v/>
      </c>
      <c r="AN15" s="51" t="str">
        <f>IF(OR(ISERR(AN14/AN13-1),AN14=""),"",IF($A64=parametros!$I$3,AN13/AN14-1,AN14/AN13-1))</f>
        <v/>
      </c>
      <c r="AO15" s="51" t="str">
        <f>IF(OR(ISERR(AO14/AO13-1),AO14=""),"",IF($A64=parametros!$I$3,AO13/AO14-1,AO14/AO13-1))</f>
        <v/>
      </c>
      <c r="AP15" s="51" t="str">
        <f>IF(OR(ISERR(AP14/AP13-1),AP14=""),"",IF($A64=parametros!$I$3,AP13/AP14-1,AP14/AP13-1))</f>
        <v/>
      </c>
      <c r="AQ15" s="51" t="str">
        <f>IF(OR(ISERR(AQ14/AQ13-1),AQ14=""),"",IF($A64=parametros!$I$3,AQ13/AQ14-1,AQ14/AQ13-1))</f>
        <v/>
      </c>
      <c r="AR15" s="51" t="str">
        <f>IF(OR(ISERR(AR14/AR13-1),AR14=""),"",IF($A64=parametros!$I$3,AR13/AR14-1,AR14/AR13-1))</f>
        <v/>
      </c>
      <c r="AS15" s="51" t="str">
        <f>IF(OR(ISERR(AS14/AS13-1),AS14=""),"",IF($A64=parametros!$I$3,AS13/AS14-1,AS14/AS13-1))</f>
        <v/>
      </c>
      <c r="AT15" s="51" t="str">
        <f>IF(OR(ISERR(AT14/AT13-1),AT14=""),"",IF($A64=parametros!$I$3,AT13/AT14-1,AT14/AT13-1))</f>
        <v/>
      </c>
      <c r="AU15" s="51" t="str">
        <f>IF(OR(ISERR(AU14/AU13-1),AU14=""),"",IF($A64=parametros!$I$3,AU13/AU14-1,AU14/AU13-1))</f>
        <v/>
      </c>
      <c r="AV15" s="51" t="str">
        <f>IF(OR(ISERR(AV14/AV13-1),AV14=""),"",IF($A64=parametros!$I$3,AV13/AV14-1,AV14/AV13-1))</f>
        <v/>
      </c>
      <c r="AX15" s="51" t="str">
        <f>IF(OR(ISERR(AX14/AX13-1),AX14=""),"",IF($A64=parametros!$I$3,AX13/AX14-1,AX14/AX13-1))</f>
        <v/>
      </c>
      <c r="AY15" s="51" t="str">
        <f>IF(OR(ISERR(AY14/AY13-1),AY14=""),"",IF($A64=parametros!$I$3,AY13/AY14-1,AY14/AY13-1))</f>
        <v/>
      </c>
      <c r="AZ15" s="51" t="str">
        <f>IF(OR(ISERR(AZ14/AZ13-1),AZ14=""),"",IF($A64=parametros!$I$3,AZ13/AZ14-1,AZ14/AZ13-1))</f>
        <v/>
      </c>
      <c r="BA15" s="51" t="str">
        <f>IF(OR(ISERR(BA14/BA13-1),BA14=""),"",IF($A64=parametros!$I$3,BA13/BA14-1,BA14/BA13-1))</f>
        <v/>
      </c>
      <c r="BB15" s="51" t="str">
        <f>IF(OR(ISERR(BB14/BB13-1),BB14=""),"",IF($A64=parametros!$I$3,BB13/BB14-1,BB14/BB13-1))</f>
        <v/>
      </c>
      <c r="BC15" s="51" t="str">
        <f>IF(OR(ISERR(BC14/BC13-1),BC14=""),"",IF($A64=parametros!$I$3,BC13/BC14-1,BC14/BC13-1))</f>
        <v/>
      </c>
      <c r="BD15" s="51" t="str">
        <f>IF(OR(ISERR(BD14/BD13-1),BD14=""),"",IF($A64=parametros!$I$3,BD13/BD14-1,BD14/BD13-1))</f>
        <v/>
      </c>
      <c r="BE15" s="51" t="str">
        <f>IF(OR(ISERR(BE14/BE13-1),BE14=""),"",IF($A64=parametros!$I$3,BE13/BE14-1,BE14/BE13-1))</f>
        <v/>
      </c>
      <c r="BF15" s="51" t="str">
        <f>IF(OR(ISERR(BF14/BF13-1),BF14=""),"",IF($A64=parametros!$I$3,BF13/BF14-1,BF14/BF13-1))</f>
        <v/>
      </c>
      <c r="BG15" s="51" t="str">
        <f>IF(OR(ISERR(BG14/BG13-1),BG14=""),"",IF($A64=parametros!$I$3,BG13/BG14-1,BG14/BG13-1))</f>
        <v/>
      </c>
      <c r="BH15" s="51" t="str">
        <f>IF(OR(ISERR(BH14/BH13-1),BH14=""),"",IF($A64=parametros!$I$3,BH13/BH14-1,BH14/BH13-1))</f>
        <v/>
      </c>
      <c r="BI15" s="51" t="str">
        <f>IF(OR(ISERR(BI14/BI13-1),BI14=""),"",IF($A64=parametros!$I$3,BI13/BI14-1,BI14/BI13-1))</f>
        <v/>
      </c>
      <c r="BJ15" s="51" t="str">
        <f>IF(OR(ISERR(BJ14/BJ13-1),BJ14=""),"",IF($A64=parametros!$I$3,BJ13/BJ14-1,BJ14/BJ13-1))</f>
        <v/>
      </c>
      <c r="BK15" s="51" t="str">
        <f>IF(OR(ISERR(BK14/BK13-1),BK14=""),"",IF($A64=parametros!$I$3,BK13/BK14-1,BK14/BK13-1))</f>
        <v/>
      </c>
      <c r="BM15" s="51" t="str">
        <f>IF(OR(ISERR(BM14/BM13-1),BM14=""),"",IF($A64=parametros!$I$3,BM13/BM14-1,BM14/BM13-1))</f>
        <v/>
      </c>
      <c r="BN15" s="51" t="str">
        <f>IF(OR(ISERR(BN14/BN13-1),BN14=""),"",IF($A64=parametros!$I$3,BN13/BN14-1,BN14/BN13-1))</f>
        <v/>
      </c>
      <c r="BO15" s="51" t="str">
        <f>IF(OR(ISERR(BO14/BO13-1),BO14=""),"",IF($A64=parametros!$I$3,BO13/BO14-1,BO14/BO13-1))</f>
        <v/>
      </c>
      <c r="BP15" s="51" t="str">
        <f>IF(OR(ISERR(BP14/BP13-1),BP14=""),"",IF($A64=parametros!$I$3,BP13/BP14-1,BP14/BP13-1))</f>
        <v/>
      </c>
      <c r="BQ15" s="51" t="str">
        <f>IF(OR(ISERR(BQ14/BQ13-1),BQ14=""),"",IF($A64=parametros!$I$3,BQ13/BQ14-1,BQ14/BQ13-1))</f>
        <v/>
      </c>
      <c r="BR15" s="51" t="str">
        <f>IF(OR(ISERR(BR14/BR13-1),BR14=""),"",IF($A64=parametros!$I$3,BR13/BR14-1,BR14/BR13-1))</f>
        <v/>
      </c>
      <c r="BS15" s="51" t="str">
        <f>IF(OR(ISERR(BS14/BS13-1),BS14=""),"",IF($A64=parametros!$I$3,BS13/BS14-1,BS14/BS13-1))</f>
        <v/>
      </c>
      <c r="BT15" s="51" t="str">
        <f>IF(OR(ISERR(BT14/BT13-1),BT14=""),"",IF($A64=parametros!$I$3,BT13/BT14-1,BT14/BT13-1))</f>
        <v/>
      </c>
      <c r="BU15" s="51" t="str">
        <f>IF(OR(ISERR(BU14/BU13-1),BU14=""),"",IF($A64=parametros!$I$3,BU13/BU14-1,BU14/BU13-1))</f>
        <v/>
      </c>
      <c r="BV15" s="51" t="str">
        <f>IF(OR(ISERR(BV14/BV13-1),BV14=""),"",IF($A64=parametros!$I$3,BV13/BV14-1,BV14/BV13-1))</f>
        <v/>
      </c>
      <c r="BW15" s="51" t="str">
        <f>IF(OR(ISERR(BW14/BW13-1),BW14=""),"",IF($A64=parametros!$I$3,BW13/BW14-1,BW14/BW13-1))</f>
        <v/>
      </c>
      <c r="BX15" s="51" t="str">
        <f>IF(OR(ISERR(BX14/BX13-1),BX14=""),"",IF($A64=parametros!$I$3,BX13/BX14-1,BX14/BX13-1))</f>
        <v/>
      </c>
      <c r="BY15" s="51" t="str">
        <f>IF(OR(ISERR(BY14/BY13-1),BY14=""),"",IF($A64=parametros!$I$3,BY13/BY14-1,BY14/BY13-1))</f>
        <v/>
      </c>
      <c r="BZ15" s="51" t="str">
        <f>IF(OR(ISERR(BZ14/BZ13-1),BZ14=""),"",IF($A64=parametros!$I$3,BZ13/BZ14-1,BZ14/BZ13-1))</f>
        <v/>
      </c>
    </row>
    <row r="16" spans="1:78" ht="4.95" customHeight="1" x14ac:dyDescent="0.4"/>
    <row r="17" spans="1:78" ht="22.05" customHeight="1" thickBot="1" x14ac:dyDescent="0.45">
      <c r="B17" s="104">
        <f>3</f>
        <v>3</v>
      </c>
      <c r="C17" s="33" t="s">
        <v>66</v>
      </c>
      <c r="D17" s="41" t="s">
        <v>44</v>
      </c>
      <c r="E17" s="34" t="s">
        <v>47</v>
      </c>
      <c r="F17" s="34" t="s">
        <v>48</v>
      </c>
      <c r="G17" s="34" t="s">
        <v>49</v>
      </c>
      <c r="H17" s="34" t="s">
        <v>50</v>
      </c>
      <c r="I17" s="34" t="s">
        <v>51</v>
      </c>
      <c r="J17" s="34" t="s">
        <v>52</v>
      </c>
      <c r="K17" s="34" t="s">
        <v>53</v>
      </c>
      <c r="L17" s="34" t="s">
        <v>54</v>
      </c>
      <c r="M17" s="34" t="s">
        <v>55</v>
      </c>
      <c r="N17" s="34" t="s">
        <v>56</v>
      </c>
      <c r="O17" s="34" t="s">
        <v>57</v>
      </c>
      <c r="P17" s="34" t="s">
        <v>58</v>
      </c>
      <c r="Q17" s="34" t="s">
        <v>59</v>
      </c>
      <c r="R17" s="35" t="s">
        <v>60</v>
      </c>
      <c r="T17" s="34" t="s">
        <v>47</v>
      </c>
      <c r="U17" s="34" t="s">
        <v>48</v>
      </c>
      <c r="V17" s="34" t="s">
        <v>49</v>
      </c>
      <c r="W17" s="34" t="s">
        <v>50</v>
      </c>
      <c r="X17" s="34" t="s">
        <v>51</v>
      </c>
      <c r="Y17" s="34" t="s">
        <v>52</v>
      </c>
      <c r="Z17" s="34" t="s">
        <v>53</v>
      </c>
      <c r="AA17" s="34" t="s">
        <v>54</v>
      </c>
      <c r="AB17" s="34" t="s">
        <v>55</v>
      </c>
      <c r="AC17" s="34" t="s">
        <v>56</v>
      </c>
      <c r="AD17" s="34" t="s">
        <v>57</v>
      </c>
      <c r="AE17" s="34" t="s">
        <v>58</v>
      </c>
      <c r="AF17" s="34" t="s">
        <v>59</v>
      </c>
      <c r="AG17" s="35" t="s">
        <v>60</v>
      </c>
      <c r="AI17" s="34" t="s">
        <v>47</v>
      </c>
      <c r="AJ17" s="34" t="s">
        <v>48</v>
      </c>
      <c r="AK17" s="34" t="s">
        <v>49</v>
      </c>
      <c r="AL17" s="34" t="s">
        <v>50</v>
      </c>
      <c r="AM17" s="34" t="s">
        <v>51</v>
      </c>
      <c r="AN17" s="34" t="s">
        <v>52</v>
      </c>
      <c r="AO17" s="34" t="s">
        <v>53</v>
      </c>
      <c r="AP17" s="34" t="s">
        <v>54</v>
      </c>
      <c r="AQ17" s="34" t="s">
        <v>55</v>
      </c>
      <c r="AR17" s="34" t="s">
        <v>56</v>
      </c>
      <c r="AS17" s="34" t="s">
        <v>57</v>
      </c>
      <c r="AT17" s="34" t="s">
        <v>58</v>
      </c>
      <c r="AU17" s="34" t="s">
        <v>59</v>
      </c>
      <c r="AV17" s="35" t="s">
        <v>60</v>
      </c>
      <c r="AX17" s="34" t="s">
        <v>47</v>
      </c>
      <c r="AY17" s="34" t="s">
        <v>48</v>
      </c>
      <c r="AZ17" s="34" t="s">
        <v>49</v>
      </c>
      <c r="BA17" s="34" t="s">
        <v>50</v>
      </c>
      <c r="BB17" s="34" t="s">
        <v>51</v>
      </c>
      <c r="BC17" s="34" t="s">
        <v>52</v>
      </c>
      <c r="BD17" s="34" t="s">
        <v>53</v>
      </c>
      <c r="BE17" s="34" t="s">
        <v>54</v>
      </c>
      <c r="BF17" s="34" t="s">
        <v>55</v>
      </c>
      <c r="BG17" s="34" t="s">
        <v>56</v>
      </c>
      <c r="BH17" s="34" t="s">
        <v>57</v>
      </c>
      <c r="BI17" s="34" t="s">
        <v>58</v>
      </c>
      <c r="BJ17" s="34" t="s">
        <v>59</v>
      </c>
      <c r="BK17" s="35" t="s">
        <v>60</v>
      </c>
      <c r="BM17" s="34" t="s">
        <v>47</v>
      </c>
      <c r="BN17" s="34" t="s">
        <v>48</v>
      </c>
      <c r="BO17" s="34" t="s">
        <v>49</v>
      </c>
      <c r="BP17" s="34" t="s">
        <v>50</v>
      </c>
      <c r="BQ17" s="34" t="s">
        <v>51</v>
      </c>
      <c r="BR17" s="34" t="s">
        <v>52</v>
      </c>
      <c r="BS17" s="34" t="s">
        <v>53</v>
      </c>
      <c r="BT17" s="34" t="s">
        <v>54</v>
      </c>
      <c r="BU17" s="34" t="s">
        <v>55</v>
      </c>
      <c r="BV17" s="34" t="s">
        <v>56</v>
      </c>
      <c r="BW17" s="34" t="s">
        <v>57</v>
      </c>
      <c r="BX17" s="34" t="s">
        <v>58</v>
      </c>
      <c r="BY17" s="34" t="s">
        <v>59</v>
      </c>
      <c r="BZ17" s="35" t="s">
        <v>60</v>
      </c>
    </row>
    <row r="18" spans="1:78" ht="22.05" customHeight="1" thickBot="1" x14ac:dyDescent="0.45">
      <c r="A18" s="104" t="str">
        <f>_xlfn.CONCAT(D18,B17)</f>
        <v>Planejado3</v>
      </c>
      <c r="C18" s="248" t="str">
        <f>C61</f>
        <v xml:space="preserve">: </v>
      </c>
      <c r="D18" s="37" t="s">
        <v>61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5">
        <f>SUMIF(E90:P90,"=1",E18:P18)</f>
        <v>0</v>
      </c>
      <c r="R18" s="46">
        <f>SUM(E18:P18)</f>
        <v>0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4"/>
      <c r="AF18" s="45">
        <f>SUMIF(T90:AE90,"=1",T18:AE18)</f>
        <v>0</v>
      </c>
      <c r="AG18" s="46">
        <f>SUM(T18:AE18)</f>
        <v>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4"/>
      <c r="AU18" s="45">
        <f>SUMIF(AI90:AT90,"=1",AI18:AT18)</f>
        <v>0</v>
      </c>
      <c r="AV18" s="46">
        <f>SUM(AI18:AT18)</f>
        <v>0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4"/>
      <c r="BJ18" s="45">
        <f>SUMIF(AX90:BI90,"=1",AX18:BI18)</f>
        <v>0</v>
      </c>
      <c r="BK18" s="46">
        <f>SUM(AX18:BI18)</f>
        <v>0</v>
      </c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4"/>
      <c r="BY18" s="45">
        <f>SUMIF(BM90:BX90,"=1",BM18:BX18)</f>
        <v>0</v>
      </c>
      <c r="BZ18" s="46">
        <f>SUM(BM18:BX18)</f>
        <v>0</v>
      </c>
    </row>
    <row r="19" spans="1:78" ht="22.05" customHeight="1" thickBot="1" x14ac:dyDescent="0.45">
      <c r="A19" s="104" t="str">
        <f>_xlfn.CONCAT(D19,B17)</f>
        <v>Realizado3</v>
      </c>
      <c r="C19" s="249"/>
      <c r="D19" s="38" t="s">
        <v>62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5">
        <f>SUMIF(E90:P90,"=1",E19:P19)</f>
        <v>0</v>
      </c>
      <c r="R19" s="46">
        <f>SUM(E19:P19)</f>
        <v>0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9"/>
      <c r="AF19" s="45">
        <f>SUMIF(T90:AE90,"=1",T19:AE19)</f>
        <v>0</v>
      </c>
      <c r="AG19" s="46">
        <f>SUM(T19:AE19)</f>
        <v>0</v>
      </c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  <c r="AU19" s="45">
        <f>SUMIF(AI90:AT90,"=1",AI19:AT19)</f>
        <v>0</v>
      </c>
      <c r="AV19" s="46">
        <f>SUM(AI19:AT19)</f>
        <v>0</v>
      </c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9"/>
      <c r="BJ19" s="45">
        <f>SUMIF(AX90:BI90,"=1",AX19:BI19)</f>
        <v>0</v>
      </c>
      <c r="BK19" s="46">
        <f>SUM(AX19:BI19)</f>
        <v>0</v>
      </c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9"/>
      <c r="BY19" s="45">
        <f>SUMIF(BM90:BX90,"=1",BM19:BX19)</f>
        <v>0</v>
      </c>
      <c r="BZ19" s="46">
        <f>SUM(BM19:BX19)</f>
        <v>0</v>
      </c>
    </row>
    <row r="20" spans="1:78" ht="22.05" customHeight="1" thickBot="1" x14ac:dyDescent="0.45">
      <c r="C20" s="249"/>
      <c r="D20" s="36" t="s">
        <v>63</v>
      </c>
      <c r="E20" s="51" t="str">
        <f>IF(OR(ISERR(E19/E18-1),E19=""),"",IF($B69=parametros!$I$3,E18/E19-1,E19/E18-1))</f>
        <v/>
      </c>
      <c r="F20" s="51" t="str">
        <f>IF(OR(ISERR(F19/F18-1),F19=""),"",IF($B69=parametros!$I$3,F18/F19-1,F19/F18-1))</f>
        <v/>
      </c>
      <c r="G20" s="51" t="str">
        <f>IF(OR(ISERR(G19/G18-1),G19=""),"",IF($B69=parametros!$I$3,G18/G19-1,G19/G18-1))</f>
        <v/>
      </c>
      <c r="H20" s="51" t="str">
        <f>IF(OR(ISERR(H19/H18-1),H19=""),"",IF($B69=parametros!$I$3,H18/H19-1,H19/H18-1))</f>
        <v/>
      </c>
      <c r="I20" s="51" t="str">
        <f>IF(OR(ISERR(I19/I18-1),I19=""),"",IF($B69=parametros!$I$3,I18/I19-1,I19/I18-1))</f>
        <v/>
      </c>
      <c r="J20" s="51" t="str">
        <f>IF(OR(ISERR(J19/J18-1),J19=""),"",IF($B69=parametros!$I$3,J18/J19-1,J19/J18-1))</f>
        <v/>
      </c>
      <c r="K20" s="51" t="str">
        <f>IF(OR(ISERR(K19/K18-1),K19=""),"",IF($B69=parametros!$I$3,K18/K19-1,K19/K18-1))</f>
        <v/>
      </c>
      <c r="L20" s="51" t="str">
        <f>IF(OR(ISERR(L19/L18-1),L19=""),"",IF($B69=parametros!$I$3,L18/L19-1,L19/L18-1))</f>
        <v/>
      </c>
      <c r="M20" s="51" t="str">
        <f>IF(OR(ISERR(M19/M18-1),M19=""),"",IF($B69=parametros!$I$3,M18/M19-1,M19/M18-1))</f>
        <v/>
      </c>
      <c r="N20" s="51" t="str">
        <f>IF(OR(ISERR(N19/N18-1),N19=""),"",IF($B69=parametros!$I$3,N18/N19-1,N19/N18-1))</f>
        <v/>
      </c>
      <c r="O20" s="51" t="str">
        <f>IF(OR(ISERR(O19/O18-1),O19=""),"",IF($B69=parametros!$I$3,O18/O19-1,O19/O18-1))</f>
        <v/>
      </c>
      <c r="P20" s="51" t="str">
        <f>IF(OR(ISERR(P19/P18-1),P19=""),"",IF($B69=parametros!$I$3,P18/P19-1,P19/P18-1))</f>
        <v/>
      </c>
      <c r="Q20" s="51" t="str">
        <f>IF(OR(ISERR(Q19/Q18-1),Q19=""),"",IF($B69=parametros!$I$3,Q18/Q19-1,Q19/Q18-1))</f>
        <v/>
      </c>
      <c r="R20" s="51" t="str">
        <f>IF(OR(ISERR(R19/R18-1),R19=""),"",IF($B69=parametros!$I$3,R18/R19-1,R19/R18-1))</f>
        <v/>
      </c>
      <c r="T20" s="51" t="str">
        <f>IF(OR(ISERR(T19/T18-1),T19=""),"",IF($B69=parametros!$I$3,T18/T19-1,T19/T18-1))</f>
        <v/>
      </c>
      <c r="U20" s="51" t="str">
        <f>IF(OR(ISERR(U19/U18-1),U19=""),"",IF($B69=parametros!$I$3,U18/U19-1,U19/U18-1))</f>
        <v/>
      </c>
      <c r="V20" s="51" t="str">
        <f>IF(OR(ISERR(V19/V18-1),V19=""),"",IF($B69=parametros!$I$3,V18/V19-1,V19/V18-1))</f>
        <v/>
      </c>
      <c r="W20" s="51" t="str">
        <f>IF(OR(ISERR(W19/W18-1),W19=""),"",IF($B69=parametros!$I$3,W18/W19-1,W19/W18-1))</f>
        <v/>
      </c>
      <c r="X20" s="51" t="str">
        <f>IF(OR(ISERR(X19/X18-1),X19=""),"",IF($B69=parametros!$I$3,X18/X19-1,X19/X18-1))</f>
        <v/>
      </c>
      <c r="Y20" s="51" t="str">
        <f>IF(OR(ISERR(Y19/Y18-1),Y19=""),"",IF($B69=parametros!$I$3,Y18/Y19-1,Y19/Y18-1))</f>
        <v/>
      </c>
      <c r="Z20" s="51" t="str">
        <f>IF(OR(ISERR(Z19/Z18-1),Z19=""),"",IF($B69=parametros!$I$3,Z18/Z19-1,Z19/Z18-1))</f>
        <v/>
      </c>
      <c r="AA20" s="51" t="str">
        <f>IF(OR(ISERR(AA19/AA18-1),AA19=""),"",IF($B69=parametros!$I$3,AA18/AA19-1,AA19/AA18-1))</f>
        <v/>
      </c>
      <c r="AB20" s="51" t="str">
        <f>IF(OR(ISERR(AB19/AB18-1),AB19=""),"",IF($B69=parametros!$I$3,AB18/AB19-1,AB19/AB18-1))</f>
        <v/>
      </c>
      <c r="AC20" s="51" t="str">
        <f>IF(OR(ISERR(AC19/AC18-1),AC19=""),"",IF($B69=parametros!$I$3,AC18/AC19-1,AC19/AC18-1))</f>
        <v/>
      </c>
      <c r="AD20" s="51" t="str">
        <f>IF(OR(ISERR(AD19/AD18-1),AD19=""),"",IF($B69=parametros!$I$3,AD18/AD19-1,AD19/AD18-1))</f>
        <v/>
      </c>
      <c r="AE20" s="51" t="str">
        <f>IF(OR(ISERR(AE19/AE18-1),AE19=""),"",IF($B69=parametros!$I$3,AE18/AE19-1,AE19/AE18-1))</f>
        <v/>
      </c>
      <c r="AF20" s="51" t="str">
        <f>IF(OR(ISERR(AF19/AF18-1),AF19=""),"",IF($B69=parametros!$I$3,AF18/AF19-1,AF19/AF18-1))</f>
        <v/>
      </c>
      <c r="AG20" s="51" t="str">
        <f>IF(OR(ISERR(AG19/AG18-1),AG19=""),"",IF($B69=parametros!$I$3,AG18/AG19-1,AG19/AG18-1))</f>
        <v/>
      </c>
      <c r="AI20" s="51" t="str">
        <f>IF(OR(ISERR(AI19/AI18-1),AI19=""),"",IF($B69=parametros!$I$3,AI18/AI19-1,AI19/AI18-1))</f>
        <v/>
      </c>
      <c r="AJ20" s="51" t="str">
        <f>IF(OR(ISERR(AJ19/AJ18-1),AJ19=""),"",IF($B69=parametros!$I$3,AJ18/AJ19-1,AJ19/AJ18-1))</f>
        <v/>
      </c>
      <c r="AK20" s="51" t="str">
        <f>IF(OR(ISERR(AK19/AK18-1),AK19=""),"",IF($B69=parametros!$I$3,AK18/AK19-1,AK19/AK18-1))</f>
        <v/>
      </c>
      <c r="AL20" s="51" t="str">
        <f>IF(OR(ISERR(AL19/AL18-1),AL19=""),"",IF($B69=parametros!$I$3,AL18/AL19-1,AL19/AL18-1))</f>
        <v/>
      </c>
      <c r="AM20" s="51" t="str">
        <f>IF(OR(ISERR(AM19/AM18-1),AM19=""),"",IF($B69=parametros!$I$3,AM18/AM19-1,AM19/AM18-1))</f>
        <v/>
      </c>
      <c r="AN20" s="51" t="str">
        <f>IF(OR(ISERR(AN19/AN18-1),AN19=""),"",IF($B69=parametros!$I$3,AN18/AN19-1,AN19/AN18-1))</f>
        <v/>
      </c>
      <c r="AO20" s="51" t="str">
        <f>IF(OR(ISERR(AO19/AO18-1),AO19=""),"",IF($B69=parametros!$I$3,AO18/AO19-1,AO19/AO18-1))</f>
        <v/>
      </c>
      <c r="AP20" s="51" t="str">
        <f>IF(OR(ISERR(AP19/AP18-1),AP19=""),"",IF($B69=parametros!$I$3,AP18/AP19-1,AP19/AP18-1))</f>
        <v/>
      </c>
      <c r="AQ20" s="51" t="str">
        <f>IF(OR(ISERR(AQ19/AQ18-1),AQ19=""),"",IF($B69=parametros!$I$3,AQ18/AQ19-1,AQ19/AQ18-1))</f>
        <v/>
      </c>
      <c r="AR20" s="51" t="str">
        <f>IF(OR(ISERR(AR19/AR18-1),AR19=""),"",IF($B69=parametros!$I$3,AR18/AR19-1,AR19/AR18-1))</f>
        <v/>
      </c>
      <c r="AS20" s="51" t="str">
        <f>IF(OR(ISERR(AS19/AS18-1),AS19=""),"",IF($B69=parametros!$I$3,AS18/AS19-1,AS19/AS18-1))</f>
        <v/>
      </c>
      <c r="AT20" s="51" t="str">
        <f>IF(OR(ISERR(AT19/AT18-1),AT19=""),"",IF($B69=parametros!$I$3,AT18/AT19-1,AT19/AT18-1))</f>
        <v/>
      </c>
      <c r="AU20" s="51" t="str">
        <f>IF(OR(ISERR(AU19/AU18-1),AU19=""),"",IF($B69=parametros!$I$3,AU18/AU19-1,AU19/AU18-1))</f>
        <v/>
      </c>
      <c r="AV20" s="51" t="str">
        <f>IF(OR(ISERR(AV19/AV18-1),AV19=""),"",IF($B69=parametros!$I$3,AV18/AV19-1,AV19/AV18-1))</f>
        <v/>
      </c>
      <c r="AX20" s="51" t="str">
        <f>IF(OR(ISERR(AX19/AX18-1),AX19=""),"",IF($B69=parametros!$I$3,AX18/AX19-1,AX19/AX18-1))</f>
        <v/>
      </c>
      <c r="AY20" s="51" t="str">
        <f>IF(OR(ISERR(AY19/AY18-1),AY19=""),"",IF($B69=parametros!$I$3,AY18/AY19-1,AY19/AY18-1))</f>
        <v/>
      </c>
      <c r="AZ20" s="51" t="str">
        <f>IF(OR(ISERR(AZ19/AZ18-1),AZ19=""),"",IF($B69=parametros!$I$3,AZ18/AZ19-1,AZ19/AZ18-1))</f>
        <v/>
      </c>
      <c r="BA20" s="51" t="str">
        <f>IF(OR(ISERR(BA19/BA18-1),BA19=""),"",IF($B69=parametros!$I$3,BA18/BA19-1,BA19/BA18-1))</f>
        <v/>
      </c>
      <c r="BB20" s="51" t="str">
        <f>IF(OR(ISERR(BB19/BB18-1),BB19=""),"",IF($B69=parametros!$I$3,BB18/BB19-1,BB19/BB18-1))</f>
        <v/>
      </c>
      <c r="BC20" s="51" t="str">
        <f>IF(OR(ISERR(BC19/BC18-1),BC19=""),"",IF($B69=parametros!$I$3,BC18/BC19-1,BC19/BC18-1))</f>
        <v/>
      </c>
      <c r="BD20" s="51" t="str">
        <f>IF(OR(ISERR(BD19/BD18-1),BD19=""),"",IF($B69=parametros!$I$3,BD18/BD19-1,BD19/BD18-1))</f>
        <v/>
      </c>
      <c r="BE20" s="51" t="str">
        <f>IF(OR(ISERR(BE19/BE18-1),BE19=""),"",IF($B69=parametros!$I$3,BE18/BE19-1,BE19/BE18-1))</f>
        <v/>
      </c>
      <c r="BF20" s="51" t="str">
        <f>IF(OR(ISERR(BF19/BF18-1),BF19=""),"",IF($B69=parametros!$I$3,BF18/BF19-1,BF19/BF18-1))</f>
        <v/>
      </c>
      <c r="BG20" s="51" t="str">
        <f>IF(OR(ISERR(BG19/BG18-1),BG19=""),"",IF($B69=parametros!$I$3,BG18/BG19-1,BG19/BG18-1))</f>
        <v/>
      </c>
      <c r="BH20" s="51" t="str">
        <f>IF(OR(ISERR(BH19/BH18-1),BH19=""),"",IF($B69=parametros!$I$3,BH18/BH19-1,BH19/BH18-1))</f>
        <v/>
      </c>
      <c r="BI20" s="51" t="str">
        <f>IF(OR(ISERR(BI19/BI18-1),BI19=""),"",IF($B69=parametros!$I$3,BI18/BI19-1,BI19/BI18-1))</f>
        <v/>
      </c>
      <c r="BJ20" s="51" t="str">
        <f>IF(OR(ISERR(BJ19/BJ18-1),BJ19=""),"",IF($B69=parametros!$I$3,BJ18/BJ19-1,BJ19/BJ18-1))</f>
        <v/>
      </c>
      <c r="BK20" s="51" t="str">
        <f>IF(OR(ISERR(BK19/BK18-1),BK19=""),"",IF($B69=parametros!$I$3,BK18/BK19-1,BK19/BK18-1))</f>
        <v/>
      </c>
      <c r="BM20" s="51" t="str">
        <f>IF(OR(ISERR(BM19/BM18-1),BM19=""),"",IF($B69=parametros!$I$3,BM18/BM19-1,BM19/BM18-1))</f>
        <v/>
      </c>
      <c r="BN20" s="51" t="str">
        <f>IF(OR(ISERR(BN19/BN18-1),BN19=""),"",IF($B69=parametros!$I$3,BN18/BN19-1,BN19/BN18-1))</f>
        <v/>
      </c>
      <c r="BO20" s="51" t="str">
        <f>IF(OR(ISERR(BO19/BO18-1),BO19=""),"",IF($B69=parametros!$I$3,BO18/BO19-1,BO19/BO18-1))</f>
        <v/>
      </c>
      <c r="BP20" s="51" t="str">
        <f>IF(OR(ISERR(BP19/BP18-1),BP19=""),"",IF($B69=parametros!$I$3,BP18/BP19-1,BP19/BP18-1))</f>
        <v/>
      </c>
      <c r="BQ20" s="51" t="str">
        <f>IF(OR(ISERR(BQ19/BQ18-1),BQ19=""),"",IF($B69=parametros!$I$3,BQ18/BQ19-1,BQ19/BQ18-1))</f>
        <v/>
      </c>
      <c r="BR20" s="51" t="str">
        <f>IF(OR(ISERR(BR19/BR18-1),BR19=""),"",IF($B69=parametros!$I$3,BR18/BR19-1,BR19/BR18-1))</f>
        <v/>
      </c>
      <c r="BS20" s="51" t="str">
        <f>IF(OR(ISERR(BS19/BS18-1),BS19=""),"",IF($B69=parametros!$I$3,BS18/BS19-1,BS19/BS18-1))</f>
        <v/>
      </c>
      <c r="BT20" s="51" t="str">
        <f>IF(OR(ISERR(BT19/BT18-1),BT19=""),"",IF($B69=parametros!$I$3,BT18/BT19-1,BT19/BT18-1))</f>
        <v/>
      </c>
      <c r="BU20" s="51" t="str">
        <f>IF(OR(ISERR(BU19/BU18-1),BU19=""),"",IF($B69=parametros!$I$3,BU18/BU19-1,BU19/BU18-1))</f>
        <v/>
      </c>
      <c r="BV20" s="51" t="str">
        <f>IF(OR(ISERR(BV19/BV18-1),BV19=""),"",IF($B69=parametros!$I$3,BV18/BV19-1,BV19/BV18-1))</f>
        <v/>
      </c>
      <c r="BW20" s="51" t="str">
        <f>IF(OR(ISERR(BW19/BW18-1),BW19=""),"",IF($B69=parametros!$I$3,BW18/BW19-1,BW19/BW18-1))</f>
        <v/>
      </c>
      <c r="BX20" s="51" t="str">
        <f>IF(OR(ISERR(BX19/BX18-1),BX19=""),"",IF($B69=parametros!$I$3,BX18/BX19-1,BX19/BX18-1))</f>
        <v/>
      </c>
      <c r="BY20" s="51" t="str">
        <f>IF(OR(ISERR(BY19/BY18-1),BY19=""),"",IF($B69=parametros!$I$3,BY18/BY19-1,BY19/BY18-1))</f>
        <v/>
      </c>
      <c r="BZ20" s="51" t="str">
        <f>IF(OR(ISERR(BZ19/BZ18-1),BZ19=""),"",IF($B69=parametros!$I$3,BZ18/BZ19-1,BZ19/BZ18-1))</f>
        <v/>
      </c>
    </row>
    <row r="21" spans="1:78" ht="4.95" customHeight="1" x14ac:dyDescent="0.4"/>
    <row r="22" spans="1:78" ht="22.05" customHeight="1" thickBot="1" x14ac:dyDescent="0.45">
      <c r="B22" s="104">
        <f>4</f>
        <v>4</v>
      </c>
      <c r="C22" s="33" t="s">
        <v>67</v>
      </c>
      <c r="D22" s="41" t="s">
        <v>44</v>
      </c>
      <c r="E22" s="34" t="s">
        <v>47</v>
      </c>
      <c r="F22" s="34" t="s">
        <v>48</v>
      </c>
      <c r="G22" s="34" t="s">
        <v>49</v>
      </c>
      <c r="H22" s="34" t="s">
        <v>50</v>
      </c>
      <c r="I22" s="34" t="s">
        <v>51</v>
      </c>
      <c r="J22" s="34" t="s">
        <v>52</v>
      </c>
      <c r="K22" s="34" t="s">
        <v>53</v>
      </c>
      <c r="L22" s="34" t="s">
        <v>54</v>
      </c>
      <c r="M22" s="34" t="s">
        <v>55</v>
      </c>
      <c r="N22" s="34" t="s">
        <v>56</v>
      </c>
      <c r="O22" s="34" t="s">
        <v>57</v>
      </c>
      <c r="P22" s="34" t="s">
        <v>58</v>
      </c>
      <c r="Q22" s="34" t="s">
        <v>59</v>
      </c>
      <c r="R22" s="35" t="s">
        <v>60</v>
      </c>
      <c r="T22" s="34" t="s">
        <v>47</v>
      </c>
      <c r="U22" s="34" t="s">
        <v>48</v>
      </c>
      <c r="V22" s="34" t="s">
        <v>49</v>
      </c>
      <c r="W22" s="34" t="s">
        <v>50</v>
      </c>
      <c r="X22" s="34" t="s">
        <v>51</v>
      </c>
      <c r="Y22" s="34" t="s">
        <v>52</v>
      </c>
      <c r="Z22" s="34" t="s">
        <v>53</v>
      </c>
      <c r="AA22" s="34" t="s">
        <v>54</v>
      </c>
      <c r="AB22" s="34" t="s">
        <v>55</v>
      </c>
      <c r="AC22" s="34" t="s">
        <v>56</v>
      </c>
      <c r="AD22" s="34" t="s">
        <v>57</v>
      </c>
      <c r="AE22" s="34" t="s">
        <v>58</v>
      </c>
      <c r="AF22" s="34" t="s">
        <v>59</v>
      </c>
      <c r="AG22" s="35" t="s">
        <v>60</v>
      </c>
      <c r="AI22" s="34" t="s">
        <v>47</v>
      </c>
      <c r="AJ22" s="34" t="s">
        <v>48</v>
      </c>
      <c r="AK22" s="34" t="s">
        <v>49</v>
      </c>
      <c r="AL22" s="34" t="s">
        <v>50</v>
      </c>
      <c r="AM22" s="34" t="s">
        <v>51</v>
      </c>
      <c r="AN22" s="34" t="s">
        <v>52</v>
      </c>
      <c r="AO22" s="34" t="s">
        <v>53</v>
      </c>
      <c r="AP22" s="34" t="s">
        <v>54</v>
      </c>
      <c r="AQ22" s="34" t="s">
        <v>55</v>
      </c>
      <c r="AR22" s="34" t="s">
        <v>56</v>
      </c>
      <c r="AS22" s="34" t="s">
        <v>57</v>
      </c>
      <c r="AT22" s="34" t="s">
        <v>58</v>
      </c>
      <c r="AU22" s="34" t="s">
        <v>59</v>
      </c>
      <c r="AV22" s="35" t="s">
        <v>60</v>
      </c>
      <c r="AX22" s="34" t="s">
        <v>47</v>
      </c>
      <c r="AY22" s="34" t="s">
        <v>48</v>
      </c>
      <c r="AZ22" s="34" t="s">
        <v>49</v>
      </c>
      <c r="BA22" s="34" t="s">
        <v>50</v>
      </c>
      <c r="BB22" s="34" t="s">
        <v>51</v>
      </c>
      <c r="BC22" s="34" t="s">
        <v>52</v>
      </c>
      <c r="BD22" s="34" t="s">
        <v>53</v>
      </c>
      <c r="BE22" s="34" t="s">
        <v>54</v>
      </c>
      <c r="BF22" s="34" t="s">
        <v>55</v>
      </c>
      <c r="BG22" s="34" t="s">
        <v>56</v>
      </c>
      <c r="BH22" s="34" t="s">
        <v>57</v>
      </c>
      <c r="BI22" s="34" t="s">
        <v>58</v>
      </c>
      <c r="BJ22" s="34" t="s">
        <v>59</v>
      </c>
      <c r="BK22" s="35" t="s">
        <v>60</v>
      </c>
      <c r="BM22" s="34" t="s">
        <v>47</v>
      </c>
      <c r="BN22" s="34" t="s">
        <v>48</v>
      </c>
      <c r="BO22" s="34" t="s">
        <v>49</v>
      </c>
      <c r="BP22" s="34" t="s">
        <v>50</v>
      </c>
      <c r="BQ22" s="34" t="s">
        <v>51</v>
      </c>
      <c r="BR22" s="34" t="s">
        <v>52</v>
      </c>
      <c r="BS22" s="34" t="s">
        <v>53</v>
      </c>
      <c r="BT22" s="34" t="s">
        <v>54</v>
      </c>
      <c r="BU22" s="34" t="s">
        <v>55</v>
      </c>
      <c r="BV22" s="34" t="s">
        <v>56</v>
      </c>
      <c r="BW22" s="34" t="s">
        <v>57</v>
      </c>
      <c r="BX22" s="34" t="s">
        <v>58</v>
      </c>
      <c r="BY22" s="34" t="s">
        <v>59</v>
      </c>
      <c r="BZ22" s="35" t="s">
        <v>60</v>
      </c>
    </row>
    <row r="23" spans="1:78" ht="22.05" customHeight="1" thickBot="1" x14ac:dyDescent="0.45">
      <c r="A23" s="104" t="str">
        <f>_xlfn.CONCAT(D23,B22)</f>
        <v>Planejado4</v>
      </c>
      <c r="C23" s="248" t="str">
        <f>C62</f>
        <v xml:space="preserve">: </v>
      </c>
      <c r="D23" s="37" t="s">
        <v>61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  <c r="Q23" s="45">
        <f>SUMIF(E92:P92,"=1",E23:P23)</f>
        <v>0</v>
      </c>
      <c r="R23" s="46">
        <f>SUM(E23:P23)</f>
        <v>0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4"/>
      <c r="AF23" s="45">
        <f>SUMIF(T92:AE92,"=1",T23:AE23)</f>
        <v>0</v>
      </c>
      <c r="AG23" s="46">
        <f>SUM(T23:AE23)</f>
        <v>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4"/>
      <c r="AU23" s="45">
        <f>SUMIF(AI92:AT92,"=1",AI23:AT23)</f>
        <v>0</v>
      </c>
      <c r="AV23" s="46">
        <f>SUM(AI23:AT23)</f>
        <v>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4"/>
      <c r="BJ23" s="45">
        <f>SUMIF(AX92:BI92,"=1",AX23:BI23)</f>
        <v>0</v>
      </c>
      <c r="BK23" s="46">
        <f>SUM(AX23:BI23)</f>
        <v>0</v>
      </c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4"/>
      <c r="BY23" s="45">
        <f>SUMIF(BM92:BX92,"=1",BM23:BX23)</f>
        <v>0</v>
      </c>
      <c r="BZ23" s="46">
        <f>SUM(BM23:BX23)</f>
        <v>0</v>
      </c>
    </row>
    <row r="24" spans="1:78" ht="22.05" customHeight="1" thickBot="1" x14ac:dyDescent="0.45">
      <c r="A24" s="104" t="str">
        <f>_xlfn.CONCAT(D24,B22)</f>
        <v>Realizado4</v>
      </c>
      <c r="C24" s="249"/>
      <c r="D24" s="38" t="s">
        <v>62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5">
        <f>SUMIF(E92:P92,"=1",E24:P24)</f>
        <v>0</v>
      </c>
      <c r="R24" s="46">
        <f>SUM(E24:P24)</f>
        <v>0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9"/>
      <c r="AF24" s="45">
        <f>SUMIF(T92:AE92,"=1",T24:AE24)</f>
        <v>0</v>
      </c>
      <c r="AG24" s="46">
        <f>SUM(T24:AE24)</f>
        <v>0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  <c r="AU24" s="45">
        <f>SUMIF(AI92:AT92,"=1",AI24:AT24)</f>
        <v>0</v>
      </c>
      <c r="AV24" s="46">
        <f>SUM(AI24:AT24)</f>
        <v>0</v>
      </c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9"/>
      <c r="BJ24" s="45">
        <f>SUMIF(AX92:BI92,"=1",AX24:BI24)</f>
        <v>0</v>
      </c>
      <c r="BK24" s="46">
        <f>SUM(AX24:BI24)</f>
        <v>0</v>
      </c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9"/>
      <c r="BY24" s="45">
        <f>SUMIF(BM92:BX92,"=1",BM24:BX24)</f>
        <v>0</v>
      </c>
      <c r="BZ24" s="46">
        <f>SUM(BM24:BX24)</f>
        <v>0</v>
      </c>
    </row>
    <row r="25" spans="1:78" ht="22.05" customHeight="1" thickBot="1" x14ac:dyDescent="0.45">
      <c r="C25" s="249"/>
      <c r="D25" s="36" t="s">
        <v>63</v>
      </c>
      <c r="E25" s="51" t="str">
        <f>IF(OR(ISERR(E24/E23-1),E24=""),"",IF($B74=parametros!$I$3,E23/E24-1,E24/E23-1))</f>
        <v/>
      </c>
      <c r="F25" s="51" t="str">
        <f>IF(OR(ISERR(F24/F23-1),F24=""),"",IF($B74=parametros!$I$3,F23/F24-1,F24/F23-1))</f>
        <v/>
      </c>
      <c r="G25" s="51" t="str">
        <f>IF(OR(ISERR(G24/G23-1),G24=""),"",IF($B74=parametros!$I$3,G23/G24-1,G24/G23-1))</f>
        <v/>
      </c>
      <c r="H25" s="51" t="str">
        <f>IF(OR(ISERR(H24/H23-1),H24=""),"",IF($B74=parametros!$I$3,H23/H24-1,H24/H23-1))</f>
        <v/>
      </c>
      <c r="I25" s="51" t="str">
        <f>IF(OR(ISERR(I24/I23-1),I24=""),"",IF($B74=parametros!$I$3,I23/I24-1,I24/I23-1))</f>
        <v/>
      </c>
      <c r="J25" s="51" t="str">
        <f>IF(OR(ISERR(J24/J23-1),J24=""),"",IF($B74=parametros!$I$3,J23/J24-1,J24/J23-1))</f>
        <v/>
      </c>
      <c r="K25" s="51" t="str">
        <f>IF(OR(ISERR(K24/K23-1),K24=""),"",IF($B74=parametros!$I$3,K23/K24-1,K24/K23-1))</f>
        <v/>
      </c>
      <c r="L25" s="51" t="str">
        <f>IF(OR(ISERR(L24/L23-1),L24=""),"",IF($B74=parametros!$I$3,L23/L24-1,L24/L23-1))</f>
        <v/>
      </c>
      <c r="M25" s="51" t="str">
        <f>IF(OR(ISERR(M24/M23-1),M24=""),"",IF($B74=parametros!$I$3,M23/M24-1,M24/M23-1))</f>
        <v/>
      </c>
      <c r="N25" s="51" t="str">
        <f>IF(OR(ISERR(N24/N23-1),N24=""),"",IF($B74=parametros!$I$3,N23/N24-1,N24/N23-1))</f>
        <v/>
      </c>
      <c r="O25" s="51" t="str">
        <f>IF(OR(ISERR(O24/O23-1),O24=""),"",IF($B74=parametros!$I$3,O23/O24-1,O24/O23-1))</f>
        <v/>
      </c>
      <c r="P25" s="51" t="str">
        <f>IF(OR(ISERR(P24/P23-1),P24=""),"",IF($B74=parametros!$I$3,P23/P24-1,P24/P23-1))</f>
        <v/>
      </c>
      <c r="Q25" s="51" t="str">
        <f>IF(OR(ISERR(Q24/Q23-1),Q24=""),"",IF($B74=parametros!$I$3,Q23/Q24-1,Q24/Q23-1))</f>
        <v/>
      </c>
      <c r="R25" s="51" t="str">
        <f>IF(OR(ISERR(R24/R23-1),R24=""),"",IF($B74=parametros!$I$3,R23/R24-1,R24/R23-1))</f>
        <v/>
      </c>
      <c r="T25" s="51" t="str">
        <f>IF(OR(ISERR(T24/T23-1),T24=""),"",IF($B74=parametros!$I$3,T23/T24-1,T24/T23-1))</f>
        <v/>
      </c>
      <c r="U25" s="51" t="str">
        <f>IF(OR(ISERR(U24/U23-1),U24=""),"",IF($B74=parametros!$I$3,U23/U24-1,U24/U23-1))</f>
        <v/>
      </c>
      <c r="V25" s="51" t="str">
        <f>IF(OR(ISERR(V24/V23-1),V24=""),"",IF($B74=parametros!$I$3,V23/V24-1,V24/V23-1))</f>
        <v/>
      </c>
      <c r="W25" s="51" t="str">
        <f>IF(OR(ISERR(W24/W23-1),W24=""),"",IF($B74=parametros!$I$3,W23/W24-1,W24/W23-1))</f>
        <v/>
      </c>
      <c r="X25" s="51" t="str">
        <f>IF(OR(ISERR(X24/X23-1),X24=""),"",IF($B74=parametros!$I$3,X23/X24-1,X24/X23-1))</f>
        <v/>
      </c>
      <c r="Y25" s="51" t="str">
        <f>IF(OR(ISERR(Y24/Y23-1),Y24=""),"",IF($B74=parametros!$I$3,Y23/Y24-1,Y24/Y23-1))</f>
        <v/>
      </c>
      <c r="Z25" s="51" t="str">
        <f>IF(OR(ISERR(Z24/Z23-1),Z24=""),"",IF($B74=parametros!$I$3,Z23/Z24-1,Z24/Z23-1))</f>
        <v/>
      </c>
      <c r="AA25" s="51" t="str">
        <f>IF(OR(ISERR(AA24/AA23-1),AA24=""),"",IF($B74=parametros!$I$3,AA23/AA24-1,AA24/AA23-1))</f>
        <v/>
      </c>
      <c r="AB25" s="51" t="str">
        <f>IF(OR(ISERR(AB24/AB23-1),AB24=""),"",IF($B74=parametros!$I$3,AB23/AB24-1,AB24/AB23-1))</f>
        <v/>
      </c>
      <c r="AC25" s="51" t="str">
        <f>IF(OR(ISERR(AC24/AC23-1),AC24=""),"",IF($B74=parametros!$I$3,AC23/AC24-1,AC24/AC23-1))</f>
        <v/>
      </c>
      <c r="AD25" s="51" t="str">
        <f>IF(OR(ISERR(AD24/AD23-1),AD24=""),"",IF($B74=parametros!$I$3,AD23/AD24-1,AD24/AD23-1))</f>
        <v/>
      </c>
      <c r="AE25" s="51" t="str">
        <f>IF(OR(ISERR(AE24/AE23-1),AE24=""),"",IF($B74=parametros!$I$3,AE23/AE24-1,AE24/AE23-1))</f>
        <v/>
      </c>
      <c r="AF25" s="51" t="str">
        <f>IF(OR(ISERR(AF24/AF23-1),AF24=""),"",IF($B74=parametros!$I$3,AF23/AF24-1,AF24/AF23-1))</f>
        <v/>
      </c>
      <c r="AG25" s="51" t="str">
        <f>IF(OR(ISERR(AG24/AG23-1),AG24=""),"",IF($B74=parametros!$I$3,AG23/AG24-1,AG24/AG23-1))</f>
        <v/>
      </c>
      <c r="AI25" s="51" t="str">
        <f>IF(OR(ISERR(AI24/AI23-1),AI24=""),"",IF($B74=parametros!$I$3,AI23/AI24-1,AI24/AI23-1))</f>
        <v/>
      </c>
      <c r="AJ25" s="51" t="str">
        <f>IF(OR(ISERR(AJ24/AJ23-1),AJ24=""),"",IF($B74=parametros!$I$3,AJ23/AJ24-1,AJ24/AJ23-1))</f>
        <v/>
      </c>
      <c r="AK25" s="51" t="str">
        <f>IF(OR(ISERR(AK24/AK23-1),AK24=""),"",IF($B74=parametros!$I$3,AK23/AK24-1,AK24/AK23-1))</f>
        <v/>
      </c>
      <c r="AL25" s="51" t="str">
        <f>IF(OR(ISERR(AL24/AL23-1),AL24=""),"",IF($B74=parametros!$I$3,AL23/AL24-1,AL24/AL23-1))</f>
        <v/>
      </c>
      <c r="AM25" s="51" t="str">
        <f>IF(OR(ISERR(AM24/AM23-1),AM24=""),"",IF($B74=parametros!$I$3,AM23/AM24-1,AM24/AM23-1))</f>
        <v/>
      </c>
      <c r="AN25" s="51" t="str">
        <f>IF(OR(ISERR(AN24/AN23-1),AN24=""),"",IF($B74=parametros!$I$3,AN23/AN24-1,AN24/AN23-1))</f>
        <v/>
      </c>
      <c r="AO25" s="51" t="str">
        <f>IF(OR(ISERR(AO24/AO23-1),AO24=""),"",IF($B74=parametros!$I$3,AO23/AO24-1,AO24/AO23-1))</f>
        <v/>
      </c>
      <c r="AP25" s="51" t="str">
        <f>IF(OR(ISERR(AP24/AP23-1),AP24=""),"",IF($B74=parametros!$I$3,AP23/AP24-1,AP24/AP23-1))</f>
        <v/>
      </c>
      <c r="AQ25" s="51" t="str">
        <f>IF(OR(ISERR(AQ24/AQ23-1),AQ24=""),"",IF($B74=parametros!$I$3,AQ23/AQ24-1,AQ24/AQ23-1))</f>
        <v/>
      </c>
      <c r="AR25" s="51" t="str">
        <f>IF(OR(ISERR(AR24/AR23-1),AR24=""),"",IF($B74=parametros!$I$3,AR23/AR24-1,AR24/AR23-1))</f>
        <v/>
      </c>
      <c r="AS25" s="51" t="str">
        <f>IF(OR(ISERR(AS24/AS23-1),AS24=""),"",IF($B74=parametros!$I$3,AS23/AS24-1,AS24/AS23-1))</f>
        <v/>
      </c>
      <c r="AT25" s="51" t="str">
        <f>IF(OR(ISERR(AT24/AT23-1),AT24=""),"",IF($B74=parametros!$I$3,AT23/AT24-1,AT24/AT23-1))</f>
        <v/>
      </c>
      <c r="AU25" s="51" t="str">
        <f>IF(OR(ISERR(AU24/AU23-1),AU24=""),"",IF($B74=parametros!$I$3,AU23/AU24-1,AU24/AU23-1))</f>
        <v/>
      </c>
      <c r="AV25" s="51" t="str">
        <f>IF(OR(ISERR(AV24/AV23-1),AV24=""),"",IF($B74=parametros!$I$3,AV23/AV24-1,AV24/AV23-1))</f>
        <v/>
      </c>
      <c r="AX25" s="51" t="str">
        <f>IF(OR(ISERR(AX24/AX23-1),AX24=""),"",IF($B74=parametros!$I$3,AX23/AX24-1,AX24/AX23-1))</f>
        <v/>
      </c>
      <c r="AY25" s="51" t="str">
        <f>IF(OR(ISERR(AY24/AY23-1),AY24=""),"",IF($B74=parametros!$I$3,AY23/AY24-1,AY24/AY23-1))</f>
        <v/>
      </c>
      <c r="AZ25" s="51" t="str">
        <f>IF(OR(ISERR(AZ24/AZ23-1),AZ24=""),"",IF($B74=parametros!$I$3,AZ23/AZ24-1,AZ24/AZ23-1))</f>
        <v/>
      </c>
      <c r="BA25" s="51" t="str">
        <f>IF(OR(ISERR(BA24/BA23-1),BA24=""),"",IF($B74=parametros!$I$3,BA23/BA24-1,BA24/BA23-1))</f>
        <v/>
      </c>
      <c r="BB25" s="51" t="str">
        <f>IF(OR(ISERR(BB24/BB23-1),BB24=""),"",IF($B74=parametros!$I$3,BB23/BB24-1,BB24/BB23-1))</f>
        <v/>
      </c>
      <c r="BC25" s="51" t="str">
        <f>IF(OR(ISERR(BC24/BC23-1),BC24=""),"",IF($B74=parametros!$I$3,BC23/BC24-1,BC24/BC23-1))</f>
        <v/>
      </c>
      <c r="BD25" s="51" t="str">
        <f>IF(OR(ISERR(BD24/BD23-1),BD24=""),"",IF($B74=parametros!$I$3,BD23/BD24-1,BD24/BD23-1))</f>
        <v/>
      </c>
      <c r="BE25" s="51" t="str">
        <f>IF(OR(ISERR(BE24/BE23-1),BE24=""),"",IF($B74=parametros!$I$3,BE23/BE24-1,BE24/BE23-1))</f>
        <v/>
      </c>
      <c r="BF25" s="51" t="str">
        <f>IF(OR(ISERR(BF24/BF23-1),BF24=""),"",IF($B74=parametros!$I$3,BF23/BF24-1,BF24/BF23-1))</f>
        <v/>
      </c>
      <c r="BG25" s="51" t="str">
        <f>IF(OR(ISERR(BG24/BG23-1),BG24=""),"",IF($B74=parametros!$I$3,BG23/BG24-1,BG24/BG23-1))</f>
        <v/>
      </c>
      <c r="BH25" s="51" t="str">
        <f>IF(OR(ISERR(BH24/BH23-1),BH24=""),"",IF($B74=parametros!$I$3,BH23/BH24-1,BH24/BH23-1))</f>
        <v/>
      </c>
      <c r="BI25" s="51" t="str">
        <f>IF(OR(ISERR(BI24/BI23-1),BI24=""),"",IF($B74=parametros!$I$3,BI23/BI24-1,BI24/BI23-1))</f>
        <v/>
      </c>
      <c r="BJ25" s="51" t="str">
        <f>IF(OR(ISERR(BJ24/BJ23-1),BJ24=""),"",IF($B74=parametros!$I$3,BJ23/BJ24-1,BJ24/BJ23-1))</f>
        <v/>
      </c>
      <c r="BK25" s="51" t="str">
        <f>IF(OR(ISERR(BK24/BK23-1),BK24=""),"",IF($B74=parametros!$I$3,BK23/BK24-1,BK24/BK23-1))</f>
        <v/>
      </c>
      <c r="BM25" s="51" t="str">
        <f>IF(OR(ISERR(BM24/BM23-1),BM24=""),"",IF($B74=parametros!$I$3,BM23/BM24-1,BM24/BM23-1))</f>
        <v/>
      </c>
      <c r="BN25" s="51" t="str">
        <f>IF(OR(ISERR(BN24/BN23-1),BN24=""),"",IF($B74=parametros!$I$3,BN23/BN24-1,BN24/BN23-1))</f>
        <v/>
      </c>
      <c r="BO25" s="51" t="str">
        <f>IF(OR(ISERR(BO24/BO23-1),BO24=""),"",IF($B74=parametros!$I$3,BO23/BO24-1,BO24/BO23-1))</f>
        <v/>
      </c>
      <c r="BP25" s="51" t="str">
        <f>IF(OR(ISERR(BP24/BP23-1),BP24=""),"",IF($B74=parametros!$I$3,BP23/BP24-1,BP24/BP23-1))</f>
        <v/>
      </c>
      <c r="BQ25" s="51" t="str">
        <f>IF(OR(ISERR(BQ24/BQ23-1),BQ24=""),"",IF($B74=parametros!$I$3,BQ23/BQ24-1,BQ24/BQ23-1))</f>
        <v/>
      </c>
      <c r="BR25" s="51" t="str">
        <f>IF(OR(ISERR(BR24/BR23-1),BR24=""),"",IF($B74=parametros!$I$3,BR23/BR24-1,BR24/BR23-1))</f>
        <v/>
      </c>
      <c r="BS25" s="51" t="str">
        <f>IF(OR(ISERR(BS24/BS23-1),BS24=""),"",IF($B74=parametros!$I$3,BS23/BS24-1,BS24/BS23-1))</f>
        <v/>
      </c>
      <c r="BT25" s="51" t="str">
        <f>IF(OR(ISERR(BT24/BT23-1),BT24=""),"",IF($B74=parametros!$I$3,BT23/BT24-1,BT24/BT23-1))</f>
        <v/>
      </c>
      <c r="BU25" s="51" t="str">
        <f>IF(OR(ISERR(BU24/BU23-1),BU24=""),"",IF($B74=parametros!$I$3,BU23/BU24-1,BU24/BU23-1))</f>
        <v/>
      </c>
      <c r="BV25" s="51" t="str">
        <f>IF(OR(ISERR(BV24/BV23-1),BV24=""),"",IF($B74=parametros!$I$3,BV23/BV24-1,BV24/BV23-1))</f>
        <v/>
      </c>
      <c r="BW25" s="51" t="str">
        <f>IF(OR(ISERR(BW24/BW23-1),BW24=""),"",IF($B74=parametros!$I$3,BW23/BW24-1,BW24/BW23-1))</f>
        <v/>
      </c>
      <c r="BX25" s="51" t="str">
        <f>IF(OR(ISERR(BX24/BX23-1),BX24=""),"",IF($B74=parametros!$I$3,BX23/BX24-1,BX24/BX23-1))</f>
        <v/>
      </c>
      <c r="BY25" s="51" t="str">
        <f>IF(OR(ISERR(BY24/BY23-1),BY24=""),"",IF($B74=parametros!$I$3,BY23/BY24-1,BY24/BY23-1))</f>
        <v/>
      </c>
      <c r="BZ25" s="51" t="str">
        <f>IF(OR(ISERR(BZ24/BZ23-1),BZ24=""),"",IF($B74=parametros!$I$3,BZ23/BZ24-1,BZ24/BZ23-1))</f>
        <v/>
      </c>
    </row>
    <row r="26" spans="1:78" ht="4.95" customHeight="1" x14ac:dyDescent="0.4"/>
    <row r="27" spans="1:78" ht="22.05" customHeight="1" thickBot="1" x14ac:dyDescent="0.45">
      <c r="B27" s="104">
        <f>5</f>
        <v>5</v>
      </c>
      <c r="C27" s="33" t="s">
        <v>68</v>
      </c>
      <c r="D27" s="41" t="s">
        <v>44</v>
      </c>
      <c r="E27" s="34" t="s">
        <v>47</v>
      </c>
      <c r="F27" s="34" t="s">
        <v>48</v>
      </c>
      <c r="G27" s="34" t="s">
        <v>49</v>
      </c>
      <c r="H27" s="34" t="s">
        <v>50</v>
      </c>
      <c r="I27" s="34" t="s">
        <v>51</v>
      </c>
      <c r="J27" s="34" t="s">
        <v>52</v>
      </c>
      <c r="K27" s="34" t="s">
        <v>53</v>
      </c>
      <c r="L27" s="34" t="s">
        <v>54</v>
      </c>
      <c r="M27" s="34" t="s">
        <v>55</v>
      </c>
      <c r="N27" s="34" t="s">
        <v>56</v>
      </c>
      <c r="O27" s="34" t="s">
        <v>57</v>
      </c>
      <c r="P27" s="34" t="s">
        <v>58</v>
      </c>
      <c r="Q27" s="34" t="s">
        <v>59</v>
      </c>
      <c r="R27" s="35" t="s">
        <v>60</v>
      </c>
      <c r="T27" s="34" t="s">
        <v>47</v>
      </c>
      <c r="U27" s="34" t="s">
        <v>48</v>
      </c>
      <c r="V27" s="34" t="s">
        <v>49</v>
      </c>
      <c r="W27" s="34" t="s">
        <v>50</v>
      </c>
      <c r="X27" s="34" t="s">
        <v>51</v>
      </c>
      <c r="Y27" s="34" t="s">
        <v>52</v>
      </c>
      <c r="Z27" s="34" t="s">
        <v>53</v>
      </c>
      <c r="AA27" s="34" t="s">
        <v>54</v>
      </c>
      <c r="AB27" s="34" t="s">
        <v>55</v>
      </c>
      <c r="AC27" s="34" t="s">
        <v>56</v>
      </c>
      <c r="AD27" s="34" t="s">
        <v>57</v>
      </c>
      <c r="AE27" s="34" t="s">
        <v>58</v>
      </c>
      <c r="AF27" s="34" t="s">
        <v>59</v>
      </c>
      <c r="AG27" s="35" t="s">
        <v>60</v>
      </c>
      <c r="AI27" s="34" t="s">
        <v>47</v>
      </c>
      <c r="AJ27" s="34" t="s">
        <v>48</v>
      </c>
      <c r="AK27" s="34" t="s">
        <v>49</v>
      </c>
      <c r="AL27" s="34" t="s">
        <v>50</v>
      </c>
      <c r="AM27" s="34" t="s">
        <v>51</v>
      </c>
      <c r="AN27" s="34" t="s">
        <v>52</v>
      </c>
      <c r="AO27" s="34" t="s">
        <v>53</v>
      </c>
      <c r="AP27" s="34" t="s">
        <v>54</v>
      </c>
      <c r="AQ27" s="34" t="s">
        <v>55</v>
      </c>
      <c r="AR27" s="34" t="s">
        <v>56</v>
      </c>
      <c r="AS27" s="34" t="s">
        <v>57</v>
      </c>
      <c r="AT27" s="34" t="s">
        <v>58</v>
      </c>
      <c r="AU27" s="34" t="s">
        <v>59</v>
      </c>
      <c r="AV27" s="35" t="s">
        <v>60</v>
      </c>
      <c r="AX27" s="34" t="s">
        <v>47</v>
      </c>
      <c r="AY27" s="34" t="s">
        <v>48</v>
      </c>
      <c r="AZ27" s="34" t="s">
        <v>49</v>
      </c>
      <c r="BA27" s="34" t="s">
        <v>50</v>
      </c>
      <c r="BB27" s="34" t="s">
        <v>51</v>
      </c>
      <c r="BC27" s="34" t="s">
        <v>52</v>
      </c>
      <c r="BD27" s="34" t="s">
        <v>53</v>
      </c>
      <c r="BE27" s="34" t="s">
        <v>54</v>
      </c>
      <c r="BF27" s="34" t="s">
        <v>55</v>
      </c>
      <c r="BG27" s="34" t="s">
        <v>56</v>
      </c>
      <c r="BH27" s="34" t="s">
        <v>57</v>
      </c>
      <c r="BI27" s="34" t="s">
        <v>58</v>
      </c>
      <c r="BJ27" s="34" t="s">
        <v>59</v>
      </c>
      <c r="BK27" s="35" t="s">
        <v>60</v>
      </c>
      <c r="BM27" s="34" t="s">
        <v>47</v>
      </c>
      <c r="BN27" s="34" t="s">
        <v>48</v>
      </c>
      <c r="BO27" s="34" t="s">
        <v>49</v>
      </c>
      <c r="BP27" s="34" t="s">
        <v>50</v>
      </c>
      <c r="BQ27" s="34" t="s">
        <v>51</v>
      </c>
      <c r="BR27" s="34" t="s">
        <v>52</v>
      </c>
      <c r="BS27" s="34" t="s">
        <v>53</v>
      </c>
      <c r="BT27" s="34" t="s">
        <v>54</v>
      </c>
      <c r="BU27" s="34" t="s">
        <v>55</v>
      </c>
      <c r="BV27" s="34" t="s">
        <v>56</v>
      </c>
      <c r="BW27" s="34" t="s">
        <v>57</v>
      </c>
      <c r="BX27" s="34" t="s">
        <v>58</v>
      </c>
      <c r="BY27" s="34" t="s">
        <v>59</v>
      </c>
      <c r="BZ27" s="35" t="s">
        <v>60</v>
      </c>
    </row>
    <row r="28" spans="1:78" ht="22.05" customHeight="1" thickBot="1" x14ac:dyDescent="0.45">
      <c r="A28" s="104" t="str">
        <f>_xlfn.CONCAT(D28,B27)</f>
        <v>Planejado5</v>
      </c>
      <c r="C28" s="248" t="str">
        <f>C63</f>
        <v xml:space="preserve">: </v>
      </c>
      <c r="D28" s="37" t="s">
        <v>61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45">
        <f>SUMIF(E94:P94,"=1",E28:P28)</f>
        <v>0</v>
      </c>
      <c r="R28" s="46">
        <f>SUM(E28:P28)</f>
        <v>0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  <c r="AF28" s="45">
        <f>SUMIF(T94:AE94,"=1",T28:AE28)</f>
        <v>0</v>
      </c>
      <c r="AG28" s="46">
        <f>SUM(T28:AE28)</f>
        <v>0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5">
        <f>SUMIF(AI94:AT94,"=1",AI28:AT28)</f>
        <v>0</v>
      </c>
      <c r="AV28" s="46">
        <f>SUM(AI28:AT28)</f>
        <v>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4"/>
      <c r="BJ28" s="45">
        <f>SUMIF(AX94:BI94,"=1",AX28:BI28)</f>
        <v>0</v>
      </c>
      <c r="BK28" s="46">
        <f>SUM(AX28:BI28)</f>
        <v>0</v>
      </c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45">
        <f>SUMIF(BM94:BX94,"=1",BM28:BX28)</f>
        <v>0</v>
      </c>
      <c r="BZ28" s="46">
        <f>SUM(BM28:BX28)</f>
        <v>0</v>
      </c>
    </row>
    <row r="29" spans="1:78" ht="22.05" customHeight="1" thickBot="1" x14ac:dyDescent="0.45">
      <c r="A29" s="104" t="str">
        <f>_xlfn.CONCAT(D29,B27)</f>
        <v>Realizado5</v>
      </c>
      <c r="C29" s="249"/>
      <c r="D29" s="38" t="s">
        <v>62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45">
        <f>SUMIF(E94:P94,"=1",E29:P29)</f>
        <v>0</v>
      </c>
      <c r="R29" s="46">
        <f>SUM(E29:P29)</f>
        <v>0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9"/>
      <c r="AF29" s="45">
        <f>SUMIF(T94:AE94,"=1",T29:AE29)</f>
        <v>0</v>
      </c>
      <c r="AG29" s="46">
        <f>SUM(T29:AE29)</f>
        <v>0</v>
      </c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  <c r="AU29" s="45">
        <f>SUMIF(AI94:AT94,"=1",AI29:AT29)</f>
        <v>0</v>
      </c>
      <c r="AV29" s="46">
        <f>SUM(AI29:AT29)</f>
        <v>0</v>
      </c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9"/>
      <c r="BJ29" s="45">
        <f>SUMIF(AX94:BI94,"=1",AX29:BI29)</f>
        <v>0</v>
      </c>
      <c r="BK29" s="46">
        <f>SUM(AX29:BI29)</f>
        <v>0</v>
      </c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9"/>
      <c r="BY29" s="45">
        <f>SUMIF(BM94:BX94,"=1",BM29:BX29)</f>
        <v>0</v>
      </c>
      <c r="BZ29" s="46">
        <f>SUM(BM29:BX29)</f>
        <v>0</v>
      </c>
    </row>
    <row r="30" spans="1:78" ht="22.05" customHeight="1" thickBot="1" x14ac:dyDescent="0.45">
      <c r="C30" s="249"/>
      <c r="D30" s="36" t="s">
        <v>63</v>
      </c>
      <c r="E30" s="51" t="str">
        <f>IF(OR(ISERR(E29/E28-1),E29=""),"",IF($B79=parametros!$I$3,E28/E29-1,E29/E28-1))</f>
        <v/>
      </c>
      <c r="F30" s="51" t="str">
        <f>IF(OR(ISERR(F29/F28-1),F29=""),"",IF($B79=parametros!$I$3,F28/F29-1,F29/F28-1))</f>
        <v/>
      </c>
      <c r="G30" s="51" t="str">
        <f>IF(OR(ISERR(G29/G28-1),G29=""),"",IF($B79=parametros!$I$3,G28/G29-1,G29/G28-1))</f>
        <v/>
      </c>
      <c r="H30" s="51" t="str">
        <f>IF(OR(ISERR(H29/H28-1),H29=""),"",IF($B79=parametros!$I$3,H28/H29-1,H29/H28-1))</f>
        <v/>
      </c>
      <c r="I30" s="51" t="str">
        <f>IF(OR(ISERR(I29/I28-1),I29=""),"",IF($B79=parametros!$I$3,I28/I29-1,I29/I28-1))</f>
        <v/>
      </c>
      <c r="J30" s="51" t="str">
        <f>IF(OR(ISERR(J29/J28-1),J29=""),"",IF($B79=parametros!$I$3,J28/J29-1,J29/J28-1))</f>
        <v/>
      </c>
      <c r="K30" s="51" t="str">
        <f>IF(OR(ISERR(K29/K28-1),K29=""),"",IF($B79=parametros!$I$3,K28/K29-1,K29/K28-1))</f>
        <v/>
      </c>
      <c r="L30" s="51" t="str">
        <f>IF(OR(ISERR(L29/L28-1),L29=""),"",IF($B79=parametros!$I$3,L28/L29-1,L29/L28-1))</f>
        <v/>
      </c>
      <c r="M30" s="51" t="str">
        <f>IF(OR(ISERR(M29/M28-1),M29=""),"",IF($B79=parametros!$I$3,M28/M29-1,M29/M28-1))</f>
        <v/>
      </c>
      <c r="N30" s="51" t="str">
        <f>IF(OR(ISERR(N29/N28-1),N29=""),"",IF($B79=parametros!$I$3,N28/N29-1,N29/N28-1))</f>
        <v/>
      </c>
      <c r="O30" s="51" t="str">
        <f>IF(OR(ISERR(O29/O28-1),O29=""),"",IF($B79=parametros!$I$3,O28/O29-1,O29/O28-1))</f>
        <v/>
      </c>
      <c r="P30" s="51" t="str">
        <f>IF(OR(ISERR(P29/P28-1),P29=""),"",IF($B79=parametros!$I$3,P28/P29-1,P29/P28-1))</f>
        <v/>
      </c>
      <c r="Q30" s="51" t="str">
        <f>IF(OR(ISERR(Q29/Q28-1),Q29=""),"",IF($B79=parametros!$I$3,Q28/Q29-1,Q29/Q28-1))</f>
        <v/>
      </c>
      <c r="R30" s="51" t="str">
        <f>IF(OR(ISERR(R29/R28-1),R29=""),"",IF($B79=parametros!$I$3,R28/R29-1,R29/R28-1))</f>
        <v/>
      </c>
      <c r="T30" s="51" t="str">
        <f>IF(OR(ISERR(T29/T28-1),T29=""),"",IF($B79=parametros!$I$3,T28/T29-1,T29/T28-1))</f>
        <v/>
      </c>
      <c r="U30" s="51" t="str">
        <f>IF(OR(ISERR(U29/U28-1),U29=""),"",IF($B79=parametros!$I$3,U28/U29-1,U29/U28-1))</f>
        <v/>
      </c>
      <c r="V30" s="51" t="str">
        <f>IF(OR(ISERR(V29/V28-1),V29=""),"",IF($B79=parametros!$I$3,V28/V29-1,V29/V28-1))</f>
        <v/>
      </c>
      <c r="W30" s="51" t="str">
        <f>IF(OR(ISERR(W29/W28-1),W29=""),"",IF($B79=parametros!$I$3,W28/W29-1,W29/W28-1))</f>
        <v/>
      </c>
      <c r="X30" s="51" t="str">
        <f>IF(OR(ISERR(X29/X28-1),X29=""),"",IF($B79=parametros!$I$3,X28/X29-1,X29/X28-1))</f>
        <v/>
      </c>
      <c r="Y30" s="51" t="str">
        <f>IF(OR(ISERR(Y29/Y28-1),Y29=""),"",IF($B79=parametros!$I$3,Y28/Y29-1,Y29/Y28-1))</f>
        <v/>
      </c>
      <c r="Z30" s="51" t="str">
        <f>IF(OR(ISERR(Z29/Z28-1),Z29=""),"",IF($B79=parametros!$I$3,Z28/Z29-1,Z29/Z28-1))</f>
        <v/>
      </c>
      <c r="AA30" s="51" t="str">
        <f>IF(OR(ISERR(AA29/AA28-1),AA29=""),"",IF($B79=parametros!$I$3,AA28/AA29-1,AA29/AA28-1))</f>
        <v/>
      </c>
      <c r="AB30" s="51" t="str">
        <f>IF(OR(ISERR(AB29/AB28-1),AB29=""),"",IF($B79=parametros!$I$3,AB28/AB29-1,AB29/AB28-1))</f>
        <v/>
      </c>
      <c r="AC30" s="51" t="str">
        <f>IF(OR(ISERR(AC29/AC28-1),AC29=""),"",IF($B79=parametros!$I$3,AC28/AC29-1,AC29/AC28-1))</f>
        <v/>
      </c>
      <c r="AD30" s="51" t="str">
        <f>IF(OR(ISERR(AD29/AD28-1),AD29=""),"",IF($B79=parametros!$I$3,AD28/AD29-1,AD29/AD28-1))</f>
        <v/>
      </c>
      <c r="AE30" s="51" t="str">
        <f>IF(OR(ISERR(AE29/AE28-1),AE29=""),"",IF($B79=parametros!$I$3,AE28/AE29-1,AE29/AE28-1))</f>
        <v/>
      </c>
      <c r="AF30" s="51" t="str">
        <f>IF(OR(ISERR(AF29/AF28-1),AF29=""),"",IF($B79=parametros!$I$3,AF28/AF29-1,AF29/AF28-1))</f>
        <v/>
      </c>
      <c r="AG30" s="51" t="str">
        <f>IF(OR(ISERR(AG29/AG28-1),AG29=""),"",IF($B79=parametros!$I$3,AG28/AG29-1,AG29/AG28-1))</f>
        <v/>
      </c>
      <c r="AI30" s="51" t="str">
        <f>IF(OR(ISERR(AI29/AI28-1),AI29=""),"",IF($B79=parametros!$I$3,AI28/AI29-1,AI29/AI28-1))</f>
        <v/>
      </c>
      <c r="AJ30" s="51" t="str">
        <f>IF(OR(ISERR(AJ29/AJ28-1),AJ29=""),"",IF($B79=parametros!$I$3,AJ28/AJ29-1,AJ29/AJ28-1))</f>
        <v/>
      </c>
      <c r="AK30" s="51" t="str">
        <f>IF(OR(ISERR(AK29/AK28-1),AK29=""),"",IF($B79=parametros!$I$3,AK28/AK29-1,AK29/AK28-1))</f>
        <v/>
      </c>
      <c r="AL30" s="51" t="str">
        <f>IF(OR(ISERR(AL29/AL28-1),AL29=""),"",IF($B79=parametros!$I$3,AL28/AL29-1,AL29/AL28-1))</f>
        <v/>
      </c>
      <c r="AM30" s="51" t="str">
        <f>IF(OR(ISERR(AM29/AM28-1),AM29=""),"",IF($B79=parametros!$I$3,AM28/AM29-1,AM29/AM28-1))</f>
        <v/>
      </c>
      <c r="AN30" s="51" t="str">
        <f>IF(OR(ISERR(AN29/AN28-1),AN29=""),"",IF($B79=parametros!$I$3,AN28/AN29-1,AN29/AN28-1))</f>
        <v/>
      </c>
      <c r="AO30" s="51" t="str">
        <f>IF(OR(ISERR(AO29/AO28-1),AO29=""),"",IF($B79=parametros!$I$3,AO28/AO29-1,AO29/AO28-1))</f>
        <v/>
      </c>
      <c r="AP30" s="51" t="str">
        <f>IF(OR(ISERR(AP29/AP28-1),AP29=""),"",IF($B79=parametros!$I$3,AP28/AP29-1,AP29/AP28-1))</f>
        <v/>
      </c>
      <c r="AQ30" s="51" t="str">
        <f>IF(OR(ISERR(AQ29/AQ28-1),AQ29=""),"",IF($B79=parametros!$I$3,AQ28/AQ29-1,AQ29/AQ28-1))</f>
        <v/>
      </c>
      <c r="AR30" s="51" t="str">
        <f>IF(OR(ISERR(AR29/AR28-1),AR29=""),"",IF($B79=parametros!$I$3,AR28/AR29-1,AR29/AR28-1))</f>
        <v/>
      </c>
      <c r="AS30" s="51" t="str">
        <f>IF(OR(ISERR(AS29/AS28-1),AS29=""),"",IF($B79=parametros!$I$3,AS28/AS29-1,AS29/AS28-1))</f>
        <v/>
      </c>
      <c r="AT30" s="51" t="str">
        <f>IF(OR(ISERR(AT29/AT28-1),AT29=""),"",IF($B79=parametros!$I$3,AT28/AT29-1,AT29/AT28-1))</f>
        <v/>
      </c>
      <c r="AU30" s="51" t="str">
        <f>IF(OR(ISERR(AU29/AU28-1),AU29=""),"",IF($B79=parametros!$I$3,AU28/AU29-1,AU29/AU28-1))</f>
        <v/>
      </c>
      <c r="AV30" s="51" t="str">
        <f>IF(OR(ISERR(AV29/AV28-1),AV29=""),"",IF($B79=parametros!$I$3,AV28/AV29-1,AV29/AV28-1))</f>
        <v/>
      </c>
      <c r="AX30" s="51" t="str">
        <f>IF(OR(ISERR(AX29/AX28-1),AX29=""),"",IF($B79=parametros!$I$3,AX28/AX29-1,AX29/AX28-1))</f>
        <v/>
      </c>
      <c r="AY30" s="51" t="str">
        <f>IF(OR(ISERR(AY29/AY28-1),AY29=""),"",IF($B79=parametros!$I$3,AY28/AY29-1,AY29/AY28-1))</f>
        <v/>
      </c>
      <c r="AZ30" s="51" t="str">
        <f>IF(OR(ISERR(AZ29/AZ28-1),AZ29=""),"",IF($B79=parametros!$I$3,AZ28/AZ29-1,AZ29/AZ28-1))</f>
        <v/>
      </c>
      <c r="BA30" s="51" t="str">
        <f>IF(OR(ISERR(BA29/BA28-1),BA29=""),"",IF($B79=parametros!$I$3,BA28/BA29-1,BA29/BA28-1))</f>
        <v/>
      </c>
      <c r="BB30" s="51" t="str">
        <f>IF(OR(ISERR(BB29/BB28-1),BB29=""),"",IF($B79=parametros!$I$3,BB28/BB29-1,BB29/BB28-1))</f>
        <v/>
      </c>
      <c r="BC30" s="51" t="str">
        <f>IF(OR(ISERR(BC29/BC28-1),BC29=""),"",IF($B79=parametros!$I$3,BC28/BC29-1,BC29/BC28-1))</f>
        <v/>
      </c>
      <c r="BD30" s="51" t="str">
        <f>IF(OR(ISERR(BD29/BD28-1),BD29=""),"",IF($B79=parametros!$I$3,BD28/BD29-1,BD29/BD28-1))</f>
        <v/>
      </c>
      <c r="BE30" s="51" t="str">
        <f>IF(OR(ISERR(BE29/BE28-1),BE29=""),"",IF($B79=parametros!$I$3,BE28/BE29-1,BE29/BE28-1))</f>
        <v/>
      </c>
      <c r="BF30" s="51" t="str">
        <f>IF(OR(ISERR(BF29/BF28-1),BF29=""),"",IF($B79=parametros!$I$3,BF28/BF29-1,BF29/BF28-1))</f>
        <v/>
      </c>
      <c r="BG30" s="51" t="str">
        <f>IF(OR(ISERR(BG29/BG28-1),BG29=""),"",IF($B79=parametros!$I$3,BG28/BG29-1,BG29/BG28-1))</f>
        <v/>
      </c>
      <c r="BH30" s="51" t="str">
        <f>IF(OR(ISERR(BH29/BH28-1),BH29=""),"",IF($B79=parametros!$I$3,BH28/BH29-1,BH29/BH28-1))</f>
        <v/>
      </c>
      <c r="BI30" s="51" t="str">
        <f>IF(OR(ISERR(BI29/BI28-1),BI29=""),"",IF($B79=parametros!$I$3,BI28/BI29-1,BI29/BI28-1))</f>
        <v/>
      </c>
      <c r="BJ30" s="51" t="str">
        <f>IF(OR(ISERR(BJ29/BJ28-1),BJ29=""),"",IF($B79=parametros!$I$3,BJ28/BJ29-1,BJ29/BJ28-1))</f>
        <v/>
      </c>
      <c r="BK30" s="51" t="str">
        <f>IF(OR(ISERR(BK29/BK28-1),BK29=""),"",IF($B79=parametros!$I$3,BK28/BK29-1,BK29/BK28-1))</f>
        <v/>
      </c>
      <c r="BM30" s="51" t="str">
        <f>IF(OR(ISERR(BM29/BM28-1),BM29=""),"",IF($B79=parametros!$I$3,BM28/BM29-1,BM29/BM28-1))</f>
        <v/>
      </c>
      <c r="BN30" s="51" t="str">
        <f>IF(OR(ISERR(BN29/BN28-1),BN29=""),"",IF($B79=parametros!$I$3,BN28/BN29-1,BN29/BN28-1))</f>
        <v/>
      </c>
      <c r="BO30" s="51" t="str">
        <f>IF(OR(ISERR(BO29/BO28-1),BO29=""),"",IF($B79=parametros!$I$3,BO28/BO29-1,BO29/BO28-1))</f>
        <v/>
      </c>
      <c r="BP30" s="51" t="str">
        <f>IF(OR(ISERR(BP29/BP28-1),BP29=""),"",IF($B79=parametros!$I$3,BP28/BP29-1,BP29/BP28-1))</f>
        <v/>
      </c>
      <c r="BQ30" s="51" t="str">
        <f>IF(OR(ISERR(BQ29/BQ28-1),BQ29=""),"",IF($B79=parametros!$I$3,BQ28/BQ29-1,BQ29/BQ28-1))</f>
        <v/>
      </c>
      <c r="BR30" s="51" t="str">
        <f>IF(OR(ISERR(BR29/BR28-1),BR29=""),"",IF($B79=parametros!$I$3,BR28/BR29-1,BR29/BR28-1))</f>
        <v/>
      </c>
      <c r="BS30" s="51" t="str">
        <f>IF(OR(ISERR(BS29/BS28-1),BS29=""),"",IF($B79=parametros!$I$3,BS28/BS29-1,BS29/BS28-1))</f>
        <v/>
      </c>
      <c r="BT30" s="51" t="str">
        <f>IF(OR(ISERR(BT29/BT28-1),BT29=""),"",IF($B79=parametros!$I$3,BT28/BT29-1,BT29/BT28-1))</f>
        <v/>
      </c>
      <c r="BU30" s="51" t="str">
        <f>IF(OR(ISERR(BU29/BU28-1),BU29=""),"",IF($B79=parametros!$I$3,BU28/BU29-1,BU29/BU28-1))</f>
        <v/>
      </c>
      <c r="BV30" s="51" t="str">
        <f>IF(OR(ISERR(BV29/BV28-1),BV29=""),"",IF($B79=parametros!$I$3,BV28/BV29-1,BV29/BV28-1))</f>
        <v/>
      </c>
      <c r="BW30" s="51" t="str">
        <f>IF(OR(ISERR(BW29/BW28-1),BW29=""),"",IF($B79=parametros!$I$3,BW28/BW29-1,BW29/BW28-1))</f>
        <v/>
      </c>
      <c r="BX30" s="51" t="str">
        <f>IF(OR(ISERR(BX29/BX28-1),BX29=""),"",IF($B79=parametros!$I$3,BX28/BX29-1,BX29/BX28-1))</f>
        <v/>
      </c>
      <c r="BY30" s="51" t="str">
        <f>IF(OR(ISERR(BY29/BY28-1),BY29=""),"",IF($B79=parametros!$I$3,BY28/BY29-1,BY29/BY28-1))</f>
        <v/>
      </c>
      <c r="BZ30" s="51" t="str">
        <f>IF(OR(ISERR(BZ29/BZ28-1),BZ29=""),"",IF($B79=parametros!$I$3,BZ28/BZ29-1,BZ29/BZ28-1))</f>
        <v/>
      </c>
    </row>
    <row r="31" spans="1:78" ht="4.95" customHeight="1" x14ac:dyDescent="0.4"/>
    <row r="32" spans="1:78" ht="22.05" customHeight="1" thickBot="1" x14ac:dyDescent="0.45">
      <c r="B32" s="104">
        <f>6</f>
        <v>6</v>
      </c>
      <c r="C32" s="33" t="s">
        <v>69</v>
      </c>
      <c r="D32" s="41" t="s">
        <v>44</v>
      </c>
      <c r="E32" s="34" t="s">
        <v>47</v>
      </c>
      <c r="F32" s="34" t="s">
        <v>48</v>
      </c>
      <c r="G32" s="34" t="s">
        <v>49</v>
      </c>
      <c r="H32" s="34" t="s">
        <v>50</v>
      </c>
      <c r="I32" s="34" t="s">
        <v>51</v>
      </c>
      <c r="J32" s="34" t="s">
        <v>52</v>
      </c>
      <c r="K32" s="34" t="s">
        <v>53</v>
      </c>
      <c r="L32" s="34" t="s">
        <v>54</v>
      </c>
      <c r="M32" s="34" t="s">
        <v>55</v>
      </c>
      <c r="N32" s="34" t="s">
        <v>56</v>
      </c>
      <c r="O32" s="34" t="s">
        <v>57</v>
      </c>
      <c r="P32" s="34" t="s">
        <v>58</v>
      </c>
      <c r="Q32" s="34" t="s">
        <v>59</v>
      </c>
      <c r="R32" s="35" t="s">
        <v>60</v>
      </c>
      <c r="T32" s="34" t="s">
        <v>47</v>
      </c>
      <c r="U32" s="34" t="s">
        <v>48</v>
      </c>
      <c r="V32" s="34" t="s">
        <v>49</v>
      </c>
      <c r="W32" s="34" t="s">
        <v>50</v>
      </c>
      <c r="X32" s="34" t="s">
        <v>51</v>
      </c>
      <c r="Y32" s="34" t="s">
        <v>52</v>
      </c>
      <c r="Z32" s="34" t="s">
        <v>53</v>
      </c>
      <c r="AA32" s="34" t="s">
        <v>54</v>
      </c>
      <c r="AB32" s="34" t="s">
        <v>55</v>
      </c>
      <c r="AC32" s="34" t="s">
        <v>56</v>
      </c>
      <c r="AD32" s="34" t="s">
        <v>57</v>
      </c>
      <c r="AE32" s="34" t="s">
        <v>58</v>
      </c>
      <c r="AF32" s="34" t="s">
        <v>59</v>
      </c>
      <c r="AG32" s="35" t="s">
        <v>60</v>
      </c>
      <c r="AI32" s="34" t="s">
        <v>47</v>
      </c>
      <c r="AJ32" s="34" t="s">
        <v>48</v>
      </c>
      <c r="AK32" s="34" t="s">
        <v>49</v>
      </c>
      <c r="AL32" s="34" t="s">
        <v>50</v>
      </c>
      <c r="AM32" s="34" t="s">
        <v>51</v>
      </c>
      <c r="AN32" s="34" t="s">
        <v>52</v>
      </c>
      <c r="AO32" s="34" t="s">
        <v>53</v>
      </c>
      <c r="AP32" s="34" t="s">
        <v>54</v>
      </c>
      <c r="AQ32" s="34" t="s">
        <v>55</v>
      </c>
      <c r="AR32" s="34" t="s">
        <v>56</v>
      </c>
      <c r="AS32" s="34" t="s">
        <v>57</v>
      </c>
      <c r="AT32" s="34" t="s">
        <v>58</v>
      </c>
      <c r="AU32" s="34" t="s">
        <v>59</v>
      </c>
      <c r="AV32" s="35" t="s">
        <v>60</v>
      </c>
      <c r="AX32" s="34" t="s">
        <v>47</v>
      </c>
      <c r="AY32" s="34" t="s">
        <v>48</v>
      </c>
      <c r="AZ32" s="34" t="s">
        <v>49</v>
      </c>
      <c r="BA32" s="34" t="s">
        <v>50</v>
      </c>
      <c r="BB32" s="34" t="s">
        <v>51</v>
      </c>
      <c r="BC32" s="34" t="s">
        <v>52</v>
      </c>
      <c r="BD32" s="34" t="s">
        <v>53</v>
      </c>
      <c r="BE32" s="34" t="s">
        <v>54</v>
      </c>
      <c r="BF32" s="34" t="s">
        <v>55</v>
      </c>
      <c r="BG32" s="34" t="s">
        <v>56</v>
      </c>
      <c r="BH32" s="34" t="s">
        <v>57</v>
      </c>
      <c r="BI32" s="34" t="s">
        <v>58</v>
      </c>
      <c r="BJ32" s="34" t="s">
        <v>59</v>
      </c>
      <c r="BK32" s="35" t="s">
        <v>60</v>
      </c>
      <c r="BM32" s="34" t="s">
        <v>47</v>
      </c>
      <c r="BN32" s="34" t="s">
        <v>48</v>
      </c>
      <c r="BO32" s="34" t="s">
        <v>49</v>
      </c>
      <c r="BP32" s="34" t="s">
        <v>50</v>
      </c>
      <c r="BQ32" s="34" t="s">
        <v>51</v>
      </c>
      <c r="BR32" s="34" t="s">
        <v>52</v>
      </c>
      <c r="BS32" s="34" t="s">
        <v>53</v>
      </c>
      <c r="BT32" s="34" t="s">
        <v>54</v>
      </c>
      <c r="BU32" s="34" t="s">
        <v>55</v>
      </c>
      <c r="BV32" s="34" t="s">
        <v>56</v>
      </c>
      <c r="BW32" s="34" t="s">
        <v>57</v>
      </c>
      <c r="BX32" s="34" t="s">
        <v>58</v>
      </c>
      <c r="BY32" s="34" t="s">
        <v>59</v>
      </c>
      <c r="BZ32" s="35" t="s">
        <v>60</v>
      </c>
    </row>
    <row r="33" spans="1:78" ht="22.05" customHeight="1" thickBot="1" x14ac:dyDescent="0.45">
      <c r="A33" s="104" t="str">
        <f>_xlfn.CONCAT(D33,B32)</f>
        <v>Planejado6</v>
      </c>
      <c r="C33" s="248" t="str">
        <f>C64</f>
        <v xml:space="preserve">: </v>
      </c>
      <c r="D33" s="37" t="s">
        <v>61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45">
        <f>SUMIF(E96:P96,"=1",E33:P33)</f>
        <v>0</v>
      </c>
      <c r="R33" s="46">
        <f>SUM(E33:P33)</f>
        <v>0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4"/>
      <c r="AF33" s="45">
        <f>SUMIF(T96:AE96,"=1",T33:AE33)</f>
        <v>0</v>
      </c>
      <c r="AG33" s="46">
        <f>SUM(T33:AE33)</f>
        <v>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4"/>
      <c r="AU33" s="45">
        <f>SUMIF(AI96:AT96,"=1",AI33:AT33)</f>
        <v>0</v>
      </c>
      <c r="AV33" s="46">
        <f>SUM(AI33:AT33)</f>
        <v>0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4"/>
      <c r="BJ33" s="45">
        <f>SUMIF(AX96:BI96,"=1",AX33:BI33)</f>
        <v>0</v>
      </c>
      <c r="BK33" s="46">
        <f>SUM(AX33:BI33)</f>
        <v>0</v>
      </c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4"/>
      <c r="BY33" s="45">
        <f>SUMIF(BM96:BX96,"=1",BM33:BX33)</f>
        <v>0</v>
      </c>
      <c r="BZ33" s="46">
        <f>SUM(BM33:BX33)</f>
        <v>0</v>
      </c>
    </row>
    <row r="34" spans="1:78" ht="22.05" customHeight="1" thickBot="1" x14ac:dyDescent="0.45">
      <c r="A34" s="104" t="str">
        <f>_xlfn.CONCAT(D34,B32)</f>
        <v>Realizado6</v>
      </c>
      <c r="C34" s="249"/>
      <c r="D34" s="38" t="s">
        <v>62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5">
        <f>SUMIF(E96:P96,"=1",E34:P34)</f>
        <v>0</v>
      </c>
      <c r="R34" s="46">
        <f>SUM(E34:P34)</f>
        <v>0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9"/>
      <c r="AF34" s="45">
        <f>SUMIF(T96:AE96,"=1",T34:AE34)</f>
        <v>0</v>
      </c>
      <c r="AG34" s="46">
        <f>SUM(T34:AE34)</f>
        <v>0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9"/>
      <c r="AU34" s="45">
        <f>SUMIF(AI96:AT96,"=1",AI34:AT34)</f>
        <v>0</v>
      </c>
      <c r="AV34" s="46">
        <f>SUM(AI34:AT34)</f>
        <v>0</v>
      </c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9"/>
      <c r="BJ34" s="45">
        <f>SUMIF(AX96:BI96,"=1",AX34:BI34)</f>
        <v>0</v>
      </c>
      <c r="BK34" s="46">
        <f>SUM(AX34:BI34)</f>
        <v>0</v>
      </c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9"/>
      <c r="BY34" s="45">
        <f>SUMIF(BM96:BX96,"=1",BM34:BX34)</f>
        <v>0</v>
      </c>
      <c r="BZ34" s="46">
        <f>SUM(BM34:BX34)</f>
        <v>0</v>
      </c>
    </row>
    <row r="35" spans="1:78" ht="22.05" customHeight="1" thickBot="1" x14ac:dyDescent="0.45">
      <c r="C35" s="249"/>
      <c r="D35" s="36" t="s">
        <v>63</v>
      </c>
      <c r="E35" s="51" t="str">
        <f>IF(OR(ISERR(E34/E33-1),E34=""),"",IF($B84=parametros!$I$3,E33/E34-1,E34/E33-1))</f>
        <v/>
      </c>
      <c r="F35" s="51" t="str">
        <f>IF(OR(ISERR(F34/F33-1),F34=""),"",IF($B84=parametros!$I$3,F33/F34-1,F34/F33-1))</f>
        <v/>
      </c>
      <c r="G35" s="51" t="str">
        <f>IF(OR(ISERR(G34/G33-1),G34=""),"",IF($B84=parametros!$I$3,G33/G34-1,G34/G33-1))</f>
        <v/>
      </c>
      <c r="H35" s="51" t="str">
        <f>IF(OR(ISERR(H34/H33-1),H34=""),"",IF($B84=parametros!$I$3,H33/H34-1,H34/H33-1))</f>
        <v/>
      </c>
      <c r="I35" s="51" t="str">
        <f>IF(OR(ISERR(I34/I33-1),I34=""),"",IF($B84=parametros!$I$3,I33/I34-1,I34/I33-1))</f>
        <v/>
      </c>
      <c r="J35" s="51" t="str">
        <f>IF(OR(ISERR(J34/J33-1),J34=""),"",IF($B84=parametros!$I$3,J33/J34-1,J34/J33-1))</f>
        <v/>
      </c>
      <c r="K35" s="51" t="str">
        <f>IF(OR(ISERR(K34/K33-1),K34=""),"",IF($B84=parametros!$I$3,K33/K34-1,K34/K33-1))</f>
        <v/>
      </c>
      <c r="L35" s="51" t="str">
        <f>IF(OR(ISERR(L34/L33-1),L34=""),"",IF($B84=parametros!$I$3,L33/L34-1,L34/L33-1))</f>
        <v/>
      </c>
      <c r="M35" s="51" t="str">
        <f>IF(OR(ISERR(M34/M33-1),M34=""),"",IF($B84=parametros!$I$3,M33/M34-1,M34/M33-1))</f>
        <v/>
      </c>
      <c r="N35" s="51" t="str">
        <f>IF(OR(ISERR(N34/N33-1),N34=""),"",IF($B84=parametros!$I$3,N33/N34-1,N34/N33-1))</f>
        <v/>
      </c>
      <c r="O35" s="51" t="str">
        <f>IF(OR(ISERR(O34/O33-1),O34=""),"",IF($B84=parametros!$I$3,O33/O34-1,O34/O33-1))</f>
        <v/>
      </c>
      <c r="P35" s="51" t="str">
        <f>IF(OR(ISERR(P34/P33-1),P34=""),"",IF($B84=parametros!$I$3,P33/P34-1,P34/P33-1))</f>
        <v/>
      </c>
      <c r="Q35" s="51" t="str">
        <f>IF(OR(ISERR(Q34/Q33-1),Q34=""),"",IF($B85=parametros!$I$3,Q33/Q34-1,Q34/Q33-1))</f>
        <v/>
      </c>
      <c r="R35" s="51" t="str">
        <f>IF(OR(ISERR(R34/R33-1),R34=""),"",IF($B85=parametros!$I$3,R33/R34-1,R34/R33-1))</f>
        <v/>
      </c>
      <c r="T35" s="51" t="str">
        <f>IF(OR(ISERR(T34/T33-1),T34=""),"",IF($B85=parametros!$I$3,T33/T34-1,T34/T33-1))</f>
        <v/>
      </c>
      <c r="U35" s="51" t="str">
        <f>IF(OR(ISERR(U34/U33-1),U34=""),"",IF($B85=parametros!$I$3,U33/U34-1,U34/U33-1))</f>
        <v/>
      </c>
      <c r="V35" s="51" t="str">
        <f>IF(OR(ISERR(V34/V33-1),V34=""),"",IF($B85=parametros!$I$3,V33/V34-1,V34/V33-1))</f>
        <v/>
      </c>
      <c r="W35" s="51" t="str">
        <f>IF(OR(ISERR(W34/W33-1),W34=""),"",IF($B85=parametros!$I$3,W33/W34-1,W34/W33-1))</f>
        <v/>
      </c>
      <c r="X35" s="51" t="str">
        <f>IF(OR(ISERR(X34/X33-1),X34=""),"",IF($B85=parametros!$I$3,X33/X34-1,X34/X33-1))</f>
        <v/>
      </c>
      <c r="Y35" s="51" t="str">
        <f>IF(OR(ISERR(Y34/Y33-1),Y34=""),"",IF($B85=parametros!$I$3,Y33/Y34-1,Y34/Y33-1))</f>
        <v/>
      </c>
      <c r="Z35" s="51" t="str">
        <f>IF(OR(ISERR(Z34/Z33-1),Z34=""),"",IF($B85=parametros!$I$3,Z33/Z34-1,Z34/Z33-1))</f>
        <v/>
      </c>
      <c r="AA35" s="51" t="str">
        <f>IF(OR(ISERR(AA34/AA33-1),AA34=""),"",IF($B85=parametros!$I$3,AA33/AA34-1,AA34/AA33-1))</f>
        <v/>
      </c>
      <c r="AB35" s="51" t="str">
        <f>IF(OR(ISERR(AB34/AB33-1),AB34=""),"",IF($B85=parametros!$I$3,AB33/AB34-1,AB34/AB33-1))</f>
        <v/>
      </c>
      <c r="AC35" s="51" t="str">
        <f>IF(OR(ISERR(AC34/AC33-1),AC34=""),"",IF($B85=parametros!$I$3,AC33/AC34-1,AC34/AC33-1))</f>
        <v/>
      </c>
      <c r="AD35" s="51" t="str">
        <f>IF(OR(ISERR(AD34/AD33-1),AD34=""),"",IF($B85=parametros!$I$3,AD33/AD34-1,AD34/AD33-1))</f>
        <v/>
      </c>
      <c r="AE35" s="51" t="str">
        <f>IF(OR(ISERR(AE34/AE33-1),AE34=""),"",IF($B85=parametros!$I$3,AE33/AE34-1,AE34/AE33-1))</f>
        <v/>
      </c>
      <c r="AF35" s="51" t="str">
        <f>IF(OR(ISERR(AF34/AF33-1),AF34=""),"",IF($B85=parametros!$I$3,AF33/AF34-1,AF34/AF33-1))</f>
        <v/>
      </c>
      <c r="AG35" s="51" t="str">
        <f>IF(OR(ISERR(AG34/AG33-1),AG34=""),"",IF($B85=parametros!$I$3,AG33/AG34-1,AG34/AG33-1))</f>
        <v/>
      </c>
      <c r="AI35" s="51" t="str">
        <f>IF(OR(ISERR(AI34/AI33-1),AI34=""),"",IF($B85=parametros!$I$3,AI33/AI34-1,AI34/AI33-1))</f>
        <v/>
      </c>
      <c r="AJ35" s="51" t="str">
        <f>IF(OR(ISERR(AJ34/AJ33-1),AJ34=""),"",IF($B85=parametros!$I$3,AJ33/AJ34-1,AJ34/AJ33-1))</f>
        <v/>
      </c>
      <c r="AK35" s="51" t="str">
        <f>IF(OR(ISERR(AK34/AK33-1),AK34=""),"",IF($B85=parametros!$I$3,AK33/AK34-1,AK34/AK33-1))</f>
        <v/>
      </c>
      <c r="AL35" s="51" t="str">
        <f>IF(OR(ISERR(AL34/AL33-1),AL34=""),"",IF($B85=parametros!$I$3,AL33/AL34-1,AL34/AL33-1))</f>
        <v/>
      </c>
      <c r="AM35" s="51" t="str">
        <f>IF(OR(ISERR(AM34/AM33-1),AM34=""),"",IF($B85=parametros!$I$3,AM33/AM34-1,AM34/AM33-1))</f>
        <v/>
      </c>
      <c r="AN35" s="51" t="str">
        <f>IF(OR(ISERR(AN34/AN33-1),AN34=""),"",IF($B85=parametros!$I$3,AN33/AN34-1,AN34/AN33-1))</f>
        <v/>
      </c>
      <c r="AO35" s="51" t="str">
        <f>IF(OR(ISERR(AO34/AO33-1),AO34=""),"",IF($B85=parametros!$I$3,AO33/AO34-1,AO34/AO33-1))</f>
        <v/>
      </c>
      <c r="AP35" s="51" t="str">
        <f>IF(OR(ISERR(AP34/AP33-1),AP34=""),"",IF($B85=parametros!$I$3,AP33/AP34-1,AP34/AP33-1))</f>
        <v/>
      </c>
      <c r="AQ35" s="51" t="str">
        <f>IF(OR(ISERR(AQ34/AQ33-1),AQ34=""),"",IF($B85=parametros!$I$3,AQ33/AQ34-1,AQ34/AQ33-1))</f>
        <v/>
      </c>
      <c r="AR35" s="51" t="str">
        <f>IF(OR(ISERR(AR34/AR33-1),AR34=""),"",IF($B85=parametros!$I$3,AR33/AR34-1,AR34/AR33-1))</f>
        <v/>
      </c>
      <c r="AS35" s="51" t="str">
        <f>IF(OR(ISERR(AS34/AS33-1),AS34=""),"",IF($B85=parametros!$I$3,AS33/AS34-1,AS34/AS33-1))</f>
        <v/>
      </c>
      <c r="AT35" s="51" t="str">
        <f>IF(OR(ISERR(AT34/AT33-1),AT34=""),"",IF($B85=parametros!$I$3,AT33/AT34-1,AT34/AT33-1))</f>
        <v/>
      </c>
      <c r="AU35" s="51" t="str">
        <f>IF(OR(ISERR(AU34/AU33-1),AU34=""),"",IF($B85=parametros!$I$3,AU33/AU34-1,AU34/AU33-1))</f>
        <v/>
      </c>
      <c r="AV35" s="51" t="str">
        <f>IF(OR(ISERR(AV34/AV33-1),AV34=""),"",IF($B85=parametros!$I$3,AV33/AV34-1,AV34/AV33-1))</f>
        <v/>
      </c>
      <c r="AX35" s="51" t="str">
        <f>IF(OR(ISERR(AX34/AX33-1),AX34=""),"",IF($B85=parametros!$I$3,AX33/AX34-1,AX34/AX33-1))</f>
        <v/>
      </c>
      <c r="AY35" s="51" t="str">
        <f>IF(OR(ISERR(AY34/AY33-1),AY34=""),"",IF($B85=parametros!$I$3,AY33/AY34-1,AY34/AY33-1))</f>
        <v/>
      </c>
      <c r="AZ35" s="51" t="str">
        <f>IF(OR(ISERR(AZ34/AZ33-1),AZ34=""),"",IF($B85=parametros!$I$3,AZ33/AZ34-1,AZ34/AZ33-1))</f>
        <v/>
      </c>
      <c r="BA35" s="51" t="str">
        <f>IF(OR(ISERR(BA34/BA33-1),BA34=""),"",IF($B85=parametros!$I$3,BA33/BA34-1,BA34/BA33-1))</f>
        <v/>
      </c>
      <c r="BB35" s="51" t="str">
        <f>IF(OR(ISERR(BB34/BB33-1),BB34=""),"",IF($B85=parametros!$I$3,BB33/BB34-1,BB34/BB33-1))</f>
        <v/>
      </c>
      <c r="BC35" s="51" t="str">
        <f>IF(OR(ISERR(BC34/BC33-1),BC34=""),"",IF($B85=parametros!$I$3,BC33/BC34-1,BC34/BC33-1))</f>
        <v/>
      </c>
      <c r="BD35" s="51" t="str">
        <f>IF(OR(ISERR(BD34/BD33-1),BD34=""),"",IF($B85=parametros!$I$3,BD33/BD34-1,BD34/BD33-1))</f>
        <v/>
      </c>
      <c r="BE35" s="51" t="str">
        <f>IF(OR(ISERR(BE34/BE33-1),BE34=""),"",IF($B85=parametros!$I$3,BE33/BE34-1,BE34/BE33-1))</f>
        <v/>
      </c>
      <c r="BF35" s="51" t="str">
        <f>IF(OR(ISERR(BF34/BF33-1),BF34=""),"",IF($B85=parametros!$I$3,BF33/BF34-1,BF34/BF33-1))</f>
        <v/>
      </c>
      <c r="BG35" s="51" t="str">
        <f>IF(OR(ISERR(BG34/BG33-1),BG34=""),"",IF($B85=parametros!$I$3,BG33/BG34-1,BG34/BG33-1))</f>
        <v/>
      </c>
      <c r="BH35" s="51" t="str">
        <f>IF(OR(ISERR(BH34/BH33-1),BH34=""),"",IF($B85=parametros!$I$3,BH33/BH34-1,BH34/BH33-1))</f>
        <v/>
      </c>
      <c r="BI35" s="51" t="str">
        <f>IF(OR(ISERR(BI34/BI33-1),BI34=""),"",IF($B85=parametros!$I$3,BI33/BI34-1,BI34/BI33-1))</f>
        <v/>
      </c>
      <c r="BJ35" s="51" t="str">
        <f>IF(OR(ISERR(BJ34/BJ33-1),BJ34=""),"",IF($B85=parametros!$I$3,BJ33/BJ34-1,BJ34/BJ33-1))</f>
        <v/>
      </c>
      <c r="BK35" s="51" t="str">
        <f>IF(OR(ISERR(BK34/BK33-1),BK34=""),"",IF($B85=parametros!$I$3,BK33/BK34-1,BK34/BK33-1))</f>
        <v/>
      </c>
      <c r="BM35" s="51" t="str">
        <f>IF(OR(ISERR(BM34/BM33-1),BM34=""),"",IF($B85=parametros!$I$3,BM33/BM34-1,BM34/BM33-1))</f>
        <v/>
      </c>
      <c r="BN35" s="51" t="str">
        <f>IF(OR(ISERR(BN34/BN33-1),BN34=""),"",IF($B85=parametros!$I$3,BN33/BN34-1,BN34/BN33-1))</f>
        <v/>
      </c>
      <c r="BO35" s="51" t="str">
        <f>IF(OR(ISERR(BO34/BO33-1),BO34=""),"",IF($B85=parametros!$I$3,BO33/BO34-1,BO34/BO33-1))</f>
        <v/>
      </c>
      <c r="BP35" s="51" t="str">
        <f>IF(OR(ISERR(BP34/BP33-1),BP34=""),"",IF($B85=parametros!$I$3,BP33/BP34-1,BP34/BP33-1))</f>
        <v/>
      </c>
      <c r="BQ35" s="51" t="str">
        <f>IF(OR(ISERR(BQ34/BQ33-1),BQ34=""),"",IF($B85=parametros!$I$3,BQ33/BQ34-1,BQ34/BQ33-1))</f>
        <v/>
      </c>
      <c r="BR35" s="51" t="str">
        <f>IF(OR(ISERR(BR34/BR33-1),BR34=""),"",IF($B85=parametros!$I$3,BR33/BR34-1,BR34/BR33-1))</f>
        <v/>
      </c>
      <c r="BS35" s="51" t="str">
        <f>IF(OR(ISERR(BS34/BS33-1),BS34=""),"",IF($B85=parametros!$I$3,BS33/BS34-1,BS34/BS33-1))</f>
        <v/>
      </c>
      <c r="BT35" s="51" t="str">
        <f>IF(OR(ISERR(BT34/BT33-1),BT34=""),"",IF($B85=parametros!$I$3,BT33/BT34-1,BT34/BT33-1))</f>
        <v/>
      </c>
      <c r="BU35" s="51" t="str">
        <f>IF(OR(ISERR(BU34/BU33-1),BU34=""),"",IF($B85=parametros!$I$3,BU33/BU34-1,BU34/BU33-1))</f>
        <v/>
      </c>
      <c r="BV35" s="51" t="str">
        <f>IF(OR(ISERR(BV34/BV33-1),BV34=""),"",IF($B85=parametros!$I$3,BV33/BV34-1,BV34/BV33-1))</f>
        <v/>
      </c>
      <c r="BW35" s="51" t="str">
        <f>IF(OR(ISERR(BW34/BW33-1),BW34=""),"",IF($B85=parametros!$I$3,BW33/BW34-1,BW34/BW33-1))</f>
        <v/>
      </c>
      <c r="BX35" s="51" t="str">
        <f>IF(OR(ISERR(BX34/BX33-1),BX34=""),"",IF($B85=parametros!$I$3,BX33/BX34-1,BX34/BX33-1))</f>
        <v/>
      </c>
      <c r="BY35" s="51" t="str">
        <f>IF(OR(ISERR(BY34/BY33-1),BY34=""),"",IF($B85=parametros!$I$3,BY33/BY34-1,BY34/BY33-1))</f>
        <v/>
      </c>
      <c r="BZ35" s="51" t="str">
        <f>IF(OR(ISERR(BZ34/BZ33-1),BZ34=""),"",IF($B85=parametros!$I$3,BZ33/BZ34-1,BZ34/BZ33-1))</f>
        <v/>
      </c>
    </row>
    <row r="36" spans="1:78" ht="4.95" customHeight="1" x14ac:dyDescent="0.4"/>
    <row r="37" spans="1:78" ht="22.05" customHeight="1" thickBot="1" x14ac:dyDescent="0.45">
      <c r="B37" s="104">
        <f>7</f>
        <v>7</v>
      </c>
      <c r="C37" s="33" t="s">
        <v>70</v>
      </c>
      <c r="D37" s="41" t="s">
        <v>44</v>
      </c>
      <c r="E37" s="34" t="s">
        <v>47</v>
      </c>
      <c r="F37" s="34" t="s">
        <v>48</v>
      </c>
      <c r="G37" s="34" t="s">
        <v>49</v>
      </c>
      <c r="H37" s="34" t="s">
        <v>50</v>
      </c>
      <c r="I37" s="34" t="s">
        <v>51</v>
      </c>
      <c r="J37" s="34" t="s">
        <v>52</v>
      </c>
      <c r="K37" s="34" t="s">
        <v>53</v>
      </c>
      <c r="L37" s="34" t="s">
        <v>54</v>
      </c>
      <c r="M37" s="34" t="s">
        <v>55</v>
      </c>
      <c r="N37" s="34" t="s">
        <v>56</v>
      </c>
      <c r="O37" s="34" t="s">
        <v>57</v>
      </c>
      <c r="P37" s="34" t="s">
        <v>58</v>
      </c>
      <c r="Q37" s="34" t="s">
        <v>59</v>
      </c>
      <c r="R37" s="35" t="s">
        <v>60</v>
      </c>
      <c r="T37" s="34" t="s">
        <v>47</v>
      </c>
      <c r="U37" s="34" t="s">
        <v>48</v>
      </c>
      <c r="V37" s="34" t="s">
        <v>49</v>
      </c>
      <c r="W37" s="34" t="s">
        <v>50</v>
      </c>
      <c r="X37" s="34" t="s">
        <v>51</v>
      </c>
      <c r="Y37" s="34" t="s">
        <v>52</v>
      </c>
      <c r="Z37" s="34" t="s">
        <v>53</v>
      </c>
      <c r="AA37" s="34" t="s">
        <v>54</v>
      </c>
      <c r="AB37" s="34" t="s">
        <v>55</v>
      </c>
      <c r="AC37" s="34" t="s">
        <v>56</v>
      </c>
      <c r="AD37" s="34" t="s">
        <v>57</v>
      </c>
      <c r="AE37" s="34" t="s">
        <v>58</v>
      </c>
      <c r="AF37" s="34" t="s">
        <v>59</v>
      </c>
      <c r="AG37" s="35" t="s">
        <v>60</v>
      </c>
      <c r="AI37" s="34" t="s">
        <v>47</v>
      </c>
      <c r="AJ37" s="34" t="s">
        <v>48</v>
      </c>
      <c r="AK37" s="34" t="s">
        <v>49</v>
      </c>
      <c r="AL37" s="34" t="s">
        <v>50</v>
      </c>
      <c r="AM37" s="34" t="s">
        <v>51</v>
      </c>
      <c r="AN37" s="34" t="s">
        <v>52</v>
      </c>
      <c r="AO37" s="34" t="s">
        <v>53</v>
      </c>
      <c r="AP37" s="34" t="s">
        <v>54</v>
      </c>
      <c r="AQ37" s="34" t="s">
        <v>55</v>
      </c>
      <c r="AR37" s="34" t="s">
        <v>56</v>
      </c>
      <c r="AS37" s="34" t="s">
        <v>57</v>
      </c>
      <c r="AT37" s="34" t="s">
        <v>58</v>
      </c>
      <c r="AU37" s="34" t="s">
        <v>59</v>
      </c>
      <c r="AV37" s="35" t="s">
        <v>60</v>
      </c>
      <c r="AX37" s="34" t="s">
        <v>47</v>
      </c>
      <c r="AY37" s="34" t="s">
        <v>48</v>
      </c>
      <c r="AZ37" s="34" t="s">
        <v>49</v>
      </c>
      <c r="BA37" s="34" t="s">
        <v>50</v>
      </c>
      <c r="BB37" s="34" t="s">
        <v>51</v>
      </c>
      <c r="BC37" s="34" t="s">
        <v>52</v>
      </c>
      <c r="BD37" s="34" t="s">
        <v>53</v>
      </c>
      <c r="BE37" s="34" t="s">
        <v>54</v>
      </c>
      <c r="BF37" s="34" t="s">
        <v>55</v>
      </c>
      <c r="BG37" s="34" t="s">
        <v>56</v>
      </c>
      <c r="BH37" s="34" t="s">
        <v>57</v>
      </c>
      <c r="BI37" s="34" t="s">
        <v>58</v>
      </c>
      <c r="BJ37" s="34" t="s">
        <v>59</v>
      </c>
      <c r="BK37" s="35" t="s">
        <v>60</v>
      </c>
      <c r="BM37" s="34" t="s">
        <v>47</v>
      </c>
      <c r="BN37" s="34" t="s">
        <v>48</v>
      </c>
      <c r="BO37" s="34" t="s">
        <v>49</v>
      </c>
      <c r="BP37" s="34" t="s">
        <v>50</v>
      </c>
      <c r="BQ37" s="34" t="s">
        <v>51</v>
      </c>
      <c r="BR37" s="34" t="s">
        <v>52</v>
      </c>
      <c r="BS37" s="34" t="s">
        <v>53</v>
      </c>
      <c r="BT37" s="34" t="s">
        <v>54</v>
      </c>
      <c r="BU37" s="34" t="s">
        <v>55</v>
      </c>
      <c r="BV37" s="34" t="s">
        <v>56</v>
      </c>
      <c r="BW37" s="34" t="s">
        <v>57</v>
      </c>
      <c r="BX37" s="34" t="s">
        <v>58</v>
      </c>
      <c r="BY37" s="34" t="s">
        <v>59</v>
      </c>
      <c r="BZ37" s="35" t="s">
        <v>60</v>
      </c>
    </row>
    <row r="38" spans="1:78" ht="22.05" customHeight="1" thickBot="1" x14ac:dyDescent="0.45">
      <c r="A38" s="104" t="str">
        <f>_xlfn.CONCAT(D38,B37)</f>
        <v>Planejado7</v>
      </c>
      <c r="C38" s="248" t="str">
        <f>C65</f>
        <v xml:space="preserve">: </v>
      </c>
      <c r="D38" s="37" t="s">
        <v>61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  <c r="Q38" s="45">
        <f>SUMIF(E98:P98,"=1",E38:P38)</f>
        <v>0</v>
      </c>
      <c r="R38" s="46">
        <f>SUM(E38:P38)</f>
        <v>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4"/>
      <c r="AF38" s="45">
        <f>SUMIF(T98:AE98,"=1",T38:AE38)</f>
        <v>0</v>
      </c>
      <c r="AG38" s="46">
        <f>SUM(T38:AE38)</f>
        <v>0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4"/>
      <c r="AU38" s="45">
        <f>SUMIF(AI98:AT98,"=1",AI38:AT38)</f>
        <v>0</v>
      </c>
      <c r="AV38" s="46">
        <f>SUM(AI38:AT38)</f>
        <v>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4"/>
      <c r="BJ38" s="45">
        <f>SUMIF(AX98:BI98,"=1",AX38:BI38)</f>
        <v>0</v>
      </c>
      <c r="BK38" s="46">
        <f>SUM(AX38:BI38)</f>
        <v>0</v>
      </c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4"/>
      <c r="BY38" s="45">
        <f>SUMIF(BM98:BX98,"=1",BM38:BX38)</f>
        <v>0</v>
      </c>
      <c r="BZ38" s="46">
        <f>SUM(BM38:BX38)</f>
        <v>0</v>
      </c>
    </row>
    <row r="39" spans="1:78" ht="22.05" customHeight="1" thickBot="1" x14ac:dyDescent="0.45">
      <c r="A39" s="104" t="str">
        <f>_xlfn.CONCAT(D39,B37)</f>
        <v>Realizado7</v>
      </c>
      <c r="C39" s="249"/>
      <c r="D39" s="38" t="s">
        <v>62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5">
        <f>SUMIF(E98:P98,"=1",E39:P39)</f>
        <v>0</v>
      </c>
      <c r="R39" s="46">
        <f>SUM(E39:P39)</f>
        <v>0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9"/>
      <c r="AF39" s="45">
        <f>SUMIF(T98:AE98,"=1",T39:AE39)</f>
        <v>0</v>
      </c>
      <c r="AG39" s="46">
        <f>SUM(T39:AE39)</f>
        <v>0</v>
      </c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5">
        <f>SUMIF(AI98:AT98,"=1",AI39:AT39)</f>
        <v>0</v>
      </c>
      <c r="AV39" s="46">
        <f>SUM(AI39:AT39)</f>
        <v>0</v>
      </c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9"/>
      <c r="BJ39" s="45">
        <f>SUMIF(AX98:BI98,"=1",AX39:BI39)</f>
        <v>0</v>
      </c>
      <c r="BK39" s="46">
        <f>SUM(AX39:BI39)</f>
        <v>0</v>
      </c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9"/>
      <c r="BY39" s="45">
        <f>SUMIF(BM98:BX98,"=1",BM39:BX39)</f>
        <v>0</v>
      </c>
      <c r="BZ39" s="46">
        <f>SUM(BM39:BX39)</f>
        <v>0</v>
      </c>
    </row>
    <row r="40" spans="1:78" ht="22.05" customHeight="1" thickBot="1" x14ac:dyDescent="0.45">
      <c r="C40" s="249"/>
      <c r="D40" s="36" t="s">
        <v>63</v>
      </c>
      <c r="E40" s="51" t="str">
        <f>IF(OR(ISERR(E39/E38-1),E39=""),"",IF($B89=parametros!$I$3,E38/E39-1,E39/E38-1))</f>
        <v/>
      </c>
      <c r="F40" s="51" t="str">
        <f>IF(OR(ISERR(F39/F38-1),F39=""),"",IF($B89=parametros!$I$3,F38/F39-1,F39/F38-1))</f>
        <v/>
      </c>
      <c r="G40" s="51" t="str">
        <f>IF(OR(ISERR(G39/G38-1),G39=""),"",IF($B89=parametros!$I$3,G38/G39-1,G39/G38-1))</f>
        <v/>
      </c>
      <c r="H40" s="51" t="str">
        <f>IF(OR(ISERR(H39/H38-1),H39=""),"",IF($B89=parametros!$I$3,H38/H39-1,H39/H38-1))</f>
        <v/>
      </c>
      <c r="I40" s="51" t="str">
        <f>IF(OR(ISERR(I39/I38-1),I39=""),"",IF($B89=parametros!$I$3,I38/I39-1,I39/I38-1))</f>
        <v/>
      </c>
      <c r="J40" s="51" t="str">
        <f>IF(OR(ISERR(J39/J38-1),J39=""),"",IF($B89=parametros!$I$3,J38/J39-1,J39/J38-1))</f>
        <v/>
      </c>
      <c r="K40" s="51" t="str">
        <f>IF(OR(ISERR(K39/K38-1),K39=""),"",IF($B89=parametros!$I$3,K38/K39-1,K39/K38-1))</f>
        <v/>
      </c>
      <c r="L40" s="51" t="str">
        <f>IF(OR(ISERR(L39/L38-1),L39=""),"",IF($B89=parametros!$I$3,L38/L39-1,L39/L38-1))</f>
        <v/>
      </c>
      <c r="M40" s="51" t="str">
        <f>IF(OR(ISERR(M39/M38-1),M39=""),"",IF($B89=parametros!$I$3,M38/M39-1,M39/M38-1))</f>
        <v/>
      </c>
      <c r="N40" s="51" t="str">
        <f>IF(OR(ISERR(N39/N38-1),N39=""),"",IF($B89=parametros!$I$3,N38/N39-1,N39/N38-1))</f>
        <v/>
      </c>
      <c r="O40" s="51" t="str">
        <f>IF(OR(ISERR(O39/O38-1),O39=""),"",IF($B89=parametros!$I$3,O38/O39-1,O39/O38-1))</f>
        <v/>
      </c>
      <c r="P40" s="51" t="str">
        <f>IF(OR(ISERR(P39/P38-1),P39=""),"",IF($B89=parametros!$I$3,P38/P39-1,P39/P38-1))</f>
        <v/>
      </c>
      <c r="Q40" s="51" t="str">
        <f>IF(OR(ISERR(Q39/Q38-1),Q39=""),"",IF($B90=parametros!$I$3,Q38/Q39-1,Q39/Q38-1))</f>
        <v/>
      </c>
      <c r="R40" s="51" t="str">
        <f>IF(OR(ISERR(R39/R38-1),R39=""),"",IF($B90=parametros!$I$3,R38/R39-1,R39/R38-1))</f>
        <v/>
      </c>
      <c r="T40" s="51" t="str">
        <f>IF(OR(ISERR(T39/T38-1),T39=""),"",IF($B90=parametros!$I$3,T38/T39-1,T39/T38-1))</f>
        <v/>
      </c>
      <c r="U40" s="51" t="str">
        <f>IF(OR(ISERR(U39/U38-1),U39=""),"",IF($B90=parametros!$I$3,U38/U39-1,U39/U38-1))</f>
        <v/>
      </c>
      <c r="V40" s="51" t="str">
        <f>IF(OR(ISERR(V39/V38-1),V39=""),"",IF($B90=parametros!$I$3,V38/V39-1,V39/V38-1))</f>
        <v/>
      </c>
      <c r="W40" s="51" t="str">
        <f>IF(OR(ISERR(W39/W38-1),W39=""),"",IF($B90=parametros!$I$3,W38/W39-1,W39/W38-1))</f>
        <v/>
      </c>
      <c r="X40" s="51" t="str">
        <f>IF(OR(ISERR(X39/X38-1),X39=""),"",IF($B90=parametros!$I$3,X38/X39-1,X39/X38-1))</f>
        <v/>
      </c>
      <c r="Y40" s="51" t="str">
        <f>IF(OR(ISERR(Y39/Y38-1),Y39=""),"",IF($B90=parametros!$I$3,Y38/Y39-1,Y39/Y38-1))</f>
        <v/>
      </c>
      <c r="Z40" s="51" t="str">
        <f>IF(OR(ISERR(Z39/Z38-1),Z39=""),"",IF($B90=parametros!$I$3,Z38/Z39-1,Z39/Z38-1))</f>
        <v/>
      </c>
      <c r="AA40" s="51" t="str">
        <f>IF(OR(ISERR(AA39/AA38-1),AA39=""),"",IF($B90=parametros!$I$3,AA38/AA39-1,AA39/AA38-1))</f>
        <v/>
      </c>
      <c r="AB40" s="51" t="str">
        <f>IF(OR(ISERR(AB39/AB38-1),AB39=""),"",IF($B90=parametros!$I$3,AB38/AB39-1,AB39/AB38-1))</f>
        <v/>
      </c>
      <c r="AC40" s="51" t="str">
        <f>IF(OR(ISERR(AC39/AC38-1),AC39=""),"",IF($B90=parametros!$I$3,AC38/AC39-1,AC39/AC38-1))</f>
        <v/>
      </c>
      <c r="AD40" s="51" t="str">
        <f>IF(OR(ISERR(AD39/AD38-1),AD39=""),"",IF($B90=parametros!$I$3,AD38/AD39-1,AD39/AD38-1))</f>
        <v/>
      </c>
      <c r="AE40" s="51" t="str">
        <f>IF(OR(ISERR(AE39/AE38-1),AE39=""),"",IF($B90=parametros!$I$3,AE38/AE39-1,AE39/AE38-1))</f>
        <v/>
      </c>
      <c r="AF40" s="51" t="str">
        <f>IF(OR(ISERR(AF39/AF38-1),AF39=""),"",IF($B90=parametros!$I$3,AF38/AF39-1,AF39/AF38-1))</f>
        <v/>
      </c>
      <c r="AG40" s="51" t="str">
        <f>IF(OR(ISERR(AG39/AG38-1),AG39=""),"",IF($B90=parametros!$I$3,AG38/AG39-1,AG39/AG38-1))</f>
        <v/>
      </c>
      <c r="AI40" s="51" t="str">
        <f>IF(OR(ISERR(AI39/AI38-1),AI39=""),"",IF($B90=parametros!$I$3,AI38/AI39-1,AI39/AI38-1))</f>
        <v/>
      </c>
      <c r="AJ40" s="51" t="str">
        <f>IF(OR(ISERR(AJ39/AJ38-1),AJ39=""),"",IF($B90=parametros!$I$3,AJ38/AJ39-1,AJ39/AJ38-1))</f>
        <v/>
      </c>
      <c r="AK40" s="51" t="str">
        <f>IF(OR(ISERR(AK39/AK38-1),AK39=""),"",IF($B90=parametros!$I$3,AK38/AK39-1,AK39/AK38-1))</f>
        <v/>
      </c>
      <c r="AL40" s="51" t="str">
        <f>IF(OR(ISERR(AL39/AL38-1),AL39=""),"",IF($B90=parametros!$I$3,AL38/AL39-1,AL39/AL38-1))</f>
        <v/>
      </c>
      <c r="AM40" s="51" t="str">
        <f>IF(OR(ISERR(AM39/AM38-1),AM39=""),"",IF($B90=parametros!$I$3,AM38/AM39-1,AM39/AM38-1))</f>
        <v/>
      </c>
      <c r="AN40" s="51" t="str">
        <f>IF(OR(ISERR(AN39/AN38-1),AN39=""),"",IF($B90=parametros!$I$3,AN38/AN39-1,AN39/AN38-1))</f>
        <v/>
      </c>
      <c r="AO40" s="51" t="str">
        <f>IF(OR(ISERR(AO39/AO38-1),AO39=""),"",IF($B90=parametros!$I$3,AO38/AO39-1,AO39/AO38-1))</f>
        <v/>
      </c>
      <c r="AP40" s="51" t="str">
        <f>IF(OR(ISERR(AP39/AP38-1),AP39=""),"",IF($B90=parametros!$I$3,AP38/AP39-1,AP39/AP38-1))</f>
        <v/>
      </c>
      <c r="AQ40" s="51" t="str">
        <f>IF(OR(ISERR(AQ39/AQ38-1),AQ39=""),"",IF($B90=parametros!$I$3,AQ38/AQ39-1,AQ39/AQ38-1))</f>
        <v/>
      </c>
      <c r="AR40" s="51" t="str">
        <f>IF(OR(ISERR(AR39/AR38-1),AR39=""),"",IF($B90=parametros!$I$3,AR38/AR39-1,AR39/AR38-1))</f>
        <v/>
      </c>
      <c r="AS40" s="51" t="str">
        <f>IF(OR(ISERR(AS39/AS38-1),AS39=""),"",IF($B90=parametros!$I$3,AS38/AS39-1,AS39/AS38-1))</f>
        <v/>
      </c>
      <c r="AT40" s="51" t="str">
        <f>IF(OR(ISERR(AT39/AT38-1),AT39=""),"",IF($B90=parametros!$I$3,AT38/AT39-1,AT39/AT38-1))</f>
        <v/>
      </c>
      <c r="AU40" s="51" t="str">
        <f>IF(OR(ISERR(AU39/AU38-1),AU39=""),"",IF($B90=parametros!$I$3,AU38/AU39-1,AU39/AU38-1))</f>
        <v/>
      </c>
      <c r="AV40" s="51" t="str">
        <f>IF(OR(ISERR(AV39/AV38-1),AV39=""),"",IF($B90=parametros!$I$3,AV38/AV39-1,AV39/AV38-1))</f>
        <v/>
      </c>
      <c r="AX40" s="51" t="str">
        <f>IF(OR(ISERR(AX39/AX38-1),AX39=""),"",IF($B90=parametros!$I$3,AX38/AX39-1,AX39/AX38-1))</f>
        <v/>
      </c>
      <c r="AY40" s="51" t="str">
        <f>IF(OR(ISERR(AY39/AY38-1),AY39=""),"",IF($B90=parametros!$I$3,AY38/AY39-1,AY39/AY38-1))</f>
        <v/>
      </c>
      <c r="AZ40" s="51" t="str">
        <f>IF(OR(ISERR(AZ39/AZ38-1),AZ39=""),"",IF($B90=parametros!$I$3,AZ38/AZ39-1,AZ39/AZ38-1))</f>
        <v/>
      </c>
      <c r="BA40" s="51" t="str">
        <f>IF(OR(ISERR(BA39/BA38-1),BA39=""),"",IF($B90=parametros!$I$3,BA38/BA39-1,BA39/BA38-1))</f>
        <v/>
      </c>
      <c r="BB40" s="51" t="str">
        <f>IF(OR(ISERR(BB39/BB38-1),BB39=""),"",IF($B90=parametros!$I$3,BB38/BB39-1,BB39/BB38-1))</f>
        <v/>
      </c>
      <c r="BC40" s="51" t="str">
        <f>IF(OR(ISERR(BC39/BC38-1),BC39=""),"",IF($B90=parametros!$I$3,BC38/BC39-1,BC39/BC38-1))</f>
        <v/>
      </c>
      <c r="BD40" s="51" t="str">
        <f>IF(OR(ISERR(BD39/BD38-1),BD39=""),"",IF($B90=parametros!$I$3,BD38/BD39-1,BD39/BD38-1))</f>
        <v/>
      </c>
      <c r="BE40" s="51" t="str">
        <f>IF(OR(ISERR(BE39/BE38-1),BE39=""),"",IF($B90=parametros!$I$3,BE38/BE39-1,BE39/BE38-1))</f>
        <v/>
      </c>
      <c r="BF40" s="51" t="str">
        <f>IF(OR(ISERR(BF39/BF38-1),BF39=""),"",IF($B90=parametros!$I$3,BF38/BF39-1,BF39/BF38-1))</f>
        <v/>
      </c>
      <c r="BG40" s="51" t="str">
        <f>IF(OR(ISERR(BG39/BG38-1),BG39=""),"",IF($B90=parametros!$I$3,BG38/BG39-1,BG39/BG38-1))</f>
        <v/>
      </c>
      <c r="BH40" s="51" t="str">
        <f>IF(OR(ISERR(BH39/BH38-1),BH39=""),"",IF($B90=parametros!$I$3,BH38/BH39-1,BH39/BH38-1))</f>
        <v/>
      </c>
      <c r="BI40" s="51" t="str">
        <f>IF(OR(ISERR(BI39/BI38-1),BI39=""),"",IF($B90=parametros!$I$3,BI38/BI39-1,BI39/BI38-1))</f>
        <v/>
      </c>
      <c r="BJ40" s="51" t="str">
        <f>IF(OR(ISERR(BJ39/BJ38-1),BJ39=""),"",IF($B90=parametros!$I$3,BJ38/BJ39-1,BJ39/BJ38-1))</f>
        <v/>
      </c>
      <c r="BK40" s="51" t="str">
        <f>IF(OR(ISERR(BK39/BK38-1),BK39=""),"",IF($B90=parametros!$I$3,BK38/BK39-1,BK39/BK38-1))</f>
        <v/>
      </c>
      <c r="BM40" s="51" t="str">
        <f>IF(OR(ISERR(BM39/BM38-1),BM39=""),"",IF($B90=parametros!$I$3,BM38/BM39-1,BM39/BM38-1))</f>
        <v/>
      </c>
      <c r="BN40" s="51" t="str">
        <f>IF(OR(ISERR(BN39/BN38-1),BN39=""),"",IF($B90=parametros!$I$3,BN38/BN39-1,BN39/BN38-1))</f>
        <v/>
      </c>
      <c r="BO40" s="51" t="str">
        <f>IF(OR(ISERR(BO39/BO38-1),BO39=""),"",IF($B90=parametros!$I$3,BO38/BO39-1,BO39/BO38-1))</f>
        <v/>
      </c>
      <c r="BP40" s="51" t="str">
        <f>IF(OR(ISERR(BP39/BP38-1),BP39=""),"",IF($B90=parametros!$I$3,BP38/BP39-1,BP39/BP38-1))</f>
        <v/>
      </c>
      <c r="BQ40" s="51" t="str">
        <f>IF(OR(ISERR(BQ39/BQ38-1),BQ39=""),"",IF($B90=parametros!$I$3,BQ38/BQ39-1,BQ39/BQ38-1))</f>
        <v/>
      </c>
      <c r="BR40" s="51" t="str">
        <f>IF(OR(ISERR(BR39/BR38-1),BR39=""),"",IF($B90=parametros!$I$3,BR38/BR39-1,BR39/BR38-1))</f>
        <v/>
      </c>
      <c r="BS40" s="51" t="str">
        <f>IF(OR(ISERR(BS39/BS38-1),BS39=""),"",IF($B90=parametros!$I$3,BS38/BS39-1,BS39/BS38-1))</f>
        <v/>
      </c>
      <c r="BT40" s="51" t="str">
        <f>IF(OR(ISERR(BT39/BT38-1),BT39=""),"",IF($B90=parametros!$I$3,BT38/BT39-1,BT39/BT38-1))</f>
        <v/>
      </c>
      <c r="BU40" s="51" t="str">
        <f>IF(OR(ISERR(BU39/BU38-1),BU39=""),"",IF($B90=parametros!$I$3,BU38/BU39-1,BU39/BU38-1))</f>
        <v/>
      </c>
      <c r="BV40" s="51" t="str">
        <f>IF(OR(ISERR(BV39/BV38-1),BV39=""),"",IF($B90=parametros!$I$3,BV38/BV39-1,BV39/BV38-1))</f>
        <v/>
      </c>
      <c r="BW40" s="51" t="str">
        <f>IF(OR(ISERR(BW39/BW38-1),BW39=""),"",IF($B90=parametros!$I$3,BW38/BW39-1,BW39/BW38-1))</f>
        <v/>
      </c>
      <c r="BX40" s="51" t="str">
        <f>IF(OR(ISERR(BX39/BX38-1),BX39=""),"",IF($B90=parametros!$I$3,BX38/BX39-1,BX39/BX38-1))</f>
        <v/>
      </c>
      <c r="BY40" s="51" t="str">
        <f>IF(OR(ISERR(BY39/BY38-1),BY39=""),"",IF($B90=parametros!$I$3,BY38/BY39-1,BY39/BY38-1))</f>
        <v/>
      </c>
      <c r="BZ40" s="51" t="str">
        <f>IF(OR(ISERR(BZ39/BZ38-1),BZ39=""),"",IF($B90=parametros!$I$3,BZ38/BZ39-1,BZ39/BZ38-1))</f>
        <v/>
      </c>
    </row>
    <row r="41" spans="1:78" ht="4.95" customHeight="1" x14ac:dyDescent="0.4"/>
    <row r="42" spans="1:78" ht="22.05" customHeight="1" thickBot="1" x14ac:dyDescent="0.45">
      <c r="B42" s="104">
        <f>8</f>
        <v>8</v>
      </c>
      <c r="C42" s="33" t="s">
        <v>71</v>
      </c>
      <c r="D42" s="41" t="s">
        <v>44</v>
      </c>
      <c r="E42" s="34" t="s">
        <v>47</v>
      </c>
      <c r="F42" s="34" t="s">
        <v>48</v>
      </c>
      <c r="G42" s="34" t="s">
        <v>49</v>
      </c>
      <c r="H42" s="34" t="s">
        <v>50</v>
      </c>
      <c r="I42" s="34" t="s">
        <v>51</v>
      </c>
      <c r="J42" s="34" t="s">
        <v>52</v>
      </c>
      <c r="K42" s="34" t="s">
        <v>53</v>
      </c>
      <c r="L42" s="34" t="s">
        <v>54</v>
      </c>
      <c r="M42" s="34" t="s">
        <v>55</v>
      </c>
      <c r="N42" s="34" t="s">
        <v>56</v>
      </c>
      <c r="O42" s="34" t="s">
        <v>57</v>
      </c>
      <c r="P42" s="34" t="s">
        <v>58</v>
      </c>
      <c r="Q42" s="34" t="s">
        <v>59</v>
      </c>
      <c r="R42" s="35" t="s">
        <v>60</v>
      </c>
      <c r="T42" s="34" t="s">
        <v>47</v>
      </c>
      <c r="U42" s="34" t="s">
        <v>48</v>
      </c>
      <c r="V42" s="34" t="s">
        <v>49</v>
      </c>
      <c r="W42" s="34" t="s">
        <v>50</v>
      </c>
      <c r="X42" s="34" t="s">
        <v>51</v>
      </c>
      <c r="Y42" s="34" t="s">
        <v>52</v>
      </c>
      <c r="Z42" s="34" t="s">
        <v>53</v>
      </c>
      <c r="AA42" s="34" t="s">
        <v>54</v>
      </c>
      <c r="AB42" s="34" t="s">
        <v>55</v>
      </c>
      <c r="AC42" s="34" t="s">
        <v>56</v>
      </c>
      <c r="AD42" s="34" t="s">
        <v>57</v>
      </c>
      <c r="AE42" s="34" t="s">
        <v>58</v>
      </c>
      <c r="AF42" s="34" t="s">
        <v>59</v>
      </c>
      <c r="AG42" s="35" t="s">
        <v>60</v>
      </c>
      <c r="AI42" s="34" t="s">
        <v>47</v>
      </c>
      <c r="AJ42" s="34" t="s">
        <v>48</v>
      </c>
      <c r="AK42" s="34" t="s">
        <v>49</v>
      </c>
      <c r="AL42" s="34" t="s">
        <v>50</v>
      </c>
      <c r="AM42" s="34" t="s">
        <v>51</v>
      </c>
      <c r="AN42" s="34" t="s">
        <v>52</v>
      </c>
      <c r="AO42" s="34" t="s">
        <v>53</v>
      </c>
      <c r="AP42" s="34" t="s">
        <v>54</v>
      </c>
      <c r="AQ42" s="34" t="s">
        <v>55</v>
      </c>
      <c r="AR42" s="34" t="s">
        <v>56</v>
      </c>
      <c r="AS42" s="34" t="s">
        <v>57</v>
      </c>
      <c r="AT42" s="34" t="s">
        <v>58</v>
      </c>
      <c r="AU42" s="34" t="s">
        <v>59</v>
      </c>
      <c r="AV42" s="35" t="s">
        <v>60</v>
      </c>
      <c r="AX42" s="34" t="s">
        <v>47</v>
      </c>
      <c r="AY42" s="34" t="s">
        <v>48</v>
      </c>
      <c r="AZ42" s="34" t="s">
        <v>49</v>
      </c>
      <c r="BA42" s="34" t="s">
        <v>50</v>
      </c>
      <c r="BB42" s="34" t="s">
        <v>51</v>
      </c>
      <c r="BC42" s="34" t="s">
        <v>52</v>
      </c>
      <c r="BD42" s="34" t="s">
        <v>53</v>
      </c>
      <c r="BE42" s="34" t="s">
        <v>54</v>
      </c>
      <c r="BF42" s="34" t="s">
        <v>55</v>
      </c>
      <c r="BG42" s="34" t="s">
        <v>56</v>
      </c>
      <c r="BH42" s="34" t="s">
        <v>57</v>
      </c>
      <c r="BI42" s="34" t="s">
        <v>58</v>
      </c>
      <c r="BJ42" s="34" t="s">
        <v>59</v>
      </c>
      <c r="BK42" s="35" t="s">
        <v>60</v>
      </c>
      <c r="BM42" s="34" t="s">
        <v>47</v>
      </c>
      <c r="BN42" s="34" t="s">
        <v>48</v>
      </c>
      <c r="BO42" s="34" t="s">
        <v>49</v>
      </c>
      <c r="BP42" s="34" t="s">
        <v>50</v>
      </c>
      <c r="BQ42" s="34" t="s">
        <v>51</v>
      </c>
      <c r="BR42" s="34" t="s">
        <v>52</v>
      </c>
      <c r="BS42" s="34" t="s">
        <v>53</v>
      </c>
      <c r="BT42" s="34" t="s">
        <v>54</v>
      </c>
      <c r="BU42" s="34" t="s">
        <v>55</v>
      </c>
      <c r="BV42" s="34" t="s">
        <v>56</v>
      </c>
      <c r="BW42" s="34" t="s">
        <v>57</v>
      </c>
      <c r="BX42" s="34" t="s">
        <v>58</v>
      </c>
      <c r="BY42" s="34" t="s">
        <v>59</v>
      </c>
      <c r="BZ42" s="35" t="s">
        <v>60</v>
      </c>
    </row>
    <row r="43" spans="1:78" ht="22.05" customHeight="1" thickBot="1" x14ac:dyDescent="0.45">
      <c r="A43" s="104" t="str">
        <f>_xlfn.CONCAT(D43,B42)</f>
        <v>Planejado8</v>
      </c>
      <c r="C43" s="248" t="str">
        <f>C66</f>
        <v xml:space="preserve">: </v>
      </c>
      <c r="D43" s="37" t="s">
        <v>61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s="45">
        <f>SUMIF(E100:P100,"=1",E43:P43)</f>
        <v>0</v>
      </c>
      <c r="R43" s="46">
        <f>SUM(E43:P43)</f>
        <v>0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4"/>
      <c r="AF43" s="45">
        <f>SUMIF(T100:AE100,"=1",T43:AE43)</f>
        <v>0</v>
      </c>
      <c r="AG43" s="46">
        <f>SUM(T43:AE43)</f>
        <v>0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4"/>
      <c r="AU43" s="45">
        <f>SUMIF(AI100:AT100,"=1",AI43:AT43)</f>
        <v>0</v>
      </c>
      <c r="AV43" s="46">
        <f>SUM(AI43:AT43)</f>
        <v>0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4"/>
      <c r="BJ43" s="45">
        <f>SUMIF(AX100:BI100,"=1",AX43:BI43)</f>
        <v>0</v>
      </c>
      <c r="BK43" s="46">
        <f>SUM(AX43:BI43)</f>
        <v>0</v>
      </c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4"/>
      <c r="BY43" s="45">
        <f>SUMIF(BM100:BX100,"=1",BM43:BX43)</f>
        <v>0</v>
      </c>
      <c r="BZ43" s="46">
        <f>SUM(BM43:BX43)</f>
        <v>0</v>
      </c>
    </row>
    <row r="44" spans="1:78" ht="22.05" customHeight="1" thickBot="1" x14ac:dyDescent="0.45">
      <c r="A44" s="104" t="str">
        <f>_xlfn.CONCAT(D44,B42)</f>
        <v>Realizado8</v>
      </c>
      <c r="C44" s="249"/>
      <c r="D44" s="38" t="s">
        <v>62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9"/>
      <c r="Q44" s="45">
        <f>SUMIF(E100:P100,"=1",E44:P44)</f>
        <v>0</v>
      </c>
      <c r="R44" s="46">
        <f>SUM(E44:P44)</f>
        <v>0</v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9"/>
      <c r="AF44" s="45">
        <f>SUMIF(T100:AE100,"=1",T44:AE44)</f>
        <v>0</v>
      </c>
      <c r="AG44" s="46">
        <f>SUM(T44:AE44)</f>
        <v>0</v>
      </c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9"/>
      <c r="AU44" s="45">
        <f>SUMIF(AI100:AT100,"=1",AI44:AT44)</f>
        <v>0</v>
      </c>
      <c r="AV44" s="46">
        <f>SUM(AI44:AT44)</f>
        <v>0</v>
      </c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9"/>
      <c r="BJ44" s="45">
        <f>SUMIF(AX100:BI100,"=1",AX44:BI44)</f>
        <v>0</v>
      </c>
      <c r="BK44" s="46">
        <f>SUM(AX44:BI44)</f>
        <v>0</v>
      </c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9"/>
      <c r="BY44" s="45">
        <f>SUMIF(BM100:BX100,"=1",BM44:BX44)</f>
        <v>0</v>
      </c>
      <c r="BZ44" s="46">
        <f>SUM(BM44:BX44)</f>
        <v>0</v>
      </c>
    </row>
    <row r="45" spans="1:78" ht="22.05" customHeight="1" thickBot="1" x14ac:dyDescent="0.45">
      <c r="C45" s="249"/>
      <c r="D45" s="36" t="s">
        <v>63</v>
      </c>
      <c r="E45" s="51" t="str">
        <f>IF(OR(ISERR(E44/E43-1),E44=""),"",IF($B94=parametros!$I$3,E43/E44-1,E44/E43-1))</f>
        <v/>
      </c>
      <c r="F45" s="51" t="str">
        <f>IF(OR(ISERR(F44/F43-1),F44=""),"",IF($B94=parametros!$I$3,F43/F44-1,F44/F43-1))</f>
        <v/>
      </c>
      <c r="G45" s="51" t="str">
        <f>IF(OR(ISERR(G44/G43-1),G44=""),"",IF($B94=parametros!$I$3,G43/G44-1,G44/G43-1))</f>
        <v/>
      </c>
      <c r="H45" s="51" t="str">
        <f>IF(OR(ISERR(H44/H43-1),H44=""),"",IF($B94=parametros!$I$3,H43/H44-1,H44/H43-1))</f>
        <v/>
      </c>
      <c r="I45" s="51" t="str">
        <f>IF(OR(ISERR(I44/I43-1),I44=""),"",IF($B94=parametros!$I$3,I43/I44-1,I44/I43-1))</f>
        <v/>
      </c>
      <c r="J45" s="51" t="str">
        <f>IF(OR(ISERR(J44/J43-1),J44=""),"",IF($B94=parametros!$I$3,J43/J44-1,J44/J43-1))</f>
        <v/>
      </c>
      <c r="K45" s="51" t="str">
        <f>IF(OR(ISERR(K44/K43-1),K44=""),"",IF($B94=parametros!$I$3,K43/K44-1,K44/K43-1))</f>
        <v/>
      </c>
      <c r="L45" s="51" t="str">
        <f>IF(OR(ISERR(L44/L43-1),L44=""),"",IF($B94=parametros!$I$3,L43/L44-1,L44/L43-1))</f>
        <v/>
      </c>
      <c r="M45" s="51" t="str">
        <f>IF(OR(ISERR(M44/M43-1),M44=""),"",IF($B94=parametros!$I$3,M43/M44-1,M44/M43-1))</f>
        <v/>
      </c>
      <c r="N45" s="51" t="str">
        <f>IF(OR(ISERR(N44/N43-1),N44=""),"",IF($B94=parametros!$I$3,N43/N44-1,N44/N43-1))</f>
        <v/>
      </c>
      <c r="O45" s="51" t="str">
        <f>IF(OR(ISERR(O44/O43-1),O44=""),"",IF($B94=parametros!$I$3,O43/O44-1,O44/O43-1))</f>
        <v/>
      </c>
      <c r="P45" s="51" t="str">
        <f>IF(OR(ISERR(P44/P43-1),P44=""),"",IF($B94=parametros!$I$3,P43/P44-1,P44/P43-1))</f>
        <v/>
      </c>
      <c r="Q45" s="51" t="str">
        <f>IF(OR(ISERR(Q44/Q43-1),Q44=""),"",IF($B95=parametros!$I$3,Q43/Q44-1,Q44/Q43-1))</f>
        <v/>
      </c>
      <c r="R45" s="51" t="str">
        <f>IF(OR(ISERR(R44/R43-1),R44=""),"",IF($B95=parametros!$I$3,R43/R44-1,R44/R43-1))</f>
        <v/>
      </c>
      <c r="T45" s="51" t="str">
        <f>IF(OR(ISERR(T44/T43-1),T44=""),"",IF($B95=parametros!$I$3,T43/T44-1,T44/T43-1))</f>
        <v/>
      </c>
      <c r="U45" s="51" t="str">
        <f>IF(OR(ISERR(U44/U43-1),U44=""),"",IF($B95=parametros!$I$3,U43/U44-1,U44/U43-1))</f>
        <v/>
      </c>
      <c r="V45" s="51" t="str">
        <f>IF(OR(ISERR(V44/V43-1),V44=""),"",IF($B95=parametros!$I$3,V43/V44-1,V44/V43-1))</f>
        <v/>
      </c>
      <c r="W45" s="51" t="str">
        <f>IF(OR(ISERR(W44/W43-1),W44=""),"",IF($B95=parametros!$I$3,W43/W44-1,W44/W43-1))</f>
        <v/>
      </c>
      <c r="X45" s="51" t="str">
        <f>IF(OR(ISERR(X44/X43-1),X44=""),"",IF($B95=parametros!$I$3,X43/X44-1,X44/X43-1))</f>
        <v/>
      </c>
      <c r="Y45" s="51" t="str">
        <f>IF(OR(ISERR(Y44/Y43-1),Y44=""),"",IF($B95=parametros!$I$3,Y43/Y44-1,Y44/Y43-1))</f>
        <v/>
      </c>
      <c r="Z45" s="51" t="str">
        <f>IF(OR(ISERR(Z44/Z43-1),Z44=""),"",IF($B95=parametros!$I$3,Z43/Z44-1,Z44/Z43-1))</f>
        <v/>
      </c>
      <c r="AA45" s="51" t="str">
        <f>IF(OR(ISERR(AA44/AA43-1),AA44=""),"",IF($B95=parametros!$I$3,AA43/AA44-1,AA44/AA43-1))</f>
        <v/>
      </c>
      <c r="AB45" s="51" t="str">
        <f>IF(OR(ISERR(AB44/AB43-1),AB44=""),"",IF($B95=parametros!$I$3,AB43/AB44-1,AB44/AB43-1))</f>
        <v/>
      </c>
      <c r="AC45" s="51" t="str">
        <f>IF(OR(ISERR(AC44/AC43-1),AC44=""),"",IF($B95=parametros!$I$3,AC43/AC44-1,AC44/AC43-1))</f>
        <v/>
      </c>
      <c r="AD45" s="51" t="str">
        <f>IF(OR(ISERR(AD44/AD43-1),AD44=""),"",IF($B95=parametros!$I$3,AD43/AD44-1,AD44/AD43-1))</f>
        <v/>
      </c>
      <c r="AE45" s="51" t="str">
        <f>IF(OR(ISERR(AE44/AE43-1),AE44=""),"",IF($B95=parametros!$I$3,AE43/AE44-1,AE44/AE43-1))</f>
        <v/>
      </c>
      <c r="AF45" s="51" t="str">
        <f>IF(OR(ISERR(AF44/AF43-1),AF44=""),"",IF($B95=parametros!$I$3,AF43/AF44-1,AF44/AF43-1))</f>
        <v/>
      </c>
      <c r="AG45" s="51" t="str">
        <f>IF(OR(ISERR(AG44/AG43-1),AG44=""),"",IF($B95=parametros!$I$3,AG43/AG44-1,AG44/AG43-1))</f>
        <v/>
      </c>
      <c r="AI45" s="51" t="str">
        <f>IF(OR(ISERR(AI44/AI43-1),AI44=""),"",IF($B95=parametros!$I$3,AI43/AI44-1,AI44/AI43-1))</f>
        <v/>
      </c>
      <c r="AJ45" s="51" t="str">
        <f>IF(OR(ISERR(AJ44/AJ43-1),AJ44=""),"",IF($B95=parametros!$I$3,AJ43/AJ44-1,AJ44/AJ43-1))</f>
        <v/>
      </c>
      <c r="AK45" s="51" t="str">
        <f>IF(OR(ISERR(AK44/AK43-1),AK44=""),"",IF($B95=parametros!$I$3,AK43/AK44-1,AK44/AK43-1))</f>
        <v/>
      </c>
      <c r="AL45" s="51" t="str">
        <f>IF(OR(ISERR(AL44/AL43-1),AL44=""),"",IF($B95=parametros!$I$3,AL43/AL44-1,AL44/AL43-1))</f>
        <v/>
      </c>
      <c r="AM45" s="51" t="str">
        <f>IF(OR(ISERR(AM44/AM43-1),AM44=""),"",IF($B95=parametros!$I$3,AM43/AM44-1,AM44/AM43-1))</f>
        <v/>
      </c>
      <c r="AN45" s="51" t="str">
        <f>IF(OR(ISERR(AN44/AN43-1),AN44=""),"",IF($B95=parametros!$I$3,AN43/AN44-1,AN44/AN43-1))</f>
        <v/>
      </c>
      <c r="AO45" s="51" t="str">
        <f>IF(OR(ISERR(AO44/AO43-1),AO44=""),"",IF($B95=parametros!$I$3,AO43/AO44-1,AO44/AO43-1))</f>
        <v/>
      </c>
      <c r="AP45" s="51" t="str">
        <f>IF(OR(ISERR(AP44/AP43-1),AP44=""),"",IF($B95=parametros!$I$3,AP43/AP44-1,AP44/AP43-1))</f>
        <v/>
      </c>
      <c r="AQ45" s="51" t="str">
        <f>IF(OR(ISERR(AQ44/AQ43-1),AQ44=""),"",IF($B95=parametros!$I$3,AQ43/AQ44-1,AQ44/AQ43-1))</f>
        <v/>
      </c>
      <c r="AR45" s="51" t="str">
        <f>IF(OR(ISERR(AR44/AR43-1),AR44=""),"",IF($B95=parametros!$I$3,AR43/AR44-1,AR44/AR43-1))</f>
        <v/>
      </c>
      <c r="AS45" s="51" t="str">
        <f>IF(OR(ISERR(AS44/AS43-1),AS44=""),"",IF($B95=parametros!$I$3,AS43/AS44-1,AS44/AS43-1))</f>
        <v/>
      </c>
      <c r="AT45" s="51" t="str">
        <f>IF(OR(ISERR(AT44/AT43-1),AT44=""),"",IF($B95=parametros!$I$3,AT43/AT44-1,AT44/AT43-1))</f>
        <v/>
      </c>
      <c r="AU45" s="51" t="str">
        <f>IF(OR(ISERR(AU44/AU43-1),AU44=""),"",IF($B95=parametros!$I$3,AU43/AU44-1,AU44/AU43-1))</f>
        <v/>
      </c>
      <c r="AV45" s="51" t="str">
        <f>IF(OR(ISERR(AV44/AV43-1),AV44=""),"",IF($B95=parametros!$I$3,AV43/AV44-1,AV44/AV43-1))</f>
        <v/>
      </c>
      <c r="AX45" s="51" t="str">
        <f>IF(OR(ISERR(AX44/AX43-1),AX44=""),"",IF($B95=parametros!$I$3,AX43/AX44-1,AX44/AX43-1))</f>
        <v/>
      </c>
      <c r="AY45" s="51" t="str">
        <f>IF(OR(ISERR(AY44/AY43-1),AY44=""),"",IF($B95=parametros!$I$3,AY43/AY44-1,AY44/AY43-1))</f>
        <v/>
      </c>
      <c r="AZ45" s="51" t="str">
        <f>IF(OR(ISERR(AZ44/AZ43-1),AZ44=""),"",IF($B95=parametros!$I$3,AZ43/AZ44-1,AZ44/AZ43-1))</f>
        <v/>
      </c>
      <c r="BA45" s="51" t="str">
        <f>IF(OR(ISERR(BA44/BA43-1),BA44=""),"",IF($B95=parametros!$I$3,BA43/BA44-1,BA44/BA43-1))</f>
        <v/>
      </c>
      <c r="BB45" s="51" t="str">
        <f>IF(OR(ISERR(BB44/BB43-1),BB44=""),"",IF($B95=parametros!$I$3,BB43/BB44-1,BB44/BB43-1))</f>
        <v/>
      </c>
      <c r="BC45" s="51" t="str">
        <f>IF(OR(ISERR(BC44/BC43-1),BC44=""),"",IF($B95=parametros!$I$3,BC43/BC44-1,BC44/BC43-1))</f>
        <v/>
      </c>
      <c r="BD45" s="51" t="str">
        <f>IF(OR(ISERR(BD44/BD43-1),BD44=""),"",IF($B95=parametros!$I$3,BD43/BD44-1,BD44/BD43-1))</f>
        <v/>
      </c>
      <c r="BE45" s="51" t="str">
        <f>IF(OR(ISERR(BE44/BE43-1),BE44=""),"",IF($B95=parametros!$I$3,BE43/BE44-1,BE44/BE43-1))</f>
        <v/>
      </c>
      <c r="BF45" s="51" t="str">
        <f>IF(OR(ISERR(BF44/BF43-1),BF44=""),"",IF($B95=parametros!$I$3,BF43/BF44-1,BF44/BF43-1))</f>
        <v/>
      </c>
      <c r="BG45" s="51" t="str">
        <f>IF(OR(ISERR(BG44/BG43-1),BG44=""),"",IF($B95=parametros!$I$3,BG43/BG44-1,BG44/BG43-1))</f>
        <v/>
      </c>
      <c r="BH45" s="51" t="str">
        <f>IF(OR(ISERR(BH44/BH43-1),BH44=""),"",IF($B95=parametros!$I$3,BH43/BH44-1,BH44/BH43-1))</f>
        <v/>
      </c>
      <c r="BI45" s="51" t="str">
        <f>IF(OR(ISERR(BI44/BI43-1),BI44=""),"",IF($B95=parametros!$I$3,BI43/BI44-1,BI44/BI43-1))</f>
        <v/>
      </c>
      <c r="BJ45" s="51" t="str">
        <f>IF(OR(ISERR(BJ44/BJ43-1),BJ44=""),"",IF($B95=parametros!$I$3,BJ43/BJ44-1,BJ44/BJ43-1))</f>
        <v/>
      </c>
      <c r="BK45" s="51" t="str">
        <f>IF(OR(ISERR(BK44/BK43-1),BK44=""),"",IF($B95=parametros!$I$3,BK43/BK44-1,BK44/BK43-1))</f>
        <v/>
      </c>
      <c r="BM45" s="51" t="str">
        <f>IF(OR(ISERR(BM44/BM43-1),BM44=""),"",IF($B95=parametros!$I$3,BM43/BM44-1,BM44/BM43-1))</f>
        <v/>
      </c>
      <c r="BN45" s="51" t="str">
        <f>IF(OR(ISERR(BN44/BN43-1),BN44=""),"",IF($B95=parametros!$I$3,BN43/BN44-1,BN44/BN43-1))</f>
        <v/>
      </c>
      <c r="BO45" s="51" t="str">
        <f>IF(OR(ISERR(BO44/BO43-1),BO44=""),"",IF($B95=parametros!$I$3,BO43/BO44-1,BO44/BO43-1))</f>
        <v/>
      </c>
      <c r="BP45" s="51" t="str">
        <f>IF(OR(ISERR(BP44/BP43-1),BP44=""),"",IF($B95=parametros!$I$3,BP43/BP44-1,BP44/BP43-1))</f>
        <v/>
      </c>
      <c r="BQ45" s="51" t="str">
        <f>IF(OR(ISERR(BQ44/BQ43-1),BQ44=""),"",IF($B95=parametros!$I$3,BQ43/BQ44-1,BQ44/BQ43-1))</f>
        <v/>
      </c>
      <c r="BR45" s="51" t="str">
        <f>IF(OR(ISERR(BR44/BR43-1),BR44=""),"",IF($B95=parametros!$I$3,BR43/BR44-1,BR44/BR43-1))</f>
        <v/>
      </c>
      <c r="BS45" s="51" t="str">
        <f>IF(OR(ISERR(BS44/BS43-1),BS44=""),"",IF($B95=parametros!$I$3,BS43/BS44-1,BS44/BS43-1))</f>
        <v/>
      </c>
      <c r="BT45" s="51" t="str">
        <f>IF(OR(ISERR(BT44/BT43-1),BT44=""),"",IF($B95=parametros!$I$3,BT43/BT44-1,BT44/BT43-1))</f>
        <v/>
      </c>
      <c r="BU45" s="51" t="str">
        <f>IF(OR(ISERR(BU44/BU43-1),BU44=""),"",IF($B95=parametros!$I$3,BU43/BU44-1,BU44/BU43-1))</f>
        <v/>
      </c>
      <c r="BV45" s="51" t="str">
        <f>IF(OR(ISERR(BV44/BV43-1),BV44=""),"",IF($B95=parametros!$I$3,BV43/BV44-1,BV44/BV43-1))</f>
        <v/>
      </c>
      <c r="BW45" s="51" t="str">
        <f>IF(OR(ISERR(BW44/BW43-1),BW44=""),"",IF($B95=parametros!$I$3,BW43/BW44-1,BW44/BW43-1))</f>
        <v/>
      </c>
      <c r="BX45" s="51" t="str">
        <f>IF(OR(ISERR(BX44/BX43-1),BX44=""),"",IF($B95=parametros!$I$3,BX43/BX44-1,BX44/BX43-1))</f>
        <v/>
      </c>
      <c r="BY45" s="51" t="str">
        <f>IF(OR(ISERR(BY44/BY43-1),BY44=""),"",IF($B95=parametros!$I$3,BY43/BY44-1,BY44/BY43-1))</f>
        <v/>
      </c>
      <c r="BZ45" s="51" t="str">
        <f>IF(OR(ISERR(BZ44/BZ43-1),BZ44=""),"",IF($B95=parametros!$I$3,BZ43/BZ44-1,BZ44/BZ43-1))</f>
        <v/>
      </c>
    </row>
    <row r="48" spans="1:78" x14ac:dyDescent="0.4">
      <c r="C48" s="105"/>
      <c r="D48" s="105"/>
      <c r="E48" s="105"/>
      <c r="F48" s="105"/>
      <c r="G48" s="105"/>
    </row>
    <row r="49" spans="1:76" x14ac:dyDescent="0.4">
      <c r="C49" s="105"/>
      <c r="D49" s="105"/>
      <c r="E49" s="105"/>
      <c r="F49" s="105"/>
      <c r="G49" s="105"/>
    </row>
    <row r="50" spans="1:76" x14ac:dyDescent="0.4">
      <c r="C50" s="105"/>
      <c r="D50" s="105"/>
      <c r="E50" s="105"/>
      <c r="F50" s="105"/>
      <c r="G50" s="105"/>
    </row>
    <row r="51" spans="1:76" x14ac:dyDescent="0.4">
      <c r="C51" s="105"/>
      <c r="D51" s="105"/>
      <c r="E51" s="105"/>
      <c r="F51" s="105"/>
      <c r="G51" s="105"/>
    </row>
    <row r="52" spans="1:76" x14ac:dyDescent="0.4">
      <c r="C52" s="105"/>
      <c r="D52" s="105"/>
      <c r="E52" s="105"/>
      <c r="F52" s="105"/>
      <c r="G52" s="105"/>
    </row>
    <row r="53" spans="1:76" x14ac:dyDescent="0.4">
      <c r="C53" s="105"/>
      <c r="D53" s="105"/>
      <c r="E53" s="105"/>
      <c r="F53" s="105"/>
      <c r="G53" s="105"/>
    </row>
    <row r="54" spans="1:76" x14ac:dyDescent="0.4">
      <c r="C54" s="105"/>
      <c r="D54" s="105"/>
      <c r="E54" s="105"/>
      <c r="F54" s="105"/>
      <c r="G54" s="105"/>
    </row>
    <row r="55" spans="1:76" x14ac:dyDescent="0.4">
      <c r="C55" s="105"/>
      <c r="D55" s="105"/>
      <c r="E55" s="105"/>
      <c r="F55" s="105"/>
      <c r="G55" s="105"/>
    </row>
    <row r="56" spans="1:76" s="104" customFormat="1" x14ac:dyDescent="0.4"/>
    <row r="57" spans="1:76" s="104" customFormat="1" x14ac:dyDescent="0.4"/>
    <row r="58" spans="1:76" s="104" customFormat="1" x14ac:dyDescent="0.4"/>
    <row r="59" spans="1:76" s="104" customFormat="1" x14ac:dyDescent="0.4">
      <c r="A59" s="104" t="str">
        <f>me!C17</f>
        <v>Aumentar</v>
      </c>
      <c r="B59" s="104" t="str">
        <f>me!D17</f>
        <v>Crescimento</v>
      </c>
      <c r="C59" s="104" t="str">
        <f>_xlfn.CONCAT(me!C17,": ",me!D17)</f>
        <v>Aumentar: Crescimento</v>
      </c>
      <c r="D59" s="104">
        <f>R8</f>
        <v>0</v>
      </c>
      <c r="E59" s="104">
        <f>R9</f>
        <v>0</v>
      </c>
      <c r="F59" s="104" t="str">
        <f t="shared" ref="F59:P59" si="0">IF(F8="","",1)</f>
        <v/>
      </c>
      <c r="G59" s="104" t="str">
        <f t="shared" si="0"/>
        <v/>
      </c>
      <c r="H59" s="104" t="str">
        <f t="shared" si="0"/>
        <v/>
      </c>
      <c r="I59" s="104" t="str">
        <f t="shared" si="0"/>
        <v/>
      </c>
      <c r="J59" s="104" t="str">
        <f t="shared" si="0"/>
        <v/>
      </c>
      <c r="K59" s="104" t="str">
        <f t="shared" si="0"/>
        <v/>
      </c>
      <c r="L59" s="104" t="str">
        <f t="shared" si="0"/>
        <v/>
      </c>
      <c r="M59" s="104" t="str">
        <f t="shared" si="0"/>
        <v/>
      </c>
      <c r="N59" s="104" t="str">
        <f t="shared" si="0"/>
        <v/>
      </c>
      <c r="O59" s="104" t="str">
        <f t="shared" si="0"/>
        <v/>
      </c>
      <c r="P59" s="104" t="str">
        <f t="shared" si="0"/>
        <v/>
      </c>
      <c r="T59" s="104" t="str">
        <f>IF(T8="","",1)</f>
        <v/>
      </c>
      <c r="U59" s="104" t="str">
        <f t="shared" ref="U59:AE59" si="1">IF(U8="","",1)</f>
        <v/>
      </c>
      <c r="V59" s="104" t="str">
        <f t="shared" si="1"/>
        <v/>
      </c>
      <c r="W59" s="104" t="str">
        <f t="shared" si="1"/>
        <v/>
      </c>
      <c r="X59" s="104" t="str">
        <f t="shared" si="1"/>
        <v/>
      </c>
      <c r="Y59" s="104" t="str">
        <f t="shared" si="1"/>
        <v/>
      </c>
      <c r="Z59" s="104" t="str">
        <f t="shared" si="1"/>
        <v/>
      </c>
      <c r="AA59" s="104" t="str">
        <f t="shared" si="1"/>
        <v/>
      </c>
      <c r="AB59" s="104" t="str">
        <f t="shared" si="1"/>
        <v/>
      </c>
      <c r="AC59" s="104" t="str">
        <f t="shared" si="1"/>
        <v/>
      </c>
      <c r="AD59" s="104" t="str">
        <f t="shared" si="1"/>
        <v/>
      </c>
      <c r="AE59" s="104" t="str">
        <f t="shared" si="1"/>
        <v/>
      </c>
      <c r="AI59" s="104" t="str">
        <f>IF(AI8="","",1)</f>
        <v/>
      </c>
      <c r="AJ59" s="104" t="str">
        <f t="shared" ref="AJ59:AT59" si="2">IF(AJ8="","",1)</f>
        <v/>
      </c>
      <c r="AK59" s="104" t="str">
        <f t="shared" si="2"/>
        <v/>
      </c>
      <c r="AL59" s="104" t="str">
        <f t="shared" si="2"/>
        <v/>
      </c>
      <c r="AM59" s="104" t="str">
        <f t="shared" si="2"/>
        <v/>
      </c>
      <c r="AN59" s="104" t="str">
        <f t="shared" si="2"/>
        <v/>
      </c>
      <c r="AO59" s="104" t="str">
        <f t="shared" si="2"/>
        <v/>
      </c>
      <c r="AP59" s="104" t="str">
        <f t="shared" si="2"/>
        <v/>
      </c>
      <c r="AQ59" s="104" t="str">
        <f t="shared" si="2"/>
        <v/>
      </c>
      <c r="AR59" s="104" t="str">
        <f t="shared" si="2"/>
        <v/>
      </c>
      <c r="AS59" s="104" t="str">
        <f t="shared" si="2"/>
        <v/>
      </c>
      <c r="AT59" s="104" t="str">
        <f t="shared" si="2"/>
        <v/>
      </c>
      <c r="AX59" s="104" t="str">
        <f>IF(AX8="","",1)</f>
        <v/>
      </c>
      <c r="AY59" s="104" t="str">
        <f t="shared" ref="AY59:BI59" si="3">IF(AY8="","",1)</f>
        <v/>
      </c>
      <c r="AZ59" s="104" t="str">
        <f t="shared" si="3"/>
        <v/>
      </c>
      <c r="BA59" s="104" t="str">
        <f t="shared" si="3"/>
        <v/>
      </c>
      <c r="BB59" s="104" t="str">
        <f t="shared" si="3"/>
        <v/>
      </c>
      <c r="BC59" s="104" t="str">
        <f t="shared" si="3"/>
        <v/>
      </c>
      <c r="BD59" s="104" t="str">
        <f t="shared" si="3"/>
        <v/>
      </c>
      <c r="BE59" s="104" t="str">
        <f t="shared" si="3"/>
        <v/>
      </c>
      <c r="BF59" s="104" t="str">
        <f t="shared" si="3"/>
        <v/>
      </c>
      <c r="BG59" s="104" t="str">
        <f t="shared" si="3"/>
        <v/>
      </c>
      <c r="BH59" s="104" t="str">
        <f t="shared" si="3"/>
        <v/>
      </c>
      <c r="BI59" s="104" t="str">
        <f t="shared" si="3"/>
        <v/>
      </c>
      <c r="BM59" s="104" t="str">
        <f>IF(BM8="","",1)</f>
        <v/>
      </c>
      <c r="BN59" s="104" t="str">
        <f t="shared" ref="BN59:BX59" si="4">IF(BN8="","",1)</f>
        <v/>
      </c>
      <c r="BO59" s="104" t="str">
        <f t="shared" si="4"/>
        <v/>
      </c>
      <c r="BP59" s="104" t="str">
        <f t="shared" si="4"/>
        <v/>
      </c>
      <c r="BQ59" s="104" t="str">
        <f t="shared" si="4"/>
        <v/>
      </c>
      <c r="BR59" s="104" t="str">
        <f t="shared" si="4"/>
        <v/>
      </c>
      <c r="BS59" s="104" t="str">
        <f t="shared" si="4"/>
        <v/>
      </c>
      <c r="BT59" s="104" t="str">
        <f t="shared" si="4"/>
        <v/>
      </c>
      <c r="BU59" s="104" t="str">
        <f t="shared" si="4"/>
        <v/>
      </c>
      <c r="BV59" s="104" t="str">
        <f t="shared" si="4"/>
        <v/>
      </c>
      <c r="BW59" s="104" t="str">
        <f t="shared" si="4"/>
        <v/>
      </c>
      <c r="BX59" s="104" t="str">
        <f t="shared" si="4"/>
        <v/>
      </c>
    </row>
    <row r="60" spans="1:76" s="104" customFormat="1" x14ac:dyDescent="0.4">
      <c r="A60" s="104">
        <f>me!C18</f>
        <v>0</v>
      </c>
      <c r="B60" s="104">
        <f>me!D18</f>
        <v>0</v>
      </c>
      <c r="C60" s="104" t="str">
        <f>_xlfn.CONCAT(me!C18,": ",me!D18)</f>
        <v xml:space="preserve">: </v>
      </c>
      <c r="D60" s="104">
        <f>R13</f>
        <v>0</v>
      </c>
      <c r="E60" s="104">
        <f>R14</f>
        <v>0</v>
      </c>
      <c r="F60" s="104" t="str">
        <f t="shared" ref="F60:P61" si="5">IF(F9="","",1)</f>
        <v/>
      </c>
      <c r="G60" s="104" t="str">
        <f t="shared" si="5"/>
        <v/>
      </c>
      <c r="H60" s="104" t="str">
        <f t="shared" si="5"/>
        <v/>
      </c>
      <c r="I60" s="104" t="str">
        <f t="shared" si="5"/>
        <v/>
      </c>
      <c r="J60" s="104" t="str">
        <f t="shared" si="5"/>
        <v/>
      </c>
      <c r="K60" s="104" t="str">
        <f t="shared" si="5"/>
        <v/>
      </c>
      <c r="L60" s="104" t="str">
        <f t="shared" si="5"/>
        <v/>
      </c>
      <c r="M60" s="104" t="str">
        <f t="shared" si="5"/>
        <v/>
      </c>
      <c r="N60" s="104" t="str">
        <f t="shared" si="5"/>
        <v/>
      </c>
      <c r="O60" s="104" t="str">
        <f t="shared" si="5"/>
        <v/>
      </c>
      <c r="P60" s="104" t="str">
        <f t="shared" si="5"/>
        <v/>
      </c>
      <c r="T60" s="104" t="str">
        <f t="shared" ref="T60:AE61" si="6">IF(T9="","",1)</f>
        <v/>
      </c>
      <c r="U60" s="104" t="str">
        <f t="shared" si="6"/>
        <v/>
      </c>
      <c r="V60" s="104" t="str">
        <f t="shared" si="6"/>
        <v/>
      </c>
      <c r="W60" s="104" t="str">
        <f t="shared" si="6"/>
        <v/>
      </c>
      <c r="X60" s="104" t="str">
        <f t="shared" si="6"/>
        <v/>
      </c>
      <c r="Y60" s="104" t="str">
        <f t="shared" si="6"/>
        <v/>
      </c>
      <c r="Z60" s="104" t="str">
        <f t="shared" si="6"/>
        <v/>
      </c>
      <c r="AA60" s="104" t="str">
        <f t="shared" si="6"/>
        <v/>
      </c>
      <c r="AB60" s="104" t="str">
        <f t="shared" si="6"/>
        <v/>
      </c>
      <c r="AC60" s="104" t="str">
        <f t="shared" si="6"/>
        <v/>
      </c>
      <c r="AD60" s="104" t="str">
        <f t="shared" si="6"/>
        <v/>
      </c>
      <c r="AE60" s="104" t="str">
        <f t="shared" si="6"/>
        <v/>
      </c>
      <c r="AI60" s="104" t="str">
        <f t="shared" ref="AI60:AT61" si="7">IF(AI9="","",1)</f>
        <v/>
      </c>
      <c r="AJ60" s="104" t="str">
        <f t="shared" si="7"/>
        <v/>
      </c>
      <c r="AK60" s="104" t="str">
        <f t="shared" si="7"/>
        <v/>
      </c>
      <c r="AL60" s="104" t="str">
        <f t="shared" si="7"/>
        <v/>
      </c>
      <c r="AM60" s="104" t="str">
        <f t="shared" si="7"/>
        <v/>
      </c>
      <c r="AN60" s="104" t="str">
        <f t="shared" si="7"/>
        <v/>
      </c>
      <c r="AO60" s="104" t="str">
        <f t="shared" si="7"/>
        <v/>
      </c>
      <c r="AP60" s="104" t="str">
        <f t="shared" si="7"/>
        <v/>
      </c>
      <c r="AQ60" s="104" t="str">
        <f t="shared" si="7"/>
        <v/>
      </c>
      <c r="AR60" s="104" t="str">
        <f t="shared" si="7"/>
        <v/>
      </c>
      <c r="AS60" s="104" t="str">
        <f t="shared" si="7"/>
        <v/>
      </c>
      <c r="AT60" s="104" t="str">
        <f t="shared" si="7"/>
        <v/>
      </c>
      <c r="AX60" s="104" t="str">
        <f t="shared" ref="AX60:BI61" si="8">IF(AX9="","",1)</f>
        <v/>
      </c>
      <c r="AY60" s="104" t="str">
        <f t="shared" si="8"/>
        <v/>
      </c>
      <c r="AZ60" s="104" t="str">
        <f t="shared" si="8"/>
        <v/>
      </c>
      <c r="BA60" s="104" t="str">
        <f t="shared" si="8"/>
        <v/>
      </c>
      <c r="BB60" s="104" t="str">
        <f t="shared" si="8"/>
        <v/>
      </c>
      <c r="BC60" s="104" t="str">
        <f t="shared" si="8"/>
        <v/>
      </c>
      <c r="BD60" s="104" t="str">
        <f t="shared" si="8"/>
        <v/>
      </c>
      <c r="BE60" s="104" t="str">
        <f t="shared" si="8"/>
        <v/>
      </c>
      <c r="BF60" s="104" t="str">
        <f t="shared" si="8"/>
        <v/>
      </c>
      <c r="BG60" s="104" t="str">
        <f t="shared" si="8"/>
        <v/>
      </c>
      <c r="BH60" s="104" t="str">
        <f t="shared" si="8"/>
        <v/>
      </c>
      <c r="BI60" s="104" t="str">
        <f t="shared" si="8"/>
        <v/>
      </c>
      <c r="BM60" s="104" t="str">
        <f t="shared" ref="BM60:BX61" si="9">IF(BM9="","",1)</f>
        <v/>
      </c>
      <c r="BN60" s="104" t="str">
        <f t="shared" si="9"/>
        <v/>
      </c>
      <c r="BO60" s="104" t="str">
        <f t="shared" si="9"/>
        <v/>
      </c>
      <c r="BP60" s="104" t="str">
        <f t="shared" si="9"/>
        <v/>
      </c>
      <c r="BQ60" s="104" t="str">
        <f t="shared" si="9"/>
        <v/>
      </c>
      <c r="BR60" s="104" t="str">
        <f t="shared" si="9"/>
        <v/>
      </c>
      <c r="BS60" s="104" t="str">
        <f t="shared" si="9"/>
        <v/>
      </c>
      <c r="BT60" s="104" t="str">
        <f t="shared" si="9"/>
        <v/>
      </c>
      <c r="BU60" s="104" t="str">
        <f t="shared" si="9"/>
        <v/>
      </c>
      <c r="BV60" s="104" t="str">
        <f t="shared" si="9"/>
        <v/>
      </c>
      <c r="BW60" s="104" t="str">
        <f t="shared" si="9"/>
        <v/>
      </c>
      <c r="BX60" s="104" t="str">
        <f t="shared" si="9"/>
        <v/>
      </c>
    </row>
    <row r="61" spans="1:76" s="104" customFormat="1" x14ac:dyDescent="0.4">
      <c r="A61" s="104">
        <f>me!C19</f>
        <v>0</v>
      </c>
      <c r="B61" s="104">
        <f>me!D19</f>
        <v>0</v>
      </c>
      <c r="C61" s="104" t="str">
        <f>_xlfn.CONCAT(me!C19,": ",me!D19)</f>
        <v xml:space="preserve">: </v>
      </c>
      <c r="D61" s="104">
        <f>R18</f>
        <v>0</v>
      </c>
      <c r="E61" s="104">
        <f>R19</f>
        <v>0</v>
      </c>
      <c r="F61" s="104" t="str">
        <f t="shared" si="5"/>
        <v/>
      </c>
      <c r="G61" s="104" t="str">
        <f t="shared" si="5"/>
        <v/>
      </c>
      <c r="H61" s="104" t="str">
        <f t="shared" si="5"/>
        <v/>
      </c>
      <c r="I61" s="104" t="str">
        <f t="shared" si="5"/>
        <v/>
      </c>
      <c r="J61" s="104" t="str">
        <f t="shared" si="5"/>
        <v/>
      </c>
      <c r="K61" s="104" t="str">
        <f t="shared" si="5"/>
        <v/>
      </c>
      <c r="L61" s="104" t="str">
        <f t="shared" si="5"/>
        <v/>
      </c>
      <c r="M61" s="104" t="str">
        <f t="shared" si="5"/>
        <v/>
      </c>
      <c r="N61" s="104" t="str">
        <f t="shared" si="5"/>
        <v/>
      </c>
      <c r="O61" s="104" t="str">
        <f t="shared" si="5"/>
        <v/>
      </c>
      <c r="P61" s="104" t="str">
        <f t="shared" si="5"/>
        <v/>
      </c>
      <c r="T61" s="104" t="str">
        <f t="shared" si="6"/>
        <v/>
      </c>
      <c r="U61" s="104" t="str">
        <f t="shared" si="6"/>
        <v/>
      </c>
      <c r="V61" s="104" t="str">
        <f t="shared" si="6"/>
        <v/>
      </c>
      <c r="W61" s="104" t="str">
        <f t="shared" si="6"/>
        <v/>
      </c>
      <c r="X61" s="104" t="str">
        <f t="shared" si="6"/>
        <v/>
      </c>
      <c r="Y61" s="104" t="str">
        <f t="shared" si="6"/>
        <v/>
      </c>
      <c r="Z61" s="104" t="str">
        <f t="shared" si="6"/>
        <v/>
      </c>
      <c r="AA61" s="104" t="str">
        <f t="shared" si="6"/>
        <v/>
      </c>
      <c r="AB61" s="104" t="str">
        <f t="shared" si="6"/>
        <v/>
      </c>
      <c r="AC61" s="104" t="str">
        <f t="shared" si="6"/>
        <v/>
      </c>
      <c r="AD61" s="104" t="str">
        <f t="shared" si="6"/>
        <v/>
      </c>
      <c r="AE61" s="104" t="str">
        <f t="shared" si="6"/>
        <v/>
      </c>
      <c r="AI61" s="104" t="str">
        <f t="shared" si="7"/>
        <v/>
      </c>
      <c r="AJ61" s="104" t="str">
        <f t="shared" si="7"/>
        <v/>
      </c>
      <c r="AK61" s="104" t="str">
        <f t="shared" si="7"/>
        <v/>
      </c>
      <c r="AL61" s="104" t="str">
        <f t="shared" si="7"/>
        <v/>
      </c>
      <c r="AM61" s="104" t="str">
        <f t="shared" si="7"/>
        <v/>
      </c>
      <c r="AN61" s="104" t="str">
        <f t="shared" si="7"/>
        <v/>
      </c>
      <c r="AO61" s="104" t="str">
        <f t="shared" si="7"/>
        <v/>
      </c>
      <c r="AP61" s="104" t="str">
        <f t="shared" si="7"/>
        <v/>
      </c>
      <c r="AQ61" s="104" t="str">
        <f t="shared" si="7"/>
        <v/>
      </c>
      <c r="AR61" s="104" t="str">
        <f t="shared" si="7"/>
        <v/>
      </c>
      <c r="AS61" s="104" t="str">
        <f t="shared" si="7"/>
        <v/>
      </c>
      <c r="AT61" s="104" t="str">
        <f t="shared" si="7"/>
        <v/>
      </c>
      <c r="AX61" s="104" t="str">
        <f t="shared" si="8"/>
        <v/>
      </c>
      <c r="AY61" s="104" t="str">
        <f t="shared" si="8"/>
        <v/>
      </c>
      <c r="AZ61" s="104" t="str">
        <f t="shared" si="8"/>
        <v/>
      </c>
      <c r="BA61" s="104" t="str">
        <f t="shared" si="8"/>
        <v/>
      </c>
      <c r="BB61" s="104" t="str">
        <f t="shared" si="8"/>
        <v/>
      </c>
      <c r="BC61" s="104" t="str">
        <f t="shared" si="8"/>
        <v/>
      </c>
      <c r="BD61" s="104" t="str">
        <f t="shared" si="8"/>
        <v/>
      </c>
      <c r="BE61" s="104" t="str">
        <f t="shared" si="8"/>
        <v/>
      </c>
      <c r="BF61" s="104" t="str">
        <f t="shared" si="8"/>
        <v/>
      </c>
      <c r="BG61" s="104" t="str">
        <f t="shared" si="8"/>
        <v/>
      </c>
      <c r="BH61" s="104" t="str">
        <f t="shared" si="8"/>
        <v/>
      </c>
      <c r="BI61" s="104" t="str">
        <f t="shared" si="8"/>
        <v/>
      </c>
      <c r="BM61" s="104" t="str">
        <f t="shared" si="9"/>
        <v/>
      </c>
      <c r="BN61" s="104" t="str">
        <f t="shared" si="9"/>
        <v/>
      </c>
      <c r="BO61" s="104" t="str">
        <f t="shared" si="9"/>
        <v/>
      </c>
      <c r="BP61" s="104" t="str">
        <f t="shared" si="9"/>
        <v/>
      </c>
      <c r="BQ61" s="104" t="str">
        <f t="shared" si="9"/>
        <v/>
      </c>
      <c r="BR61" s="104" t="str">
        <f t="shared" si="9"/>
        <v/>
      </c>
      <c r="BS61" s="104" t="str">
        <f t="shared" si="9"/>
        <v/>
      </c>
      <c r="BT61" s="104" t="str">
        <f t="shared" si="9"/>
        <v/>
      </c>
      <c r="BU61" s="104" t="str">
        <f t="shared" si="9"/>
        <v/>
      </c>
      <c r="BV61" s="104" t="str">
        <f t="shared" si="9"/>
        <v/>
      </c>
      <c r="BW61" s="104" t="str">
        <f t="shared" si="9"/>
        <v/>
      </c>
      <c r="BX61" s="104" t="str">
        <f t="shared" si="9"/>
        <v/>
      </c>
    </row>
    <row r="62" spans="1:76" s="104" customFormat="1" x14ac:dyDescent="0.4">
      <c r="A62" s="104">
        <f>me!C20</f>
        <v>0</v>
      </c>
      <c r="B62" s="104">
        <f>me!D20</f>
        <v>0</v>
      </c>
      <c r="C62" s="104" t="str">
        <f>_xlfn.CONCAT(me!C20,": ",me!D20)</f>
        <v xml:space="preserve">: </v>
      </c>
      <c r="D62" s="104">
        <f>R23</f>
        <v>0</v>
      </c>
      <c r="E62" s="104">
        <f>R24</f>
        <v>0</v>
      </c>
    </row>
    <row r="63" spans="1:76" s="104" customFormat="1" x14ac:dyDescent="0.4">
      <c r="A63" s="104">
        <f>me!C21</f>
        <v>0</v>
      </c>
      <c r="B63" s="104">
        <f>me!D21</f>
        <v>0</v>
      </c>
      <c r="C63" s="104" t="str">
        <f>_xlfn.CONCAT(me!C21,": ",me!D21)</f>
        <v xml:space="preserve">: </v>
      </c>
      <c r="D63" s="104">
        <f>R28</f>
        <v>0</v>
      </c>
      <c r="E63" s="104">
        <f>R29</f>
        <v>0</v>
      </c>
    </row>
    <row r="64" spans="1:76" s="104" customFormat="1" x14ac:dyDescent="0.4">
      <c r="A64" s="104">
        <f>me!C22</f>
        <v>0</v>
      </c>
      <c r="B64" s="104">
        <f>me!D22</f>
        <v>0</v>
      </c>
      <c r="C64" s="104" t="str">
        <f>_xlfn.CONCAT(me!C22,": ",me!D22)</f>
        <v xml:space="preserve">: </v>
      </c>
      <c r="D64" s="104">
        <f>R33</f>
        <v>0</v>
      </c>
      <c r="E64" s="104">
        <f>R34</f>
        <v>0</v>
      </c>
      <c r="F64" s="104" t="str">
        <f t="shared" ref="F64:P64" si="10">IF(F13="","",1)</f>
        <v/>
      </c>
      <c r="G64" s="104" t="str">
        <f t="shared" si="10"/>
        <v/>
      </c>
      <c r="H64" s="104" t="str">
        <f t="shared" si="10"/>
        <v/>
      </c>
      <c r="I64" s="104" t="str">
        <f t="shared" si="10"/>
        <v/>
      </c>
      <c r="J64" s="104" t="str">
        <f t="shared" si="10"/>
        <v/>
      </c>
      <c r="K64" s="104" t="str">
        <f t="shared" si="10"/>
        <v/>
      </c>
      <c r="L64" s="104" t="str">
        <f t="shared" si="10"/>
        <v/>
      </c>
      <c r="M64" s="104" t="str">
        <f t="shared" si="10"/>
        <v/>
      </c>
      <c r="N64" s="104" t="str">
        <f t="shared" si="10"/>
        <v/>
      </c>
      <c r="O64" s="104" t="str">
        <f t="shared" si="10"/>
        <v/>
      </c>
      <c r="P64" s="104" t="str">
        <f t="shared" si="10"/>
        <v/>
      </c>
      <c r="T64" s="104" t="str">
        <f>IF(T13="","",1)</f>
        <v/>
      </c>
      <c r="U64" s="104" t="str">
        <f t="shared" ref="U64:AE64" si="11">IF(U13="","",1)</f>
        <v/>
      </c>
      <c r="V64" s="104" t="str">
        <f t="shared" si="11"/>
        <v/>
      </c>
      <c r="W64" s="104" t="str">
        <f t="shared" si="11"/>
        <v/>
      </c>
      <c r="X64" s="104" t="str">
        <f t="shared" si="11"/>
        <v/>
      </c>
      <c r="Y64" s="104" t="str">
        <f t="shared" si="11"/>
        <v/>
      </c>
      <c r="Z64" s="104" t="str">
        <f t="shared" si="11"/>
        <v/>
      </c>
      <c r="AA64" s="104" t="str">
        <f t="shared" si="11"/>
        <v/>
      </c>
      <c r="AB64" s="104" t="str">
        <f t="shared" si="11"/>
        <v/>
      </c>
      <c r="AC64" s="104" t="str">
        <f t="shared" si="11"/>
        <v/>
      </c>
      <c r="AD64" s="104" t="str">
        <f t="shared" si="11"/>
        <v/>
      </c>
      <c r="AE64" s="104" t="str">
        <f t="shared" si="11"/>
        <v/>
      </c>
      <c r="AI64" s="104" t="str">
        <f>IF(AI13="","",1)</f>
        <v/>
      </c>
      <c r="AJ64" s="104" t="str">
        <f t="shared" ref="AJ64:AT64" si="12">IF(AJ13="","",1)</f>
        <v/>
      </c>
      <c r="AK64" s="104" t="str">
        <f t="shared" si="12"/>
        <v/>
      </c>
      <c r="AL64" s="104" t="str">
        <f t="shared" si="12"/>
        <v/>
      </c>
      <c r="AM64" s="104" t="str">
        <f t="shared" si="12"/>
        <v/>
      </c>
      <c r="AN64" s="104" t="str">
        <f t="shared" si="12"/>
        <v/>
      </c>
      <c r="AO64" s="104" t="str">
        <f t="shared" si="12"/>
        <v/>
      </c>
      <c r="AP64" s="104" t="str">
        <f t="shared" si="12"/>
        <v/>
      </c>
      <c r="AQ64" s="104" t="str">
        <f t="shared" si="12"/>
        <v/>
      </c>
      <c r="AR64" s="104" t="str">
        <f t="shared" si="12"/>
        <v/>
      </c>
      <c r="AS64" s="104" t="str">
        <f t="shared" si="12"/>
        <v/>
      </c>
      <c r="AT64" s="104" t="str">
        <f t="shared" si="12"/>
        <v/>
      </c>
      <c r="AX64" s="104" t="str">
        <f>IF(AX13="","",1)</f>
        <v/>
      </c>
      <c r="AY64" s="104" t="str">
        <f t="shared" ref="AY64:BI64" si="13">IF(AY13="","",1)</f>
        <v/>
      </c>
      <c r="AZ64" s="104" t="str">
        <f t="shared" si="13"/>
        <v/>
      </c>
      <c r="BA64" s="104" t="str">
        <f t="shared" si="13"/>
        <v/>
      </c>
      <c r="BB64" s="104" t="str">
        <f t="shared" si="13"/>
        <v/>
      </c>
      <c r="BC64" s="104" t="str">
        <f t="shared" si="13"/>
        <v/>
      </c>
      <c r="BD64" s="104" t="str">
        <f t="shared" si="13"/>
        <v/>
      </c>
      <c r="BE64" s="104" t="str">
        <f t="shared" si="13"/>
        <v/>
      </c>
      <c r="BF64" s="104" t="str">
        <f t="shared" si="13"/>
        <v/>
      </c>
      <c r="BG64" s="104" t="str">
        <f t="shared" si="13"/>
        <v/>
      </c>
      <c r="BH64" s="104" t="str">
        <f t="shared" si="13"/>
        <v/>
      </c>
      <c r="BI64" s="104" t="str">
        <f t="shared" si="13"/>
        <v/>
      </c>
      <c r="BM64" s="104" t="str">
        <f>IF(BM13="","",1)</f>
        <v/>
      </c>
      <c r="BN64" s="104" t="str">
        <f t="shared" ref="BN64:BX64" si="14">IF(BN13="","",1)</f>
        <v/>
      </c>
      <c r="BO64" s="104" t="str">
        <f t="shared" si="14"/>
        <v/>
      </c>
      <c r="BP64" s="104" t="str">
        <f t="shared" si="14"/>
        <v/>
      </c>
      <c r="BQ64" s="104" t="str">
        <f t="shared" si="14"/>
        <v/>
      </c>
      <c r="BR64" s="104" t="str">
        <f t="shared" si="14"/>
        <v/>
      </c>
      <c r="BS64" s="104" t="str">
        <f t="shared" si="14"/>
        <v/>
      </c>
      <c r="BT64" s="104" t="str">
        <f t="shared" si="14"/>
        <v/>
      </c>
      <c r="BU64" s="104" t="str">
        <f t="shared" si="14"/>
        <v/>
      </c>
      <c r="BV64" s="104" t="str">
        <f t="shared" si="14"/>
        <v/>
      </c>
      <c r="BW64" s="104" t="str">
        <f t="shared" si="14"/>
        <v/>
      </c>
      <c r="BX64" s="104" t="str">
        <f t="shared" si="14"/>
        <v/>
      </c>
    </row>
    <row r="65" spans="1:76" s="104" customFormat="1" x14ac:dyDescent="0.4">
      <c r="A65" s="104">
        <f>me!C23</f>
        <v>0</v>
      </c>
      <c r="B65" s="104">
        <f>me!D23</f>
        <v>0</v>
      </c>
      <c r="C65" s="104" t="str">
        <f>_xlfn.CONCAT(me!C23,": ",me!D23)</f>
        <v xml:space="preserve">: </v>
      </c>
      <c r="D65" s="104">
        <f>R38</f>
        <v>0</v>
      </c>
      <c r="E65" s="104">
        <f>R39</f>
        <v>0</v>
      </c>
      <c r="F65" s="104" t="str">
        <f t="shared" ref="F65:P66" si="15">IF(F14="","",1)</f>
        <v/>
      </c>
      <c r="G65" s="104" t="str">
        <f t="shared" si="15"/>
        <v/>
      </c>
      <c r="H65" s="104" t="str">
        <f t="shared" si="15"/>
        <v/>
      </c>
      <c r="I65" s="104" t="str">
        <f t="shared" si="15"/>
        <v/>
      </c>
      <c r="J65" s="104" t="str">
        <f t="shared" si="15"/>
        <v/>
      </c>
      <c r="K65" s="104" t="str">
        <f t="shared" si="15"/>
        <v/>
      </c>
      <c r="L65" s="104" t="str">
        <f t="shared" si="15"/>
        <v/>
      </c>
      <c r="M65" s="104" t="str">
        <f t="shared" si="15"/>
        <v/>
      </c>
      <c r="N65" s="104" t="str">
        <f t="shared" si="15"/>
        <v/>
      </c>
      <c r="O65" s="104" t="str">
        <f t="shared" si="15"/>
        <v/>
      </c>
      <c r="P65" s="104" t="str">
        <f t="shared" si="15"/>
        <v/>
      </c>
      <c r="T65" s="104" t="str">
        <f t="shared" ref="T65:AE66" si="16">IF(T14="","",1)</f>
        <v/>
      </c>
      <c r="U65" s="104" t="str">
        <f t="shared" si="16"/>
        <v/>
      </c>
      <c r="V65" s="104" t="str">
        <f t="shared" si="16"/>
        <v/>
      </c>
      <c r="W65" s="104" t="str">
        <f t="shared" si="16"/>
        <v/>
      </c>
      <c r="X65" s="104" t="str">
        <f t="shared" si="16"/>
        <v/>
      </c>
      <c r="Y65" s="104" t="str">
        <f t="shared" si="16"/>
        <v/>
      </c>
      <c r="Z65" s="104" t="str">
        <f t="shared" si="16"/>
        <v/>
      </c>
      <c r="AA65" s="104" t="str">
        <f t="shared" si="16"/>
        <v/>
      </c>
      <c r="AB65" s="104" t="str">
        <f t="shared" si="16"/>
        <v/>
      </c>
      <c r="AC65" s="104" t="str">
        <f t="shared" si="16"/>
        <v/>
      </c>
      <c r="AD65" s="104" t="str">
        <f t="shared" si="16"/>
        <v/>
      </c>
      <c r="AE65" s="104" t="str">
        <f t="shared" si="16"/>
        <v/>
      </c>
      <c r="AI65" s="104" t="str">
        <f t="shared" ref="AI65:AT66" si="17">IF(AI14="","",1)</f>
        <v/>
      </c>
      <c r="AJ65" s="104" t="str">
        <f t="shared" si="17"/>
        <v/>
      </c>
      <c r="AK65" s="104" t="str">
        <f t="shared" si="17"/>
        <v/>
      </c>
      <c r="AL65" s="104" t="str">
        <f t="shared" si="17"/>
        <v/>
      </c>
      <c r="AM65" s="104" t="str">
        <f t="shared" si="17"/>
        <v/>
      </c>
      <c r="AN65" s="104" t="str">
        <f t="shared" si="17"/>
        <v/>
      </c>
      <c r="AO65" s="104" t="str">
        <f t="shared" si="17"/>
        <v/>
      </c>
      <c r="AP65" s="104" t="str">
        <f t="shared" si="17"/>
        <v/>
      </c>
      <c r="AQ65" s="104" t="str">
        <f t="shared" si="17"/>
        <v/>
      </c>
      <c r="AR65" s="104" t="str">
        <f t="shared" si="17"/>
        <v/>
      </c>
      <c r="AS65" s="104" t="str">
        <f t="shared" si="17"/>
        <v/>
      </c>
      <c r="AT65" s="104" t="str">
        <f t="shared" si="17"/>
        <v/>
      </c>
      <c r="AX65" s="104" t="str">
        <f t="shared" ref="AX65:BI66" si="18">IF(AX14="","",1)</f>
        <v/>
      </c>
      <c r="AY65" s="104" t="str">
        <f t="shared" si="18"/>
        <v/>
      </c>
      <c r="AZ65" s="104" t="str">
        <f t="shared" si="18"/>
        <v/>
      </c>
      <c r="BA65" s="104" t="str">
        <f t="shared" si="18"/>
        <v/>
      </c>
      <c r="BB65" s="104" t="str">
        <f t="shared" si="18"/>
        <v/>
      </c>
      <c r="BC65" s="104" t="str">
        <f t="shared" si="18"/>
        <v/>
      </c>
      <c r="BD65" s="104" t="str">
        <f t="shared" si="18"/>
        <v/>
      </c>
      <c r="BE65" s="104" t="str">
        <f t="shared" si="18"/>
        <v/>
      </c>
      <c r="BF65" s="104" t="str">
        <f t="shared" si="18"/>
        <v/>
      </c>
      <c r="BG65" s="104" t="str">
        <f t="shared" si="18"/>
        <v/>
      </c>
      <c r="BH65" s="104" t="str">
        <f t="shared" si="18"/>
        <v/>
      </c>
      <c r="BI65" s="104" t="str">
        <f t="shared" si="18"/>
        <v/>
      </c>
      <c r="BM65" s="104" t="str">
        <f t="shared" ref="BM65:BX66" si="19">IF(BM14="","",1)</f>
        <v/>
      </c>
      <c r="BN65" s="104" t="str">
        <f t="shared" si="19"/>
        <v/>
      </c>
      <c r="BO65" s="104" t="str">
        <f t="shared" si="19"/>
        <v/>
      </c>
      <c r="BP65" s="104" t="str">
        <f t="shared" si="19"/>
        <v/>
      </c>
      <c r="BQ65" s="104" t="str">
        <f t="shared" si="19"/>
        <v/>
      </c>
      <c r="BR65" s="104" t="str">
        <f t="shared" si="19"/>
        <v/>
      </c>
      <c r="BS65" s="104" t="str">
        <f t="shared" si="19"/>
        <v/>
      </c>
      <c r="BT65" s="104" t="str">
        <f t="shared" si="19"/>
        <v/>
      </c>
      <c r="BU65" s="104" t="str">
        <f t="shared" si="19"/>
        <v/>
      </c>
      <c r="BV65" s="104" t="str">
        <f t="shared" si="19"/>
        <v/>
      </c>
      <c r="BW65" s="104" t="str">
        <f t="shared" si="19"/>
        <v/>
      </c>
      <c r="BX65" s="104" t="str">
        <f t="shared" si="19"/>
        <v/>
      </c>
    </row>
    <row r="66" spans="1:76" s="104" customFormat="1" x14ac:dyDescent="0.4">
      <c r="A66" s="104">
        <f>me!C24</f>
        <v>0</v>
      </c>
      <c r="B66" s="104">
        <f>me!D24</f>
        <v>0</v>
      </c>
      <c r="C66" s="104" t="str">
        <f>_xlfn.CONCAT(me!C24,": ",me!D24)</f>
        <v xml:space="preserve">: </v>
      </c>
      <c r="D66" s="104">
        <f>R43</f>
        <v>0</v>
      </c>
      <c r="E66" s="104">
        <f>R44</f>
        <v>0</v>
      </c>
      <c r="F66" s="104" t="str">
        <f t="shared" si="15"/>
        <v/>
      </c>
      <c r="G66" s="104" t="str">
        <f t="shared" si="15"/>
        <v/>
      </c>
      <c r="H66" s="104" t="str">
        <f t="shared" si="15"/>
        <v/>
      </c>
      <c r="I66" s="104" t="str">
        <f t="shared" si="15"/>
        <v/>
      </c>
      <c r="J66" s="104" t="str">
        <f t="shared" si="15"/>
        <v/>
      </c>
      <c r="K66" s="104" t="str">
        <f t="shared" si="15"/>
        <v/>
      </c>
      <c r="L66" s="104" t="str">
        <f t="shared" si="15"/>
        <v/>
      </c>
      <c r="M66" s="104" t="str">
        <f t="shared" si="15"/>
        <v/>
      </c>
      <c r="N66" s="104" t="str">
        <f t="shared" si="15"/>
        <v/>
      </c>
      <c r="O66" s="104" t="str">
        <f t="shared" si="15"/>
        <v/>
      </c>
      <c r="P66" s="104" t="str">
        <f t="shared" si="15"/>
        <v/>
      </c>
      <c r="T66" s="104" t="str">
        <f t="shared" si="16"/>
        <v/>
      </c>
      <c r="U66" s="104" t="str">
        <f t="shared" si="16"/>
        <v/>
      </c>
      <c r="V66" s="104" t="str">
        <f t="shared" si="16"/>
        <v/>
      </c>
      <c r="W66" s="104" t="str">
        <f t="shared" si="16"/>
        <v/>
      </c>
      <c r="X66" s="104" t="str">
        <f t="shared" si="16"/>
        <v/>
      </c>
      <c r="Y66" s="104" t="str">
        <f t="shared" si="16"/>
        <v/>
      </c>
      <c r="Z66" s="104" t="str">
        <f t="shared" si="16"/>
        <v/>
      </c>
      <c r="AA66" s="104" t="str">
        <f t="shared" si="16"/>
        <v/>
      </c>
      <c r="AB66" s="104" t="str">
        <f t="shared" si="16"/>
        <v/>
      </c>
      <c r="AC66" s="104" t="str">
        <f t="shared" si="16"/>
        <v/>
      </c>
      <c r="AD66" s="104" t="str">
        <f t="shared" si="16"/>
        <v/>
      </c>
      <c r="AE66" s="104" t="str">
        <f t="shared" si="16"/>
        <v/>
      </c>
      <c r="AI66" s="104" t="str">
        <f t="shared" si="17"/>
        <v/>
      </c>
      <c r="AJ66" s="104" t="str">
        <f t="shared" si="17"/>
        <v/>
      </c>
      <c r="AK66" s="104" t="str">
        <f t="shared" si="17"/>
        <v/>
      </c>
      <c r="AL66" s="104" t="str">
        <f t="shared" si="17"/>
        <v/>
      </c>
      <c r="AM66" s="104" t="str">
        <f t="shared" si="17"/>
        <v/>
      </c>
      <c r="AN66" s="104" t="str">
        <f t="shared" si="17"/>
        <v/>
      </c>
      <c r="AO66" s="104" t="str">
        <f t="shared" si="17"/>
        <v/>
      </c>
      <c r="AP66" s="104" t="str">
        <f t="shared" si="17"/>
        <v/>
      </c>
      <c r="AQ66" s="104" t="str">
        <f t="shared" si="17"/>
        <v/>
      </c>
      <c r="AR66" s="104" t="str">
        <f t="shared" si="17"/>
        <v/>
      </c>
      <c r="AS66" s="104" t="str">
        <f t="shared" si="17"/>
        <v/>
      </c>
      <c r="AT66" s="104" t="str">
        <f t="shared" si="17"/>
        <v/>
      </c>
      <c r="AX66" s="104" t="str">
        <f t="shared" si="18"/>
        <v/>
      </c>
      <c r="AY66" s="104" t="str">
        <f t="shared" si="18"/>
        <v/>
      </c>
      <c r="AZ66" s="104" t="str">
        <f t="shared" si="18"/>
        <v/>
      </c>
      <c r="BA66" s="104" t="str">
        <f t="shared" si="18"/>
        <v/>
      </c>
      <c r="BB66" s="104" t="str">
        <f t="shared" si="18"/>
        <v/>
      </c>
      <c r="BC66" s="104" t="str">
        <f t="shared" si="18"/>
        <v/>
      </c>
      <c r="BD66" s="104" t="str">
        <f t="shared" si="18"/>
        <v/>
      </c>
      <c r="BE66" s="104" t="str">
        <f t="shared" si="18"/>
        <v/>
      </c>
      <c r="BF66" s="104" t="str">
        <f t="shared" si="18"/>
        <v/>
      </c>
      <c r="BG66" s="104" t="str">
        <f t="shared" si="18"/>
        <v/>
      </c>
      <c r="BH66" s="104" t="str">
        <f t="shared" si="18"/>
        <v/>
      </c>
      <c r="BI66" s="104" t="str">
        <f t="shared" si="18"/>
        <v/>
      </c>
      <c r="BM66" s="104" t="str">
        <f t="shared" si="19"/>
        <v/>
      </c>
      <c r="BN66" s="104" t="str">
        <f t="shared" si="19"/>
        <v/>
      </c>
      <c r="BO66" s="104" t="str">
        <f t="shared" si="19"/>
        <v/>
      </c>
      <c r="BP66" s="104" t="str">
        <f t="shared" si="19"/>
        <v/>
      </c>
      <c r="BQ66" s="104" t="str">
        <f t="shared" si="19"/>
        <v/>
      </c>
      <c r="BR66" s="104" t="str">
        <f t="shared" si="19"/>
        <v/>
      </c>
      <c r="BS66" s="104" t="str">
        <f t="shared" si="19"/>
        <v/>
      </c>
      <c r="BT66" s="104" t="str">
        <f t="shared" si="19"/>
        <v/>
      </c>
      <c r="BU66" s="104" t="str">
        <f t="shared" si="19"/>
        <v/>
      </c>
      <c r="BV66" s="104" t="str">
        <f t="shared" si="19"/>
        <v/>
      </c>
      <c r="BW66" s="104" t="str">
        <f t="shared" si="19"/>
        <v/>
      </c>
      <c r="BX66" s="104" t="str">
        <f t="shared" si="19"/>
        <v/>
      </c>
    </row>
    <row r="67" spans="1:76" s="104" customFormat="1" x14ac:dyDescent="0.4">
      <c r="D67" s="104" t="str">
        <f>D6</f>
        <v>Ano 1</v>
      </c>
      <c r="F67" s="104" t="str">
        <f>T6</f>
        <v>Ano 2</v>
      </c>
      <c r="H67" s="104" t="str">
        <f>AI6</f>
        <v>Ano 3</v>
      </c>
      <c r="J67" s="104" t="str">
        <f>AX6</f>
        <v>Ano 4</v>
      </c>
      <c r="L67" s="104" t="str">
        <f>BM6</f>
        <v>Ano 5</v>
      </c>
      <c r="N67" s="104" t="s">
        <v>305</v>
      </c>
    </row>
    <row r="68" spans="1:76" s="104" customFormat="1" x14ac:dyDescent="0.4">
      <c r="D68" s="104" t="s">
        <v>285</v>
      </c>
      <c r="E68" s="104" t="s">
        <v>286</v>
      </c>
      <c r="F68" s="104" t="s">
        <v>289</v>
      </c>
      <c r="G68" s="104" t="s">
        <v>290</v>
      </c>
      <c r="H68" s="104" t="s">
        <v>291</v>
      </c>
      <c r="I68" s="104" t="s">
        <v>292</v>
      </c>
      <c r="J68" s="104" t="s">
        <v>293</v>
      </c>
      <c r="K68" s="104" t="s">
        <v>294</v>
      </c>
      <c r="L68" s="104" t="s">
        <v>287</v>
      </c>
      <c r="M68" s="104" t="s">
        <v>288</v>
      </c>
      <c r="N68" s="104" t="s">
        <v>59</v>
      </c>
      <c r="O68" s="104" t="s">
        <v>60</v>
      </c>
      <c r="P68" s="104" t="s">
        <v>306</v>
      </c>
    </row>
    <row r="69" spans="1:76" s="104" customFormat="1" x14ac:dyDescent="0.4">
      <c r="C69" s="104" t="s">
        <v>271</v>
      </c>
      <c r="D69" s="104">
        <f t="shared" ref="D69:M69" si="20">INDEX($E$6:$BZ$45,MATCH($C69,$A$6:$A$45,0),MATCH(D$68,$E$5:$BZ$5,0))</f>
        <v>0</v>
      </c>
      <c r="E69" s="104">
        <f t="shared" si="20"/>
        <v>0</v>
      </c>
      <c r="F69" s="104">
        <f t="shared" si="20"/>
        <v>0</v>
      </c>
      <c r="G69" s="104">
        <f t="shared" si="20"/>
        <v>0</v>
      </c>
      <c r="H69" s="104">
        <f t="shared" si="20"/>
        <v>0</v>
      </c>
      <c r="I69" s="104">
        <f t="shared" si="20"/>
        <v>0</v>
      </c>
      <c r="J69" s="104">
        <f t="shared" si="20"/>
        <v>0</v>
      </c>
      <c r="K69" s="104">
        <f t="shared" si="20"/>
        <v>0</v>
      </c>
      <c r="L69" s="104">
        <f t="shared" si="20"/>
        <v>0</v>
      </c>
      <c r="M69" s="104">
        <f t="shared" si="20"/>
        <v>0</v>
      </c>
      <c r="N69" s="104">
        <f>AVERAGE(D69,F69,H69,J69,L69)</f>
        <v>0</v>
      </c>
      <c r="O69" s="104">
        <f>AVERAGE(E69,G69,I69,K69,M69)</f>
        <v>0</v>
      </c>
      <c r="P69" s="104">
        <f>IFERROR(N69/O69,0)</f>
        <v>0</v>
      </c>
    </row>
    <row r="70" spans="1:76" s="104" customFormat="1" x14ac:dyDescent="0.4">
      <c r="C70" s="104" t="s">
        <v>272</v>
      </c>
      <c r="D70" s="104">
        <f t="shared" ref="D70:M84" si="21">INDEX($E$6:$BZ$45,MATCH($C70,$A$6:$A$45,0),MATCH(D$68,$E$5:$BZ$5,0))</f>
        <v>0</v>
      </c>
      <c r="E70" s="104">
        <f t="shared" si="21"/>
        <v>0</v>
      </c>
      <c r="F70" s="104">
        <f t="shared" si="21"/>
        <v>0</v>
      </c>
      <c r="G70" s="104">
        <f t="shared" si="21"/>
        <v>0</v>
      </c>
      <c r="H70" s="104">
        <f t="shared" si="21"/>
        <v>0</v>
      </c>
      <c r="I70" s="104">
        <f t="shared" si="21"/>
        <v>0</v>
      </c>
      <c r="J70" s="104">
        <f t="shared" si="21"/>
        <v>0</v>
      </c>
      <c r="K70" s="104">
        <f t="shared" si="21"/>
        <v>0</v>
      </c>
      <c r="L70" s="104">
        <f t="shared" si="21"/>
        <v>0</v>
      </c>
      <c r="M70" s="104">
        <f t="shared" si="21"/>
        <v>0</v>
      </c>
      <c r="N70" s="104">
        <f t="shared" ref="N70:O84" si="22">AVERAGE(D70,F70,H70,J70,L70)</f>
        <v>0</v>
      </c>
      <c r="O70" s="104">
        <f t="shared" si="22"/>
        <v>0</v>
      </c>
      <c r="P70" s="104">
        <f t="shared" ref="P70:P84" si="23">IFERROR(N70/O70,0)</f>
        <v>0</v>
      </c>
    </row>
    <row r="71" spans="1:76" s="104" customFormat="1" x14ac:dyDescent="0.4">
      <c r="C71" s="104" t="s">
        <v>273</v>
      </c>
      <c r="D71" s="104">
        <f t="shared" si="21"/>
        <v>0</v>
      </c>
      <c r="E71" s="104">
        <f t="shared" si="21"/>
        <v>0</v>
      </c>
      <c r="F71" s="104">
        <f t="shared" si="21"/>
        <v>0</v>
      </c>
      <c r="G71" s="104">
        <f t="shared" si="21"/>
        <v>0</v>
      </c>
      <c r="H71" s="104">
        <f t="shared" si="21"/>
        <v>0</v>
      </c>
      <c r="I71" s="104">
        <f t="shared" si="21"/>
        <v>0</v>
      </c>
      <c r="J71" s="104">
        <f t="shared" si="21"/>
        <v>0</v>
      </c>
      <c r="K71" s="104">
        <f t="shared" si="21"/>
        <v>0</v>
      </c>
      <c r="L71" s="104">
        <f t="shared" si="21"/>
        <v>0</v>
      </c>
      <c r="M71" s="104">
        <f t="shared" si="21"/>
        <v>0</v>
      </c>
      <c r="N71" s="104">
        <f t="shared" si="22"/>
        <v>0</v>
      </c>
      <c r="O71" s="104">
        <f t="shared" si="22"/>
        <v>0</v>
      </c>
      <c r="P71" s="104">
        <f t="shared" si="23"/>
        <v>0</v>
      </c>
    </row>
    <row r="72" spans="1:76" s="104" customFormat="1" x14ac:dyDescent="0.4">
      <c r="C72" s="104" t="s">
        <v>274</v>
      </c>
      <c r="D72" s="104">
        <f t="shared" si="21"/>
        <v>0</v>
      </c>
      <c r="E72" s="104">
        <f t="shared" si="21"/>
        <v>0</v>
      </c>
      <c r="F72" s="104">
        <f t="shared" si="21"/>
        <v>0</v>
      </c>
      <c r="G72" s="104">
        <f t="shared" si="21"/>
        <v>0</v>
      </c>
      <c r="H72" s="104">
        <f t="shared" si="21"/>
        <v>0</v>
      </c>
      <c r="I72" s="104">
        <f t="shared" si="21"/>
        <v>0</v>
      </c>
      <c r="J72" s="104">
        <f t="shared" si="21"/>
        <v>0</v>
      </c>
      <c r="K72" s="104">
        <f t="shared" si="21"/>
        <v>0</v>
      </c>
      <c r="L72" s="104">
        <f t="shared" si="21"/>
        <v>0</v>
      </c>
      <c r="M72" s="104">
        <f t="shared" si="21"/>
        <v>0</v>
      </c>
      <c r="N72" s="104">
        <f t="shared" si="22"/>
        <v>0</v>
      </c>
      <c r="O72" s="104">
        <f t="shared" si="22"/>
        <v>0</v>
      </c>
      <c r="P72" s="104">
        <f t="shared" si="23"/>
        <v>0</v>
      </c>
    </row>
    <row r="73" spans="1:76" s="104" customFormat="1" x14ac:dyDescent="0.4">
      <c r="C73" s="104" t="s">
        <v>275</v>
      </c>
      <c r="D73" s="104">
        <f t="shared" si="21"/>
        <v>0</v>
      </c>
      <c r="E73" s="104">
        <f t="shared" si="21"/>
        <v>0</v>
      </c>
      <c r="F73" s="104">
        <f t="shared" si="21"/>
        <v>0</v>
      </c>
      <c r="G73" s="104">
        <f t="shared" si="21"/>
        <v>0</v>
      </c>
      <c r="H73" s="104">
        <f t="shared" si="21"/>
        <v>0</v>
      </c>
      <c r="I73" s="104">
        <f t="shared" si="21"/>
        <v>0</v>
      </c>
      <c r="J73" s="104">
        <f t="shared" si="21"/>
        <v>0</v>
      </c>
      <c r="K73" s="104">
        <f t="shared" si="21"/>
        <v>0</v>
      </c>
      <c r="L73" s="104">
        <f t="shared" si="21"/>
        <v>0</v>
      </c>
      <c r="M73" s="104">
        <f t="shared" si="21"/>
        <v>0</v>
      </c>
      <c r="N73" s="104">
        <f t="shared" si="22"/>
        <v>0</v>
      </c>
      <c r="O73" s="104">
        <f t="shared" si="22"/>
        <v>0</v>
      </c>
      <c r="P73" s="104">
        <f t="shared" si="23"/>
        <v>0</v>
      </c>
    </row>
    <row r="74" spans="1:76" s="104" customFormat="1" x14ac:dyDescent="0.4">
      <c r="C74" s="104" t="s">
        <v>276</v>
      </c>
      <c r="D74" s="104">
        <f t="shared" si="21"/>
        <v>0</v>
      </c>
      <c r="E74" s="104">
        <f t="shared" si="21"/>
        <v>0</v>
      </c>
      <c r="F74" s="104">
        <f t="shared" si="21"/>
        <v>0</v>
      </c>
      <c r="G74" s="104">
        <f t="shared" si="21"/>
        <v>0</v>
      </c>
      <c r="H74" s="104">
        <f t="shared" si="21"/>
        <v>0</v>
      </c>
      <c r="I74" s="104">
        <f t="shared" si="21"/>
        <v>0</v>
      </c>
      <c r="J74" s="104">
        <f t="shared" si="21"/>
        <v>0</v>
      </c>
      <c r="K74" s="104">
        <f t="shared" si="21"/>
        <v>0</v>
      </c>
      <c r="L74" s="104">
        <f t="shared" si="21"/>
        <v>0</v>
      </c>
      <c r="M74" s="104">
        <f t="shared" si="21"/>
        <v>0</v>
      </c>
      <c r="N74" s="104">
        <f t="shared" si="22"/>
        <v>0</v>
      </c>
      <c r="O74" s="104">
        <f t="shared" si="22"/>
        <v>0</v>
      </c>
      <c r="P74" s="104">
        <f t="shared" si="23"/>
        <v>0</v>
      </c>
    </row>
    <row r="75" spans="1:76" s="104" customFormat="1" x14ac:dyDescent="0.4">
      <c r="C75" s="104" t="s">
        <v>277</v>
      </c>
      <c r="D75" s="104">
        <f t="shared" si="21"/>
        <v>0</v>
      </c>
      <c r="E75" s="104">
        <f t="shared" si="21"/>
        <v>0</v>
      </c>
      <c r="F75" s="104">
        <f t="shared" si="21"/>
        <v>0</v>
      </c>
      <c r="G75" s="104">
        <f t="shared" si="21"/>
        <v>0</v>
      </c>
      <c r="H75" s="104">
        <f t="shared" si="21"/>
        <v>0</v>
      </c>
      <c r="I75" s="104">
        <f t="shared" si="21"/>
        <v>0</v>
      </c>
      <c r="J75" s="104">
        <f t="shared" si="21"/>
        <v>0</v>
      </c>
      <c r="K75" s="104">
        <f t="shared" si="21"/>
        <v>0</v>
      </c>
      <c r="L75" s="104">
        <f t="shared" si="21"/>
        <v>0</v>
      </c>
      <c r="M75" s="104">
        <f t="shared" si="21"/>
        <v>0</v>
      </c>
      <c r="N75" s="104">
        <f t="shared" si="22"/>
        <v>0</v>
      </c>
      <c r="O75" s="104">
        <f t="shared" si="22"/>
        <v>0</v>
      </c>
      <c r="P75" s="104">
        <f t="shared" si="23"/>
        <v>0</v>
      </c>
    </row>
    <row r="76" spans="1:76" s="104" customFormat="1" x14ac:dyDescent="0.4">
      <c r="C76" s="104" t="s">
        <v>278</v>
      </c>
      <c r="D76" s="104">
        <f t="shared" si="21"/>
        <v>0</v>
      </c>
      <c r="E76" s="104">
        <f t="shared" si="21"/>
        <v>0</v>
      </c>
      <c r="F76" s="104">
        <f t="shared" si="21"/>
        <v>0</v>
      </c>
      <c r="G76" s="104">
        <f t="shared" si="21"/>
        <v>0</v>
      </c>
      <c r="H76" s="104">
        <f t="shared" si="21"/>
        <v>0</v>
      </c>
      <c r="I76" s="104">
        <f t="shared" si="21"/>
        <v>0</v>
      </c>
      <c r="J76" s="104">
        <f t="shared" si="21"/>
        <v>0</v>
      </c>
      <c r="K76" s="104">
        <f t="shared" si="21"/>
        <v>0</v>
      </c>
      <c r="L76" s="104">
        <f t="shared" si="21"/>
        <v>0</v>
      </c>
      <c r="M76" s="104">
        <f t="shared" si="21"/>
        <v>0</v>
      </c>
      <c r="N76" s="104">
        <f t="shared" si="22"/>
        <v>0</v>
      </c>
      <c r="O76" s="104">
        <f t="shared" si="22"/>
        <v>0</v>
      </c>
      <c r="P76" s="104">
        <f t="shared" si="23"/>
        <v>0</v>
      </c>
    </row>
    <row r="77" spans="1:76" s="104" customFormat="1" x14ac:dyDescent="0.4">
      <c r="C77" s="104" t="s">
        <v>279</v>
      </c>
      <c r="D77" s="104">
        <f t="shared" si="21"/>
        <v>0</v>
      </c>
      <c r="E77" s="104">
        <f t="shared" si="21"/>
        <v>0</v>
      </c>
      <c r="F77" s="104">
        <f t="shared" si="21"/>
        <v>0</v>
      </c>
      <c r="G77" s="104">
        <f t="shared" si="21"/>
        <v>0</v>
      </c>
      <c r="H77" s="104">
        <f t="shared" si="21"/>
        <v>0</v>
      </c>
      <c r="I77" s="104">
        <f t="shared" si="21"/>
        <v>0</v>
      </c>
      <c r="J77" s="104">
        <f t="shared" si="21"/>
        <v>0</v>
      </c>
      <c r="K77" s="104">
        <f t="shared" si="21"/>
        <v>0</v>
      </c>
      <c r="L77" s="104">
        <f t="shared" si="21"/>
        <v>0</v>
      </c>
      <c r="M77" s="104">
        <f t="shared" si="21"/>
        <v>0</v>
      </c>
      <c r="N77" s="104">
        <f t="shared" si="22"/>
        <v>0</v>
      </c>
      <c r="O77" s="104">
        <f t="shared" si="22"/>
        <v>0</v>
      </c>
      <c r="P77" s="104">
        <f t="shared" si="23"/>
        <v>0</v>
      </c>
    </row>
    <row r="78" spans="1:76" s="104" customFormat="1" x14ac:dyDescent="0.4">
      <c r="C78" s="104" t="s">
        <v>280</v>
      </c>
      <c r="D78" s="104">
        <f t="shared" si="21"/>
        <v>0</v>
      </c>
      <c r="E78" s="104">
        <f t="shared" si="21"/>
        <v>0</v>
      </c>
      <c r="F78" s="104">
        <f t="shared" si="21"/>
        <v>0</v>
      </c>
      <c r="G78" s="104">
        <f t="shared" si="21"/>
        <v>0</v>
      </c>
      <c r="H78" s="104">
        <f t="shared" si="21"/>
        <v>0</v>
      </c>
      <c r="I78" s="104">
        <f t="shared" si="21"/>
        <v>0</v>
      </c>
      <c r="J78" s="104">
        <f t="shared" si="21"/>
        <v>0</v>
      </c>
      <c r="K78" s="104">
        <f t="shared" si="21"/>
        <v>0</v>
      </c>
      <c r="L78" s="104">
        <f t="shared" si="21"/>
        <v>0</v>
      </c>
      <c r="M78" s="104">
        <f t="shared" si="21"/>
        <v>0</v>
      </c>
      <c r="N78" s="104">
        <f t="shared" si="22"/>
        <v>0</v>
      </c>
      <c r="O78" s="104">
        <f t="shared" si="22"/>
        <v>0</v>
      </c>
      <c r="P78" s="104">
        <f t="shared" si="23"/>
        <v>0</v>
      </c>
    </row>
    <row r="79" spans="1:76" s="104" customFormat="1" x14ac:dyDescent="0.4">
      <c r="C79" s="104" t="s">
        <v>281</v>
      </c>
      <c r="D79" s="104">
        <f t="shared" si="21"/>
        <v>0</v>
      </c>
      <c r="E79" s="104">
        <f t="shared" si="21"/>
        <v>0</v>
      </c>
      <c r="F79" s="104">
        <f t="shared" si="21"/>
        <v>0</v>
      </c>
      <c r="G79" s="104">
        <f t="shared" si="21"/>
        <v>0</v>
      </c>
      <c r="H79" s="104">
        <f t="shared" si="21"/>
        <v>0</v>
      </c>
      <c r="I79" s="104">
        <f t="shared" si="21"/>
        <v>0</v>
      </c>
      <c r="J79" s="104">
        <f t="shared" si="21"/>
        <v>0</v>
      </c>
      <c r="K79" s="104">
        <f t="shared" si="21"/>
        <v>0</v>
      </c>
      <c r="L79" s="104">
        <f t="shared" si="21"/>
        <v>0</v>
      </c>
      <c r="M79" s="104">
        <f t="shared" si="21"/>
        <v>0</v>
      </c>
      <c r="N79" s="104">
        <f t="shared" si="22"/>
        <v>0</v>
      </c>
      <c r="O79" s="104">
        <f t="shared" si="22"/>
        <v>0</v>
      </c>
      <c r="P79" s="104">
        <f t="shared" si="23"/>
        <v>0</v>
      </c>
    </row>
    <row r="80" spans="1:76" s="104" customFormat="1" x14ac:dyDescent="0.4">
      <c r="C80" s="104" t="s">
        <v>282</v>
      </c>
      <c r="D80" s="104">
        <f t="shared" si="21"/>
        <v>0</v>
      </c>
      <c r="E80" s="104">
        <f t="shared" si="21"/>
        <v>0</v>
      </c>
      <c r="F80" s="104">
        <f t="shared" si="21"/>
        <v>0</v>
      </c>
      <c r="G80" s="104">
        <f t="shared" si="21"/>
        <v>0</v>
      </c>
      <c r="H80" s="104">
        <f t="shared" si="21"/>
        <v>0</v>
      </c>
      <c r="I80" s="104">
        <f t="shared" si="21"/>
        <v>0</v>
      </c>
      <c r="J80" s="104">
        <f t="shared" si="21"/>
        <v>0</v>
      </c>
      <c r="K80" s="104">
        <f t="shared" si="21"/>
        <v>0</v>
      </c>
      <c r="L80" s="104">
        <f t="shared" si="21"/>
        <v>0</v>
      </c>
      <c r="M80" s="104">
        <f t="shared" si="21"/>
        <v>0</v>
      </c>
      <c r="N80" s="104">
        <f t="shared" si="22"/>
        <v>0</v>
      </c>
      <c r="O80" s="104">
        <f t="shared" si="22"/>
        <v>0</v>
      </c>
      <c r="P80" s="104">
        <f t="shared" si="23"/>
        <v>0</v>
      </c>
    </row>
    <row r="81" spans="3:76" s="104" customFormat="1" x14ac:dyDescent="0.4">
      <c r="C81" s="104" t="s">
        <v>283</v>
      </c>
      <c r="D81" s="104">
        <f t="shared" si="21"/>
        <v>0</v>
      </c>
      <c r="E81" s="104">
        <f t="shared" si="21"/>
        <v>0</v>
      </c>
      <c r="F81" s="104">
        <f t="shared" si="21"/>
        <v>0</v>
      </c>
      <c r="G81" s="104">
        <f t="shared" si="21"/>
        <v>0</v>
      </c>
      <c r="H81" s="104">
        <f t="shared" si="21"/>
        <v>0</v>
      </c>
      <c r="I81" s="104">
        <f t="shared" si="21"/>
        <v>0</v>
      </c>
      <c r="J81" s="104">
        <f t="shared" si="21"/>
        <v>0</v>
      </c>
      <c r="K81" s="104">
        <f t="shared" si="21"/>
        <v>0</v>
      </c>
      <c r="L81" s="104">
        <f t="shared" si="21"/>
        <v>0</v>
      </c>
      <c r="M81" s="104">
        <f t="shared" si="21"/>
        <v>0</v>
      </c>
      <c r="N81" s="104">
        <f t="shared" si="22"/>
        <v>0</v>
      </c>
      <c r="O81" s="104">
        <f t="shared" si="22"/>
        <v>0</v>
      </c>
      <c r="P81" s="104">
        <f t="shared" si="23"/>
        <v>0</v>
      </c>
    </row>
    <row r="82" spans="3:76" s="104" customFormat="1" x14ac:dyDescent="0.4">
      <c r="C82" s="104" t="s">
        <v>284</v>
      </c>
      <c r="D82" s="104">
        <f t="shared" si="21"/>
        <v>0</v>
      </c>
      <c r="E82" s="104">
        <f t="shared" si="21"/>
        <v>0</v>
      </c>
      <c r="F82" s="104">
        <f t="shared" si="21"/>
        <v>0</v>
      </c>
      <c r="G82" s="104">
        <f t="shared" si="21"/>
        <v>0</v>
      </c>
      <c r="H82" s="104">
        <f t="shared" si="21"/>
        <v>0</v>
      </c>
      <c r="I82" s="104">
        <f t="shared" si="21"/>
        <v>0</v>
      </c>
      <c r="J82" s="104">
        <f t="shared" si="21"/>
        <v>0</v>
      </c>
      <c r="K82" s="104">
        <f t="shared" si="21"/>
        <v>0</v>
      </c>
      <c r="L82" s="104">
        <f t="shared" si="21"/>
        <v>0</v>
      </c>
      <c r="M82" s="104">
        <f t="shared" si="21"/>
        <v>0</v>
      </c>
      <c r="N82" s="104">
        <f t="shared" si="22"/>
        <v>0</v>
      </c>
      <c r="O82" s="104">
        <f t="shared" si="22"/>
        <v>0</v>
      </c>
      <c r="P82" s="104">
        <f t="shared" si="23"/>
        <v>0</v>
      </c>
    </row>
    <row r="83" spans="3:76" s="104" customFormat="1" x14ac:dyDescent="0.4">
      <c r="C83" s="104" t="s">
        <v>269</v>
      </c>
      <c r="D83" s="104">
        <f t="shared" si="21"/>
        <v>0</v>
      </c>
      <c r="E83" s="104">
        <f t="shared" si="21"/>
        <v>0</v>
      </c>
      <c r="F83" s="104">
        <f t="shared" si="21"/>
        <v>0</v>
      </c>
      <c r="G83" s="104">
        <f t="shared" si="21"/>
        <v>0</v>
      </c>
      <c r="H83" s="104">
        <f t="shared" si="21"/>
        <v>0</v>
      </c>
      <c r="I83" s="104">
        <f t="shared" si="21"/>
        <v>0</v>
      </c>
      <c r="J83" s="104">
        <f t="shared" si="21"/>
        <v>0</v>
      </c>
      <c r="K83" s="104">
        <f t="shared" si="21"/>
        <v>0</v>
      </c>
      <c r="L83" s="104">
        <f t="shared" si="21"/>
        <v>0</v>
      </c>
      <c r="M83" s="104">
        <f t="shared" si="21"/>
        <v>0</v>
      </c>
      <c r="N83" s="104">
        <f t="shared" si="22"/>
        <v>0</v>
      </c>
      <c r="O83" s="104">
        <f t="shared" si="22"/>
        <v>0</v>
      </c>
      <c r="P83" s="104">
        <f t="shared" si="23"/>
        <v>0</v>
      </c>
    </row>
    <row r="84" spans="3:76" s="104" customFormat="1" x14ac:dyDescent="0.4">
      <c r="C84" s="104" t="s">
        <v>270</v>
      </c>
      <c r="D84" s="104">
        <f t="shared" si="21"/>
        <v>0</v>
      </c>
      <c r="E84" s="104">
        <f t="shared" si="21"/>
        <v>0</v>
      </c>
      <c r="F84" s="104">
        <f t="shared" si="21"/>
        <v>0</v>
      </c>
      <c r="G84" s="104">
        <f t="shared" si="21"/>
        <v>0</v>
      </c>
      <c r="H84" s="104">
        <f t="shared" si="21"/>
        <v>0</v>
      </c>
      <c r="I84" s="104">
        <f t="shared" si="21"/>
        <v>0</v>
      </c>
      <c r="J84" s="104">
        <f t="shared" si="21"/>
        <v>0</v>
      </c>
      <c r="K84" s="104">
        <f t="shared" si="21"/>
        <v>0</v>
      </c>
      <c r="L84" s="104">
        <f t="shared" si="21"/>
        <v>0</v>
      </c>
      <c r="M84" s="104">
        <f t="shared" si="21"/>
        <v>0</v>
      </c>
      <c r="N84" s="104">
        <f t="shared" si="22"/>
        <v>0</v>
      </c>
      <c r="O84" s="104">
        <f t="shared" si="22"/>
        <v>0</v>
      </c>
      <c r="P84" s="104">
        <f t="shared" si="23"/>
        <v>0</v>
      </c>
    </row>
    <row r="85" spans="3:76" s="104" customFormat="1" x14ac:dyDescent="0.4">
      <c r="C85" s="104" t="s">
        <v>271</v>
      </c>
      <c r="E85" s="104">
        <f t="shared" ref="E85:P85" si="24">COUNTA(E8)</f>
        <v>0</v>
      </c>
      <c r="F85" s="104">
        <f t="shared" si="24"/>
        <v>0</v>
      </c>
      <c r="G85" s="104">
        <f t="shared" si="24"/>
        <v>0</v>
      </c>
      <c r="H85" s="104">
        <f t="shared" si="24"/>
        <v>0</v>
      </c>
      <c r="I85" s="104">
        <f t="shared" si="24"/>
        <v>0</v>
      </c>
      <c r="J85" s="104">
        <f t="shared" si="24"/>
        <v>0</v>
      </c>
      <c r="K85" s="104">
        <f t="shared" si="24"/>
        <v>0</v>
      </c>
      <c r="L85" s="104">
        <f t="shared" si="24"/>
        <v>0</v>
      </c>
      <c r="M85" s="104">
        <f t="shared" si="24"/>
        <v>0</v>
      </c>
      <c r="N85" s="104">
        <f t="shared" si="24"/>
        <v>0</v>
      </c>
      <c r="O85" s="104">
        <f t="shared" si="24"/>
        <v>0</v>
      </c>
      <c r="P85" s="104">
        <f t="shared" si="24"/>
        <v>0</v>
      </c>
      <c r="T85" s="104">
        <f t="shared" ref="T85:AE85" si="25">COUNTA(T8)</f>
        <v>0</v>
      </c>
      <c r="U85" s="104">
        <f t="shared" si="25"/>
        <v>0</v>
      </c>
      <c r="V85" s="104">
        <f t="shared" si="25"/>
        <v>0</v>
      </c>
      <c r="W85" s="104">
        <f t="shared" si="25"/>
        <v>0</v>
      </c>
      <c r="X85" s="104">
        <f t="shared" si="25"/>
        <v>0</v>
      </c>
      <c r="Y85" s="104">
        <f t="shared" si="25"/>
        <v>0</v>
      </c>
      <c r="Z85" s="104">
        <f t="shared" si="25"/>
        <v>0</v>
      </c>
      <c r="AA85" s="104">
        <f t="shared" si="25"/>
        <v>0</v>
      </c>
      <c r="AB85" s="104">
        <f t="shared" si="25"/>
        <v>0</v>
      </c>
      <c r="AC85" s="104">
        <f t="shared" si="25"/>
        <v>0</v>
      </c>
      <c r="AD85" s="104">
        <f t="shared" si="25"/>
        <v>0</v>
      </c>
      <c r="AE85" s="104">
        <f t="shared" si="25"/>
        <v>0</v>
      </c>
      <c r="AI85" s="104">
        <f t="shared" ref="AI85:AT85" si="26">COUNTA(AI8)</f>
        <v>0</v>
      </c>
      <c r="AJ85" s="104">
        <f t="shared" si="26"/>
        <v>0</v>
      </c>
      <c r="AK85" s="104">
        <f t="shared" si="26"/>
        <v>0</v>
      </c>
      <c r="AL85" s="104">
        <f t="shared" si="26"/>
        <v>0</v>
      </c>
      <c r="AM85" s="104">
        <f t="shared" si="26"/>
        <v>0</v>
      </c>
      <c r="AN85" s="104">
        <f t="shared" si="26"/>
        <v>0</v>
      </c>
      <c r="AO85" s="104">
        <f t="shared" si="26"/>
        <v>0</v>
      </c>
      <c r="AP85" s="104">
        <f t="shared" si="26"/>
        <v>0</v>
      </c>
      <c r="AQ85" s="104">
        <f t="shared" si="26"/>
        <v>0</v>
      </c>
      <c r="AR85" s="104">
        <f t="shared" si="26"/>
        <v>0</v>
      </c>
      <c r="AS85" s="104">
        <f t="shared" si="26"/>
        <v>0</v>
      </c>
      <c r="AT85" s="104">
        <f t="shared" si="26"/>
        <v>0</v>
      </c>
      <c r="AX85" s="104">
        <f t="shared" ref="AX85:BI85" si="27">COUNTA(AX8)</f>
        <v>0</v>
      </c>
      <c r="AY85" s="104">
        <f t="shared" si="27"/>
        <v>0</v>
      </c>
      <c r="AZ85" s="104">
        <f t="shared" si="27"/>
        <v>0</v>
      </c>
      <c r="BA85" s="104">
        <f t="shared" si="27"/>
        <v>0</v>
      </c>
      <c r="BB85" s="104">
        <f t="shared" si="27"/>
        <v>0</v>
      </c>
      <c r="BC85" s="104">
        <f t="shared" si="27"/>
        <v>0</v>
      </c>
      <c r="BD85" s="104">
        <f t="shared" si="27"/>
        <v>0</v>
      </c>
      <c r="BE85" s="104">
        <f t="shared" si="27"/>
        <v>0</v>
      </c>
      <c r="BF85" s="104">
        <f t="shared" si="27"/>
        <v>0</v>
      </c>
      <c r="BG85" s="104">
        <f t="shared" si="27"/>
        <v>0</v>
      </c>
      <c r="BH85" s="104">
        <f t="shared" si="27"/>
        <v>0</v>
      </c>
      <c r="BI85" s="104">
        <f t="shared" si="27"/>
        <v>0</v>
      </c>
      <c r="BM85" s="104">
        <f t="shared" ref="BM85:BX85" si="28">COUNTA(BM8)</f>
        <v>0</v>
      </c>
      <c r="BN85" s="104">
        <f t="shared" si="28"/>
        <v>0</v>
      </c>
      <c r="BO85" s="104">
        <f t="shared" si="28"/>
        <v>0</v>
      </c>
      <c r="BP85" s="104">
        <f t="shared" si="28"/>
        <v>0</v>
      </c>
      <c r="BQ85" s="104">
        <f t="shared" si="28"/>
        <v>0</v>
      </c>
      <c r="BR85" s="104">
        <f t="shared" si="28"/>
        <v>0</v>
      </c>
      <c r="BS85" s="104">
        <f t="shared" si="28"/>
        <v>0</v>
      </c>
      <c r="BT85" s="104">
        <f t="shared" si="28"/>
        <v>0</v>
      </c>
      <c r="BU85" s="104">
        <f t="shared" si="28"/>
        <v>0</v>
      </c>
      <c r="BV85" s="104">
        <f t="shared" si="28"/>
        <v>0</v>
      </c>
      <c r="BW85" s="104">
        <f t="shared" si="28"/>
        <v>0</v>
      </c>
      <c r="BX85" s="104">
        <f t="shared" si="28"/>
        <v>0</v>
      </c>
    </row>
    <row r="86" spans="3:76" s="104" customFormat="1" x14ac:dyDescent="0.4">
      <c r="C86" s="104" t="s">
        <v>272</v>
      </c>
      <c r="E86" s="104">
        <f t="shared" ref="E86:P86" si="29">COUNTA(E9)</f>
        <v>0</v>
      </c>
      <c r="F86" s="104">
        <f t="shared" si="29"/>
        <v>0</v>
      </c>
      <c r="G86" s="104">
        <f t="shared" si="29"/>
        <v>0</v>
      </c>
      <c r="H86" s="104">
        <f t="shared" si="29"/>
        <v>0</v>
      </c>
      <c r="I86" s="104">
        <f t="shared" si="29"/>
        <v>0</v>
      </c>
      <c r="J86" s="104">
        <f t="shared" si="29"/>
        <v>0</v>
      </c>
      <c r="K86" s="104">
        <f t="shared" si="29"/>
        <v>0</v>
      </c>
      <c r="L86" s="104">
        <f t="shared" si="29"/>
        <v>0</v>
      </c>
      <c r="M86" s="104">
        <f t="shared" si="29"/>
        <v>0</v>
      </c>
      <c r="N86" s="104">
        <f t="shared" si="29"/>
        <v>0</v>
      </c>
      <c r="O86" s="104">
        <f t="shared" si="29"/>
        <v>0</v>
      </c>
      <c r="P86" s="104">
        <f t="shared" si="29"/>
        <v>0</v>
      </c>
      <c r="T86" s="104">
        <f t="shared" ref="T86:AE86" si="30">COUNTA(T9)</f>
        <v>0</v>
      </c>
      <c r="U86" s="104">
        <f t="shared" si="30"/>
        <v>0</v>
      </c>
      <c r="V86" s="104">
        <f t="shared" si="30"/>
        <v>0</v>
      </c>
      <c r="W86" s="104">
        <f t="shared" si="30"/>
        <v>0</v>
      </c>
      <c r="X86" s="104">
        <f t="shared" si="30"/>
        <v>0</v>
      </c>
      <c r="Y86" s="104">
        <f t="shared" si="30"/>
        <v>0</v>
      </c>
      <c r="Z86" s="104">
        <f t="shared" si="30"/>
        <v>0</v>
      </c>
      <c r="AA86" s="104">
        <f t="shared" si="30"/>
        <v>0</v>
      </c>
      <c r="AB86" s="104">
        <f t="shared" si="30"/>
        <v>0</v>
      </c>
      <c r="AC86" s="104">
        <f t="shared" si="30"/>
        <v>0</v>
      </c>
      <c r="AD86" s="104">
        <f t="shared" si="30"/>
        <v>0</v>
      </c>
      <c r="AE86" s="104">
        <f t="shared" si="30"/>
        <v>0</v>
      </c>
      <c r="AI86" s="104">
        <f t="shared" ref="AI86:AT86" si="31">COUNTA(AI9)</f>
        <v>0</v>
      </c>
      <c r="AJ86" s="104">
        <f t="shared" si="31"/>
        <v>0</v>
      </c>
      <c r="AK86" s="104">
        <f t="shared" si="31"/>
        <v>0</v>
      </c>
      <c r="AL86" s="104">
        <f t="shared" si="31"/>
        <v>0</v>
      </c>
      <c r="AM86" s="104">
        <f t="shared" si="31"/>
        <v>0</v>
      </c>
      <c r="AN86" s="104">
        <f t="shared" si="31"/>
        <v>0</v>
      </c>
      <c r="AO86" s="104">
        <f t="shared" si="31"/>
        <v>0</v>
      </c>
      <c r="AP86" s="104">
        <f t="shared" si="31"/>
        <v>0</v>
      </c>
      <c r="AQ86" s="104">
        <f t="shared" si="31"/>
        <v>0</v>
      </c>
      <c r="AR86" s="104">
        <f t="shared" si="31"/>
        <v>0</v>
      </c>
      <c r="AS86" s="104">
        <f t="shared" si="31"/>
        <v>0</v>
      </c>
      <c r="AT86" s="104">
        <f t="shared" si="31"/>
        <v>0</v>
      </c>
      <c r="AX86" s="104">
        <f t="shared" ref="AX86:BI86" si="32">COUNTA(AX9)</f>
        <v>0</v>
      </c>
      <c r="AY86" s="104">
        <f t="shared" si="32"/>
        <v>0</v>
      </c>
      <c r="AZ86" s="104">
        <f t="shared" si="32"/>
        <v>0</v>
      </c>
      <c r="BA86" s="104">
        <f t="shared" si="32"/>
        <v>0</v>
      </c>
      <c r="BB86" s="104">
        <f t="shared" si="32"/>
        <v>0</v>
      </c>
      <c r="BC86" s="104">
        <f t="shared" si="32"/>
        <v>0</v>
      </c>
      <c r="BD86" s="104">
        <f t="shared" si="32"/>
        <v>0</v>
      </c>
      <c r="BE86" s="104">
        <f t="shared" si="32"/>
        <v>0</v>
      </c>
      <c r="BF86" s="104">
        <f t="shared" si="32"/>
        <v>0</v>
      </c>
      <c r="BG86" s="104">
        <f t="shared" si="32"/>
        <v>0</v>
      </c>
      <c r="BH86" s="104">
        <f t="shared" si="32"/>
        <v>0</v>
      </c>
      <c r="BI86" s="104">
        <f t="shared" si="32"/>
        <v>0</v>
      </c>
      <c r="BM86" s="104">
        <f t="shared" ref="BM86:BX86" si="33">COUNTA(BM9)</f>
        <v>0</v>
      </c>
      <c r="BN86" s="104">
        <f t="shared" si="33"/>
        <v>0</v>
      </c>
      <c r="BO86" s="104">
        <f t="shared" si="33"/>
        <v>0</v>
      </c>
      <c r="BP86" s="104">
        <f t="shared" si="33"/>
        <v>0</v>
      </c>
      <c r="BQ86" s="104">
        <f t="shared" si="33"/>
        <v>0</v>
      </c>
      <c r="BR86" s="104">
        <f t="shared" si="33"/>
        <v>0</v>
      </c>
      <c r="BS86" s="104">
        <f t="shared" si="33"/>
        <v>0</v>
      </c>
      <c r="BT86" s="104">
        <f t="shared" si="33"/>
        <v>0</v>
      </c>
      <c r="BU86" s="104">
        <f t="shared" si="33"/>
        <v>0</v>
      </c>
      <c r="BV86" s="104">
        <f t="shared" si="33"/>
        <v>0</v>
      </c>
      <c r="BW86" s="104">
        <f t="shared" si="33"/>
        <v>0</v>
      </c>
      <c r="BX86" s="104">
        <f t="shared" si="33"/>
        <v>0</v>
      </c>
    </row>
    <row r="87" spans="3:76" s="104" customFormat="1" x14ac:dyDescent="0.4">
      <c r="C87" s="104" t="s">
        <v>273</v>
      </c>
      <c r="E87" s="104">
        <f t="shared" ref="E87:P87" si="34">COUNTA(E13)</f>
        <v>0</v>
      </c>
      <c r="F87" s="104">
        <f t="shared" si="34"/>
        <v>0</v>
      </c>
      <c r="G87" s="104">
        <f t="shared" si="34"/>
        <v>0</v>
      </c>
      <c r="H87" s="104">
        <f t="shared" si="34"/>
        <v>0</v>
      </c>
      <c r="I87" s="104">
        <f t="shared" si="34"/>
        <v>0</v>
      </c>
      <c r="J87" s="104">
        <f t="shared" si="34"/>
        <v>0</v>
      </c>
      <c r="K87" s="104">
        <f t="shared" si="34"/>
        <v>0</v>
      </c>
      <c r="L87" s="104">
        <f t="shared" si="34"/>
        <v>0</v>
      </c>
      <c r="M87" s="104">
        <f t="shared" si="34"/>
        <v>0</v>
      </c>
      <c r="N87" s="104">
        <f t="shared" si="34"/>
        <v>0</v>
      </c>
      <c r="O87" s="104">
        <f t="shared" si="34"/>
        <v>0</v>
      </c>
      <c r="P87" s="104">
        <f t="shared" si="34"/>
        <v>0</v>
      </c>
      <c r="T87" s="104">
        <f t="shared" ref="T87:AE87" si="35">COUNTA(T13)</f>
        <v>0</v>
      </c>
      <c r="U87" s="104">
        <f t="shared" si="35"/>
        <v>0</v>
      </c>
      <c r="V87" s="104">
        <f t="shared" si="35"/>
        <v>0</v>
      </c>
      <c r="W87" s="104">
        <f t="shared" si="35"/>
        <v>0</v>
      </c>
      <c r="X87" s="104">
        <f t="shared" si="35"/>
        <v>0</v>
      </c>
      <c r="Y87" s="104">
        <f t="shared" si="35"/>
        <v>0</v>
      </c>
      <c r="Z87" s="104">
        <f t="shared" si="35"/>
        <v>0</v>
      </c>
      <c r="AA87" s="104">
        <f t="shared" si="35"/>
        <v>0</v>
      </c>
      <c r="AB87" s="104">
        <f t="shared" si="35"/>
        <v>0</v>
      </c>
      <c r="AC87" s="104">
        <f t="shared" si="35"/>
        <v>0</v>
      </c>
      <c r="AD87" s="104">
        <f t="shared" si="35"/>
        <v>0</v>
      </c>
      <c r="AE87" s="104">
        <f t="shared" si="35"/>
        <v>0</v>
      </c>
      <c r="AI87" s="104">
        <f t="shared" ref="AI87:AT87" si="36">COUNTA(AI13)</f>
        <v>0</v>
      </c>
      <c r="AJ87" s="104">
        <f t="shared" si="36"/>
        <v>0</v>
      </c>
      <c r="AK87" s="104">
        <f t="shared" si="36"/>
        <v>0</v>
      </c>
      <c r="AL87" s="104">
        <f t="shared" si="36"/>
        <v>0</v>
      </c>
      <c r="AM87" s="104">
        <f t="shared" si="36"/>
        <v>0</v>
      </c>
      <c r="AN87" s="104">
        <f t="shared" si="36"/>
        <v>0</v>
      </c>
      <c r="AO87" s="104">
        <f t="shared" si="36"/>
        <v>0</v>
      </c>
      <c r="AP87" s="104">
        <f t="shared" si="36"/>
        <v>0</v>
      </c>
      <c r="AQ87" s="104">
        <f t="shared" si="36"/>
        <v>0</v>
      </c>
      <c r="AR87" s="104">
        <f t="shared" si="36"/>
        <v>0</v>
      </c>
      <c r="AS87" s="104">
        <f t="shared" si="36"/>
        <v>0</v>
      </c>
      <c r="AT87" s="104">
        <f t="shared" si="36"/>
        <v>0</v>
      </c>
      <c r="AX87" s="104">
        <f t="shared" ref="AX87:BI87" si="37">COUNTA(AX13)</f>
        <v>0</v>
      </c>
      <c r="AY87" s="104">
        <f t="shared" si="37"/>
        <v>0</v>
      </c>
      <c r="AZ87" s="104">
        <f t="shared" si="37"/>
        <v>0</v>
      </c>
      <c r="BA87" s="104">
        <f t="shared" si="37"/>
        <v>0</v>
      </c>
      <c r="BB87" s="104">
        <f t="shared" si="37"/>
        <v>0</v>
      </c>
      <c r="BC87" s="104">
        <f t="shared" si="37"/>
        <v>0</v>
      </c>
      <c r="BD87" s="104">
        <f t="shared" si="37"/>
        <v>0</v>
      </c>
      <c r="BE87" s="104">
        <f t="shared" si="37"/>
        <v>0</v>
      </c>
      <c r="BF87" s="104">
        <f t="shared" si="37"/>
        <v>0</v>
      </c>
      <c r="BG87" s="104">
        <f t="shared" si="37"/>
        <v>0</v>
      </c>
      <c r="BH87" s="104">
        <f t="shared" si="37"/>
        <v>0</v>
      </c>
      <c r="BI87" s="104">
        <f t="shared" si="37"/>
        <v>0</v>
      </c>
      <c r="BM87" s="104">
        <f t="shared" ref="BM87:BX87" si="38">COUNTA(BM13)</f>
        <v>0</v>
      </c>
      <c r="BN87" s="104">
        <f t="shared" si="38"/>
        <v>0</v>
      </c>
      <c r="BO87" s="104">
        <f t="shared" si="38"/>
        <v>0</v>
      </c>
      <c r="BP87" s="104">
        <f t="shared" si="38"/>
        <v>0</v>
      </c>
      <c r="BQ87" s="104">
        <f t="shared" si="38"/>
        <v>0</v>
      </c>
      <c r="BR87" s="104">
        <f t="shared" si="38"/>
        <v>0</v>
      </c>
      <c r="BS87" s="104">
        <f t="shared" si="38"/>
        <v>0</v>
      </c>
      <c r="BT87" s="104">
        <f t="shared" si="38"/>
        <v>0</v>
      </c>
      <c r="BU87" s="104">
        <f t="shared" si="38"/>
        <v>0</v>
      </c>
      <c r="BV87" s="104">
        <f t="shared" si="38"/>
        <v>0</v>
      </c>
      <c r="BW87" s="104">
        <f t="shared" si="38"/>
        <v>0</v>
      </c>
      <c r="BX87" s="104">
        <f t="shared" si="38"/>
        <v>0</v>
      </c>
    </row>
    <row r="88" spans="3:76" s="104" customFormat="1" x14ac:dyDescent="0.4">
      <c r="C88" s="104" t="s">
        <v>274</v>
      </c>
      <c r="E88" s="104">
        <f t="shared" ref="E88:P88" si="39">COUNTA(E14)</f>
        <v>0</v>
      </c>
      <c r="F88" s="104">
        <f t="shared" si="39"/>
        <v>0</v>
      </c>
      <c r="G88" s="104">
        <f t="shared" si="39"/>
        <v>0</v>
      </c>
      <c r="H88" s="104">
        <f t="shared" si="39"/>
        <v>0</v>
      </c>
      <c r="I88" s="104">
        <f t="shared" si="39"/>
        <v>0</v>
      </c>
      <c r="J88" s="104">
        <f t="shared" si="39"/>
        <v>0</v>
      </c>
      <c r="K88" s="104">
        <f t="shared" si="39"/>
        <v>0</v>
      </c>
      <c r="L88" s="104">
        <f t="shared" si="39"/>
        <v>0</v>
      </c>
      <c r="M88" s="104">
        <f t="shared" si="39"/>
        <v>0</v>
      </c>
      <c r="N88" s="104">
        <f t="shared" si="39"/>
        <v>0</v>
      </c>
      <c r="O88" s="104">
        <f t="shared" si="39"/>
        <v>0</v>
      </c>
      <c r="P88" s="104">
        <f t="shared" si="39"/>
        <v>0</v>
      </c>
      <c r="T88" s="104">
        <f t="shared" ref="T88:AE88" si="40">COUNTA(T14)</f>
        <v>0</v>
      </c>
      <c r="U88" s="104">
        <f t="shared" si="40"/>
        <v>0</v>
      </c>
      <c r="V88" s="104">
        <f t="shared" si="40"/>
        <v>0</v>
      </c>
      <c r="W88" s="104">
        <f t="shared" si="40"/>
        <v>0</v>
      </c>
      <c r="X88" s="104">
        <f t="shared" si="40"/>
        <v>0</v>
      </c>
      <c r="Y88" s="104">
        <f t="shared" si="40"/>
        <v>0</v>
      </c>
      <c r="Z88" s="104">
        <f t="shared" si="40"/>
        <v>0</v>
      </c>
      <c r="AA88" s="104">
        <f t="shared" si="40"/>
        <v>0</v>
      </c>
      <c r="AB88" s="104">
        <f t="shared" si="40"/>
        <v>0</v>
      </c>
      <c r="AC88" s="104">
        <f t="shared" si="40"/>
        <v>0</v>
      </c>
      <c r="AD88" s="104">
        <f t="shared" si="40"/>
        <v>0</v>
      </c>
      <c r="AE88" s="104">
        <f t="shared" si="40"/>
        <v>0</v>
      </c>
      <c r="AI88" s="104">
        <f t="shared" ref="AI88:AT88" si="41">COUNTA(AI14)</f>
        <v>0</v>
      </c>
      <c r="AJ88" s="104">
        <f t="shared" si="41"/>
        <v>0</v>
      </c>
      <c r="AK88" s="104">
        <f t="shared" si="41"/>
        <v>0</v>
      </c>
      <c r="AL88" s="104">
        <f t="shared" si="41"/>
        <v>0</v>
      </c>
      <c r="AM88" s="104">
        <f t="shared" si="41"/>
        <v>0</v>
      </c>
      <c r="AN88" s="104">
        <f t="shared" si="41"/>
        <v>0</v>
      </c>
      <c r="AO88" s="104">
        <f t="shared" si="41"/>
        <v>0</v>
      </c>
      <c r="AP88" s="104">
        <f t="shared" si="41"/>
        <v>0</v>
      </c>
      <c r="AQ88" s="104">
        <f t="shared" si="41"/>
        <v>0</v>
      </c>
      <c r="AR88" s="104">
        <f t="shared" si="41"/>
        <v>0</v>
      </c>
      <c r="AS88" s="104">
        <f t="shared" si="41"/>
        <v>0</v>
      </c>
      <c r="AT88" s="104">
        <f t="shared" si="41"/>
        <v>0</v>
      </c>
      <c r="AX88" s="104">
        <f t="shared" ref="AX88:BI88" si="42">COUNTA(AX14)</f>
        <v>0</v>
      </c>
      <c r="AY88" s="104">
        <f t="shared" si="42"/>
        <v>0</v>
      </c>
      <c r="AZ88" s="104">
        <f t="shared" si="42"/>
        <v>0</v>
      </c>
      <c r="BA88" s="104">
        <f t="shared" si="42"/>
        <v>0</v>
      </c>
      <c r="BB88" s="104">
        <f t="shared" si="42"/>
        <v>0</v>
      </c>
      <c r="BC88" s="104">
        <f t="shared" si="42"/>
        <v>0</v>
      </c>
      <c r="BD88" s="104">
        <f t="shared" si="42"/>
        <v>0</v>
      </c>
      <c r="BE88" s="104">
        <f t="shared" si="42"/>
        <v>0</v>
      </c>
      <c r="BF88" s="104">
        <f t="shared" si="42"/>
        <v>0</v>
      </c>
      <c r="BG88" s="104">
        <f t="shared" si="42"/>
        <v>0</v>
      </c>
      <c r="BH88" s="104">
        <f t="shared" si="42"/>
        <v>0</v>
      </c>
      <c r="BI88" s="104">
        <f t="shared" si="42"/>
        <v>0</v>
      </c>
      <c r="BM88" s="104">
        <f t="shared" ref="BM88:BX88" si="43">COUNTA(BM14)</f>
        <v>0</v>
      </c>
      <c r="BN88" s="104">
        <f t="shared" si="43"/>
        <v>0</v>
      </c>
      <c r="BO88" s="104">
        <f t="shared" si="43"/>
        <v>0</v>
      </c>
      <c r="BP88" s="104">
        <f t="shared" si="43"/>
        <v>0</v>
      </c>
      <c r="BQ88" s="104">
        <f t="shared" si="43"/>
        <v>0</v>
      </c>
      <c r="BR88" s="104">
        <f t="shared" si="43"/>
        <v>0</v>
      </c>
      <c r="BS88" s="104">
        <f t="shared" si="43"/>
        <v>0</v>
      </c>
      <c r="BT88" s="104">
        <f t="shared" si="43"/>
        <v>0</v>
      </c>
      <c r="BU88" s="104">
        <f t="shared" si="43"/>
        <v>0</v>
      </c>
      <c r="BV88" s="104">
        <f t="shared" si="43"/>
        <v>0</v>
      </c>
      <c r="BW88" s="104">
        <f t="shared" si="43"/>
        <v>0</v>
      </c>
      <c r="BX88" s="104">
        <f t="shared" si="43"/>
        <v>0</v>
      </c>
    </row>
    <row r="89" spans="3:76" s="104" customFormat="1" x14ac:dyDescent="0.4">
      <c r="C89" s="104" t="s">
        <v>275</v>
      </c>
      <c r="E89" s="104">
        <f>COUNTA(E18)</f>
        <v>0</v>
      </c>
      <c r="F89" s="104">
        <f t="shared" ref="F89:P90" si="44">COUNTA(F18)</f>
        <v>0</v>
      </c>
      <c r="G89" s="104">
        <f t="shared" si="44"/>
        <v>0</v>
      </c>
      <c r="H89" s="104">
        <f t="shared" si="44"/>
        <v>0</v>
      </c>
      <c r="I89" s="104">
        <f t="shared" si="44"/>
        <v>0</v>
      </c>
      <c r="J89" s="104">
        <f t="shared" si="44"/>
        <v>0</v>
      </c>
      <c r="K89" s="104">
        <f t="shared" si="44"/>
        <v>0</v>
      </c>
      <c r="L89" s="104">
        <f t="shared" si="44"/>
        <v>0</v>
      </c>
      <c r="M89" s="104">
        <f t="shared" si="44"/>
        <v>0</v>
      </c>
      <c r="N89" s="104">
        <f t="shared" si="44"/>
        <v>0</v>
      </c>
      <c r="O89" s="104">
        <f t="shared" si="44"/>
        <v>0</v>
      </c>
      <c r="P89" s="104">
        <f t="shared" si="44"/>
        <v>0</v>
      </c>
      <c r="T89" s="104">
        <f>COUNTA(T18)</f>
        <v>0</v>
      </c>
      <c r="U89" s="104">
        <f t="shared" ref="U89:AE90" si="45">COUNTA(U18)</f>
        <v>0</v>
      </c>
      <c r="V89" s="104">
        <f t="shared" si="45"/>
        <v>0</v>
      </c>
      <c r="W89" s="104">
        <f t="shared" si="45"/>
        <v>0</v>
      </c>
      <c r="X89" s="104">
        <f t="shared" si="45"/>
        <v>0</v>
      </c>
      <c r="Y89" s="104">
        <f t="shared" si="45"/>
        <v>0</v>
      </c>
      <c r="Z89" s="104">
        <f t="shared" si="45"/>
        <v>0</v>
      </c>
      <c r="AA89" s="104">
        <f t="shared" si="45"/>
        <v>0</v>
      </c>
      <c r="AB89" s="104">
        <f t="shared" si="45"/>
        <v>0</v>
      </c>
      <c r="AC89" s="104">
        <f t="shared" si="45"/>
        <v>0</v>
      </c>
      <c r="AD89" s="104">
        <f t="shared" si="45"/>
        <v>0</v>
      </c>
      <c r="AE89" s="104">
        <f t="shared" si="45"/>
        <v>0</v>
      </c>
      <c r="AI89" s="104">
        <f>COUNTA(AI18)</f>
        <v>0</v>
      </c>
      <c r="AJ89" s="104">
        <f t="shared" ref="AJ89:AT90" si="46">COUNTA(AJ18)</f>
        <v>0</v>
      </c>
      <c r="AK89" s="104">
        <f t="shared" si="46"/>
        <v>0</v>
      </c>
      <c r="AL89" s="104">
        <f t="shared" si="46"/>
        <v>0</v>
      </c>
      <c r="AM89" s="104">
        <f t="shared" si="46"/>
        <v>0</v>
      </c>
      <c r="AN89" s="104">
        <f t="shared" si="46"/>
        <v>0</v>
      </c>
      <c r="AO89" s="104">
        <f t="shared" si="46"/>
        <v>0</v>
      </c>
      <c r="AP89" s="104">
        <f t="shared" si="46"/>
        <v>0</v>
      </c>
      <c r="AQ89" s="104">
        <f t="shared" si="46"/>
        <v>0</v>
      </c>
      <c r="AR89" s="104">
        <f t="shared" si="46"/>
        <v>0</v>
      </c>
      <c r="AS89" s="104">
        <f t="shared" si="46"/>
        <v>0</v>
      </c>
      <c r="AT89" s="104">
        <f t="shared" si="46"/>
        <v>0</v>
      </c>
      <c r="AX89" s="104">
        <f>COUNTA(AX18)</f>
        <v>0</v>
      </c>
      <c r="AY89" s="104">
        <f t="shared" ref="AY89:BI90" si="47">COUNTA(AY18)</f>
        <v>0</v>
      </c>
      <c r="AZ89" s="104">
        <f t="shared" si="47"/>
        <v>0</v>
      </c>
      <c r="BA89" s="104">
        <f t="shared" si="47"/>
        <v>0</v>
      </c>
      <c r="BB89" s="104">
        <f t="shared" si="47"/>
        <v>0</v>
      </c>
      <c r="BC89" s="104">
        <f t="shared" si="47"/>
        <v>0</v>
      </c>
      <c r="BD89" s="104">
        <f t="shared" si="47"/>
        <v>0</v>
      </c>
      <c r="BE89" s="104">
        <f t="shared" si="47"/>
        <v>0</v>
      </c>
      <c r="BF89" s="104">
        <f t="shared" si="47"/>
        <v>0</v>
      </c>
      <c r="BG89" s="104">
        <f t="shared" si="47"/>
        <v>0</v>
      </c>
      <c r="BH89" s="104">
        <f t="shared" si="47"/>
        <v>0</v>
      </c>
      <c r="BI89" s="104">
        <f t="shared" si="47"/>
        <v>0</v>
      </c>
      <c r="BM89" s="104">
        <f>COUNTA(BM18)</f>
        <v>0</v>
      </c>
      <c r="BN89" s="104">
        <f t="shared" ref="BN89:BX90" si="48">COUNTA(BN18)</f>
        <v>0</v>
      </c>
      <c r="BO89" s="104">
        <f t="shared" si="48"/>
        <v>0</v>
      </c>
      <c r="BP89" s="104">
        <f t="shared" si="48"/>
        <v>0</v>
      </c>
      <c r="BQ89" s="104">
        <f t="shared" si="48"/>
        <v>0</v>
      </c>
      <c r="BR89" s="104">
        <f t="shared" si="48"/>
        <v>0</v>
      </c>
      <c r="BS89" s="104">
        <f t="shared" si="48"/>
        <v>0</v>
      </c>
      <c r="BT89" s="104">
        <f t="shared" si="48"/>
        <v>0</v>
      </c>
      <c r="BU89" s="104">
        <f t="shared" si="48"/>
        <v>0</v>
      </c>
      <c r="BV89" s="104">
        <f t="shared" si="48"/>
        <v>0</v>
      </c>
      <c r="BW89" s="104">
        <f t="shared" si="48"/>
        <v>0</v>
      </c>
      <c r="BX89" s="104">
        <f t="shared" si="48"/>
        <v>0</v>
      </c>
    </row>
    <row r="90" spans="3:76" s="104" customFormat="1" x14ac:dyDescent="0.4">
      <c r="C90" s="104" t="s">
        <v>276</v>
      </c>
      <c r="E90" s="104">
        <f>COUNTA(E19)</f>
        <v>0</v>
      </c>
      <c r="F90" s="104">
        <f t="shared" si="44"/>
        <v>0</v>
      </c>
      <c r="G90" s="104">
        <f t="shared" si="44"/>
        <v>0</v>
      </c>
      <c r="H90" s="104">
        <f t="shared" si="44"/>
        <v>0</v>
      </c>
      <c r="I90" s="104">
        <f t="shared" si="44"/>
        <v>0</v>
      </c>
      <c r="J90" s="104">
        <f t="shared" si="44"/>
        <v>0</v>
      </c>
      <c r="K90" s="104">
        <f t="shared" si="44"/>
        <v>0</v>
      </c>
      <c r="L90" s="104">
        <f t="shared" si="44"/>
        <v>0</v>
      </c>
      <c r="M90" s="104">
        <f t="shared" si="44"/>
        <v>0</v>
      </c>
      <c r="N90" s="104">
        <f t="shared" si="44"/>
        <v>0</v>
      </c>
      <c r="O90" s="104">
        <f t="shared" si="44"/>
        <v>0</v>
      </c>
      <c r="P90" s="104">
        <f t="shared" si="44"/>
        <v>0</v>
      </c>
      <c r="T90" s="104">
        <f>COUNTA(T19)</f>
        <v>0</v>
      </c>
      <c r="U90" s="104">
        <f t="shared" si="45"/>
        <v>0</v>
      </c>
      <c r="V90" s="104">
        <f t="shared" si="45"/>
        <v>0</v>
      </c>
      <c r="W90" s="104">
        <f t="shared" si="45"/>
        <v>0</v>
      </c>
      <c r="X90" s="104">
        <f t="shared" si="45"/>
        <v>0</v>
      </c>
      <c r="Y90" s="104">
        <f t="shared" si="45"/>
        <v>0</v>
      </c>
      <c r="Z90" s="104">
        <f t="shared" si="45"/>
        <v>0</v>
      </c>
      <c r="AA90" s="104">
        <f t="shared" si="45"/>
        <v>0</v>
      </c>
      <c r="AB90" s="104">
        <f t="shared" si="45"/>
        <v>0</v>
      </c>
      <c r="AC90" s="104">
        <f t="shared" si="45"/>
        <v>0</v>
      </c>
      <c r="AD90" s="104">
        <f t="shared" si="45"/>
        <v>0</v>
      </c>
      <c r="AE90" s="104">
        <f t="shared" si="45"/>
        <v>0</v>
      </c>
      <c r="AI90" s="104">
        <f>COUNTA(AI19)</f>
        <v>0</v>
      </c>
      <c r="AJ90" s="104">
        <f t="shared" si="46"/>
        <v>0</v>
      </c>
      <c r="AK90" s="104">
        <f t="shared" si="46"/>
        <v>0</v>
      </c>
      <c r="AL90" s="104">
        <f t="shared" si="46"/>
        <v>0</v>
      </c>
      <c r="AM90" s="104">
        <f t="shared" si="46"/>
        <v>0</v>
      </c>
      <c r="AN90" s="104">
        <f t="shared" si="46"/>
        <v>0</v>
      </c>
      <c r="AO90" s="104">
        <f t="shared" si="46"/>
        <v>0</v>
      </c>
      <c r="AP90" s="104">
        <f t="shared" si="46"/>
        <v>0</v>
      </c>
      <c r="AQ90" s="104">
        <f t="shared" si="46"/>
        <v>0</v>
      </c>
      <c r="AR90" s="104">
        <f t="shared" si="46"/>
        <v>0</v>
      </c>
      <c r="AS90" s="104">
        <f t="shared" si="46"/>
        <v>0</v>
      </c>
      <c r="AT90" s="104">
        <f t="shared" si="46"/>
        <v>0</v>
      </c>
      <c r="AX90" s="104">
        <f>COUNTA(AX19)</f>
        <v>0</v>
      </c>
      <c r="AY90" s="104">
        <f t="shared" si="47"/>
        <v>0</v>
      </c>
      <c r="AZ90" s="104">
        <f t="shared" si="47"/>
        <v>0</v>
      </c>
      <c r="BA90" s="104">
        <f t="shared" si="47"/>
        <v>0</v>
      </c>
      <c r="BB90" s="104">
        <f t="shared" si="47"/>
        <v>0</v>
      </c>
      <c r="BC90" s="104">
        <f t="shared" si="47"/>
        <v>0</v>
      </c>
      <c r="BD90" s="104">
        <f t="shared" si="47"/>
        <v>0</v>
      </c>
      <c r="BE90" s="104">
        <f t="shared" si="47"/>
        <v>0</v>
      </c>
      <c r="BF90" s="104">
        <f t="shared" si="47"/>
        <v>0</v>
      </c>
      <c r="BG90" s="104">
        <f t="shared" si="47"/>
        <v>0</v>
      </c>
      <c r="BH90" s="104">
        <f t="shared" si="47"/>
        <v>0</v>
      </c>
      <c r="BI90" s="104">
        <f t="shared" si="47"/>
        <v>0</v>
      </c>
      <c r="BM90" s="104">
        <f>COUNTA(BM19)</f>
        <v>0</v>
      </c>
      <c r="BN90" s="104">
        <f t="shared" si="48"/>
        <v>0</v>
      </c>
      <c r="BO90" s="104">
        <f t="shared" si="48"/>
        <v>0</v>
      </c>
      <c r="BP90" s="104">
        <f t="shared" si="48"/>
        <v>0</v>
      </c>
      <c r="BQ90" s="104">
        <f t="shared" si="48"/>
        <v>0</v>
      </c>
      <c r="BR90" s="104">
        <f t="shared" si="48"/>
        <v>0</v>
      </c>
      <c r="BS90" s="104">
        <f t="shared" si="48"/>
        <v>0</v>
      </c>
      <c r="BT90" s="104">
        <f t="shared" si="48"/>
        <v>0</v>
      </c>
      <c r="BU90" s="104">
        <f t="shared" si="48"/>
        <v>0</v>
      </c>
      <c r="BV90" s="104">
        <f t="shared" si="48"/>
        <v>0</v>
      </c>
      <c r="BW90" s="104">
        <f t="shared" si="48"/>
        <v>0</v>
      </c>
      <c r="BX90" s="104">
        <f t="shared" si="48"/>
        <v>0</v>
      </c>
    </row>
    <row r="91" spans="3:76" s="104" customFormat="1" x14ac:dyDescent="0.4">
      <c r="C91" s="104" t="s">
        <v>277</v>
      </c>
      <c r="E91" s="104">
        <f>COUNTA(E23)</f>
        <v>0</v>
      </c>
      <c r="F91" s="104">
        <f t="shared" ref="F91:P92" si="49">COUNTA(F23)</f>
        <v>0</v>
      </c>
      <c r="G91" s="104">
        <f t="shared" si="49"/>
        <v>0</v>
      </c>
      <c r="H91" s="104">
        <f t="shared" si="49"/>
        <v>0</v>
      </c>
      <c r="I91" s="104">
        <f t="shared" si="49"/>
        <v>0</v>
      </c>
      <c r="J91" s="104">
        <f t="shared" si="49"/>
        <v>0</v>
      </c>
      <c r="K91" s="104">
        <f t="shared" si="49"/>
        <v>0</v>
      </c>
      <c r="L91" s="104">
        <f t="shared" si="49"/>
        <v>0</v>
      </c>
      <c r="M91" s="104">
        <f t="shared" si="49"/>
        <v>0</v>
      </c>
      <c r="N91" s="104">
        <f t="shared" si="49"/>
        <v>0</v>
      </c>
      <c r="O91" s="104">
        <f t="shared" si="49"/>
        <v>0</v>
      </c>
      <c r="P91" s="104">
        <f t="shared" si="49"/>
        <v>0</v>
      </c>
      <c r="T91" s="104">
        <f>COUNTA(T23)</f>
        <v>0</v>
      </c>
      <c r="U91" s="104">
        <f t="shared" ref="U91:AE92" si="50">COUNTA(U23)</f>
        <v>0</v>
      </c>
      <c r="V91" s="104">
        <f t="shared" si="50"/>
        <v>0</v>
      </c>
      <c r="W91" s="104">
        <f t="shared" si="50"/>
        <v>0</v>
      </c>
      <c r="X91" s="104">
        <f t="shared" si="50"/>
        <v>0</v>
      </c>
      <c r="Y91" s="104">
        <f t="shared" si="50"/>
        <v>0</v>
      </c>
      <c r="Z91" s="104">
        <f t="shared" si="50"/>
        <v>0</v>
      </c>
      <c r="AA91" s="104">
        <f t="shared" si="50"/>
        <v>0</v>
      </c>
      <c r="AB91" s="104">
        <f t="shared" si="50"/>
        <v>0</v>
      </c>
      <c r="AC91" s="104">
        <f t="shared" si="50"/>
        <v>0</v>
      </c>
      <c r="AD91" s="104">
        <f t="shared" si="50"/>
        <v>0</v>
      </c>
      <c r="AE91" s="104">
        <f t="shared" si="50"/>
        <v>0</v>
      </c>
      <c r="AI91" s="104">
        <f>COUNTA(AI23)</f>
        <v>0</v>
      </c>
      <c r="AJ91" s="104">
        <f t="shared" ref="AJ91:AT92" si="51">COUNTA(AJ23)</f>
        <v>0</v>
      </c>
      <c r="AK91" s="104">
        <f t="shared" si="51"/>
        <v>0</v>
      </c>
      <c r="AL91" s="104">
        <f t="shared" si="51"/>
        <v>0</v>
      </c>
      <c r="AM91" s="104">
        <f t="shared" si="51"/>
        <v>0</v>
      </c>
      <c r="AN91" s="104">
        <f t="shared" si="51"/>
        <v>0</v>
      </c>
      <c r="AO91" s="104">
        <f t="shared" si="51"/>
        <v>0</v>
      </c>
      <c r="AP91" s="104">
        <f t="shared" si="51"/>
        <v>0</v>
      </c>
      <c r="AQ91" s="104">
        <f t="shared" si="51"/>
        <v>0</v>
      </c>
      <c r="AR91" s="104">
        <f t="shared" si="51"/>
        <v>0</v>
      </c>
      <c r="AS91" s="104">
        <f t="shared" si="51"/>
        <v>0</v>
      </c>
      <c r="AT91" s="104">
        <f t="shared" si="51"/>
        <v>0</v>
      </c>
      <c r="AX91" s="104">
        <f>COUNTA(AX23)</f>
        <v>0</v>
      </c>
      <c r="AY91" s="104">
        <f t="shared" ref="AY91:BI92" si="52">COUNTA(AY23)</f>
        <v>0</v>
      </c>
      <c r="AZ91" s="104">
        <f t="shared" si="52"/>
        <v>0</v>
      </c>
      <c r="BA91" s="104">
        <f t="shared" si="52"/>
        <v>0</v>
      </c>
      <c r="BB91" s="104">
        <f t="shared" si="52"/>
        <v>0</v>
      </c>
      <c r="BC91" s="104">
        <f t="shared" si="52"/>
        <v>0</v>
      </c>
      <c r="BD91" s="104">
        <f t="shared" si="52"/>
        <v>0</v>
      </c>
      <c r="BE91" s="104">
        <f t="shared" si="52"/>
        <v>0</v>
      </c>
      <c r="BF91" s="104">
        <f t="shared" si="52"/>
        <v>0</v>
      </c>
      <c r="BG91" s="104">
        <f t="shared" si="52"/>
        <v>0</v>
      </c>
      <c r="BH91" s="104">
        <f t="shared" si="52"/>
        <v>0</v>
      </c>
      <c r="BI91" s="104">
        <f t="shared" si="52"/>
        <v>0</v>
      </c>
      <c r="BM91" s="104">
        <f>COUNTA(BM23)</f>
        <v>0</v>
      </c>
      <c r="BN91" s="104">
        <f t="shared" ref="BN91:BX92" si="53">COUNTA(BN23)</f>
        <v>0</v>
      </c>
      <c r="BO91" s="104">
        <f t="shared" si="53"/>
        <v>0</v>
      </c>
      <c r="BP91" s="104">
        <f t="shared" si="53"/>
        <v>0</v>
      </c>
      <c r="BQ91" s="104">
        <f t="shared" si="53"/>
        <v>0</v>
      </c>
      <c r="BR91" s="104">
        <f t="shared" si="53"/>
        <v>0</v>
      </c>
      <c r="BS91" s="104">
        <f t="shared" si="53"/>
        <v>0</v>
      </c>
      <c r="BT91" s="104">
        <f t="shared" si="53"/>
        <v>0</v>
      </c>
      <c r="BU91" s="104">
        <f t="shared" si="53"/>
        <v>0</v>
      </c>
      <c r="BV91" s="104">
        <f t="shared" si="53"/>
        <v>0</v>
      </c>
      <c r="BW91" s="104">
        <f t="shared" si="53"/>
        <v>0</v>
      </c>
      <c r="BX91" s="104">
        <f t="shared" si="53"/>
        <v>0</v>
      </c>
    </row>
    <row r="92" spans="3:76" s="104" customFormat="1" x14ac:dyDescent="0.4">
      <c r="C92" s="104" t="s">
        <v>278</v>
      </c>
      <c r="E92" s="104">
        <f>COUNTA(E24)</f>
        <v>0</v>
      </c>
      <c r="F92" s="104">
        <f t="shared" si="49"/>
        <v>0</v>
      </c>
      <c r="G92" s="104">
        <f t="shared" si="49"/>
        <v>0</v>
      </c>
      <c r="H92" s="104">
        <f t="shared" si="49"/>
        <v>0</v>
      </c>
      <c r="I92" s="104">
        <f t="shared" si="49"/>
        <v>0</v>
      </c>
      <c r="J92" s="104">
        <f t="shared" si="49"/>
        <v>0</v>
      </c>
      <c r="K92" s="104">
        <f t="shared" si="49"/>
        <v>0</v>
      </c>
      <c r="L92" s="104">
        <f t="shared" si="49"/>
        <v>0</v>
      </c>
      <c r="M92" s="104">
        <f t="shared" si="49"/>
        <v>0</v>
      </c>
      <c r="N92" s="104">
        <f t="shared" si="49"/>
        <v>0</v>
      </c>
      <c r="O92" s="104">
        <f t="shared" si="49"/>
        <v>0</v>
      </c>
      <c r="P92" s="104">
        <f t="shared" si="49"/>
        <v>0</v>
      </c>
      <c r="T92" s="104">
        <f>COUNTA(T24)</f>
        <v>0</v>
      </c>
      <c r="U92" s="104">
        <f t="shared" si="50"/>
        <v>0</v>
      </c>
      <c r="V92" s="104">
        <f t="shared" si="50"/>
        <v>0</v>
      </c>
      <c r="W92" s="104">
        <f t="shared" si="50"/>
        <v>0</v>
      </c>
      <c r="X92" s="104">
        <f t="shared" si="50"/>
        <v>0</v>
      </c>
      <c r="Y92" s="104">
        <f t="shared" si="50"/>
        <v>0</v>
      </c>
      <c r="Z92" s="104">
        <f t="shared" si="50"/>
        <v>0</v>
      </c>
      <c r="AA92" s="104">
        <f t="shared" si="50"/>
        <v>0</v>
      </c>
      <c r="AB92" s="104">
        <f t="shared" si="50"/>
        <v>0</v>
      </c>
      <c r="AC92" s="104">
        <f t="shared" si="50"/>
        <v>0</v>
      </c>
      <c r="AD92" s="104">
        <f t="shared" si="50"/>
        <v>0</v>
      </c>
      <c r="AE92" s="104">
        <f t="shared" si="50"/>
        <v>0</v>
      </c>
      <c r="AI92" s="104">
        <f>COUNTA(AI24)</f>
        <v>0</v>
      </c>
      <c r="AJ92" s="104">
        <f t="shared" si="51"/>
        <v>0</v>
      </c>
      <c r="AK92" s="104">
        <f t="shared" si="51"/>
        <v>0</v>
      </c>
      <c r="AL92" s="104">
        <f t="shared" si="51"/>
        <v>0</v>
      </c>
      <c r="AM92" s="104">
        <f t="shared" si="51"/>
        <v>0</v>
      </c>
      <c r="AN92" s="104">
        <f t="shared" si="51"/>
        <v>0</v>
      </c>
      <c r="AO92" s="104">
        <f t="shared" si="51"/>
        <v>0</v>
      </c>
      <c r="AP92" s="104">
        <f t="shared" si="51"/>
        <v>0</v>
      </c>
      <c r="AQ92" s="104">
        <f t="shared" si="51"/>
        <v>0</v>
      </c>
      <c r="AR92" s="104">
        <f t="shared" si="51"/>
        <v>0</v>
      </c>
      <c r="AS92" s="104">
        <f t="shared" si="51"/>
        <v>0</v>
      </c>
      <c r="AT92" s="104">
        <f t="shared" si="51"/>
        <v>0</v>
      </c>
      <c r="AX92" s="104">
        <f>COUNTA(AX24)</f>
        <v>0</v>
      </c>
      <c r="AY92" s="104">
        <f t="shared" si="52"/>
        <v>0</v>
      </c>
      <c r="AZ92" s="104">
        <f t="shared" si="52"/>
        <v>0</v>
      </c>
      <c r="BA92" s="104">
        <f t="shared" si="52"/>
        <v>0</v>
      </c>
      <c r="BB92" s="104">
        <f t="shared" si="52"/>
        <v>0</v>
      </c>
      <c r="BC92" s="104">
        <f t="shared" si="52"/>
        <v>0</v>
      </c>
      <c r="BD92" s="104">
        <f t="shared" si="52"/>
        <v>0</v>
      </c>
      <c r="BE92" s="104">
        <f t="shared" si="52"/>
        <v>0</v>
      </c>
      <c r="BF92" s="104">
        <f t="shared" si="52"/>
        <v>0</v>
      </c>
      <c r="BG92" s="104">
        <f t="shared" si="52"/>
        <v>0</v>
      </c>
      <c r="BH92" s="104">
        <f t="shared" si="52"/>
        <v>0</v>
      </c>
      <c r="BI92" s="104">
        <f t="shared" si="52"/>
        <v>0</v>
      </c>
      <c r="BM92" s="104">
        <f>COUNTA(BM24)</f>
        <v>0</v>
      </c>
      <c r="BN92" s="104">
        <f t="shared" si="53"/>
        <v>0</v>
      </c>
      <c r="BO92" s="104">
        <f t="shared" si="53"/>
        <v>0</v>
      </c>
      <c r="BP92" s="104">
        <f t="shared" si="53"/>
        <v>0</v>
      </c>
      <c r="BQ92" s="104">
        <f t="shared" si="53"/>
        <v>0</v>
      </c>
      <c r="BR92" s="104">
        <f t="shared" si="53"/>
        <v>0</v>
      </c>
      <c r="BS92" s="104">
        <f t="shared" si="53"/>
        <v>0</v>
      </c>
      <c r="BT92" s="104">
        <f t="shared" si="53"/>
        <v>0</v>
      </c>
      <c r="BU92" s="104">
        <f t="shared" si="53"/>
        <v>0</v>
      </c>
      <c r="BV92" s="104">
        <f t="shared" si="53"/>
        <v>0</v>
      </c>
      <c r="BW92" s="104">
        <f t="shared" si="53"/>
        <v>0</v>
      </c>
      <c r="BX92" s="104">
        <f t="shared" si="53"/>
        <v>0</v>
      </c>
    </row>
    <row r="93" spans="3:76" s="104" customFormat="1" x14ac:dyDescent="0.4">
      <c r="C93" s="104" t="s">
        <v>279</v>
      </c>
      <c r="E93" s="104">
        <f>COUNTA(E28)</f>
        <v>0</v>
      </c>
      <c r="F93" s="104">
        <f t="shared" ref="F93:P94" si="54">COUNTA(F28)</f>
        <v>0</v>
      </c>
      <c r="G93" s="104">
        <f t="shared" si="54"/>
        <v>0</v>
      </c>
      <c r="H93" s="104">
        <f t="shared" si="54"/>
        <v>0</v>
      </c>
      <c r="I93" s="104">
        <f t="shared" si="54"/>
        <v>0</v>
      </c>
      <c r="J93" s="104">
        <f t="shared" si="54"/>
        <v>0</v>
      </c>
      <c r="K93" s="104">
        <f t="shared" si="54"/>
        <v>0</v>
      </c>
      <c r="L93" s="104">
        <f t="shared" si="54"/>
        <v>0</v>
      </c>
      <c r="M93" s="104">
        <f t="shared" si="54"/>
        <v>0</v>
      </c>
      <c r="N93" s="104">
        <f t="shared" si="54"/>
        <v>0</v>
      </c>
      <c r="O93" s="104">
        <f t="shared" si="54"/>
        <v>0</v>
      </c>
      <c r="P93" s="104">
        <f t="shared" si="54"/>
        <v>0</v>
      </c>
      <c r="T93" s="104">
        <f>COUNTA(T28)</f>
        <v>0</v>
      </c>
      <c r="U93" s="104">
        <f t="shared" ref="U93:AE94" si="55">COUNTA(U28)</f>
        <v>0</v>
      </c>
      <c r="V93" s="104">
        <f t="shared" si="55"/>
        <v>0</v>
      </c>
      <c r="W93" s="104">
        <f t="shared" si="55"/>
        <v>0</v>
      </c>
      <c r="X93" s="104">
        <f t="shared" si="55"/>
        <v>0</v>
      </c>
      <c r="Y93" s="104">
        <f t="shared" si="55"/>
        <v>0</v>
      </c>
      <c r="Z93" s="104">
        <f t="shared" si="55"/>
        <v>0</v>
      </c>
      <c r="AA93" s="104">
        <f t="shared" si="55"/>
        <v>0</v>
      </c>
      <c r="AB93" s="104">
        <f t="shared" si="55"/>
        <v>0</v>
      </c>
      <c r="AC93" s="104">
        <f t="shared" si="55"/>
        <v>0</v>
      </c>
      <c r="AD93" s="104">
        <f t="shared" si="55"/>
        <v>0</v>
      </c>
      <c r="AE93" s="104">
        <f t="shared" si="55"/>
        <v>0</v>
      </c>
      <c r="AI93" s="104">
        <f>COUNTA(AI28)</f>
        <v>0</v>
      </c>
      <c r="AJ93" s="104">
        <f t="shared" ref="AJ93:AT94" si="56">COUNTA(AJ28)</f>
        <v>0</v>
      </c>
      <c r="AK93" s="104">
        <f t="shared" si="56"/>
        <v>0</v>
      </c>
      <c r="AL93" s="104">
        <f t="shared" si="56"/>
        <v>0</v>
      </c>
      <c r="AM93" s="104">
        <f t="shared" si="56"/>
        <v>0</v>
      </c>
      <c r="AN93" s="104">
        <f t="shared" si="56"/>
        <v>0</v>
      </c>
      <c r="AO93" s="104">
        <f t="shared" si="56"/>
        <v>0</v>
      </c>
      <c r="AP93" s="104">
        <f t="shared" si="56"/>
        <v>0</v>
      </c>
      <c r="AQ93" s="104">
        <f t="shared" si="56"/>
        <v>0</v>
      </c>
      <c r="AR93" s="104">
        <f t="shared" si="56"/>
        <v>0</v>
      </c>
      <c r="AS93" s="104">
        <f t="shared" si="56"/>
        <v>0</v>
      </c>
      <c r="AT93" s="104">
        <f t="shared" si="56"/>
        <v>0</v>
      </c>
      <c r="AX93" s="104">
        <f>COUNTA(AX28)</f>
        <v>0</v>
      </c>
      <c r="AY93" s="104">
        <f t="shared" ref="AY93:BI94" si="57">COUNTA(AY28)</f>
        <v>0</v>
      </c>
      <c r="AZ93" s="104">
        <f t="shared" si="57"/>
        <v>0</v>
      </c>
      <c r="BA93" s="104">
        <f t="shared" si="57"/>
        <v>0</v>
      </c>
      <c r="BB93" s="104">
        <f t="shared" si="57"/>
        <v>0</v>
      </c>
      <c r="BC93" s="104">
        <f t="shared" si="57"/>
        <v>0</v>
      </c>
      <c r="BD93" s="104">
        <f t="shared" si="57"/>
        <v>0</v>
      </c>
      <c r="BE93" s="104">
        <f t="shared" si="57"/>
        <v>0</v>
      </c>
      <c r="BF93" s="104">
        <f t="shared" si="57"/>
        <v>0</v>
      </c>
      <c r="BG93" s="104">
        <f t="shared" si="57"/>
        <v>0</v>
      </c>
      <c r="BH93" s="104">
        <f t="shared" si="57"/>
        <v>0</v>
      </c>
      <c r="BI93" s="104">
        <f t="shared" si="57"/>
        <v>0</v>
      </c>
      <c r="BM93" s="104">
        <f>COUNTA(BM28)</f>
        <v>0</v>
      </c>
      <c r="BN93" s="104">
        <f t="shared" ref="BN93:BX94" si="58">COUNTA(BN28)</f>
        <v>0</v>
      </c>
      <c r="BO93" s="104">
        <f t="shared" si="58"/>
        <v>0</v>
      </c>
      <c r="BP93" s="104">
        <f t="shared" si="58"/>
        <v>0</v>
      </c>
      <c r="BQ93" s="104">
        <f t="shared" si="58"/>
        <v>0</v>
      </c>
      <c r="BR93" s="104">
        <f t="shared" si="58"/>
        <v>0</v>
      </c>
      <c r="BS93" s="104">
        <f t="shared" si="58"/>
        <v>0</v>
      </c>
      <c r="BT93" s="104">
        <f t="shared" si="58"/>
        <v>0</v>
      </c>
      <c r="BU93" s="104">
        <f t="shared" si="58"/>
        <v>0</v>
      </c>
      <c r="BV93" s="104">
        <f t="shared" si="58"/>
        <v>0</v>
      </c>
      <c r="BW93" s="104">
        <f t="shared" si="58"/>
        <v>0</v>
      </c>
      <c r="BX93" s="104">
        <f t="shared" si="58"/>
        <v>0</v>
      </c>
    </row>
    <row r="94" spans="3:76" s="104" customFormat="1" x14ac:dyDescent="0.4">
      <c r="C94" s="104" t="s">
        <v>280</v>
      </c>
      <c r="E94" s="104">
        <f>COUNTA(E29)</f>
        <v>0</v>
      </c>
      <c r="F94" s="104">
        <f t="shared" si="54"/>
        <v>0</v>
      </c>
      <c r="G94" s="104">
        <f t="shared" si="54"/>
        <v>0</v>
      </c>
      <c r="H94" s="104">
        <f t="shared" si="54"/>
        <v>0</v>
      </c>
      <c r="I94" s="104">
        <f t="shared" si="54"/>
        <v>0</v>
      </c>
      <c r="J94" s="104">
        <f t="shared" si="54"/>
        <v>0</v>
      </c>
      <c r="K94" s="104">
        <f t="shared" si="54"/>
        <v>0</v>
      </c>
      <c r="L94" s="104">
        <f t="shared" si="54"/>
        <v>0</v>
      </c>
      <c r="M94" s="104">
        <f t="shared" si="54"/>
        <v>0</v>
      </c>
      <c r="N94" s="104">
        <f t="shared" si="54"/>
        <v>0</v>
      </c>
      <c r="O94" s="104">
        <f t="shared" si="54"/>
        <v>0</v>
      </c>
      <c r="P94" s="104">
        <f t="shared" si="54"/>
        <v>0</v>
      </c>
      <c r="T94" s="104">
        <f>COUNTA(T29)</f>
        <v>0</v>
      </c>
      <c r="U94" s="104">
        <f t="shared" si="55"/>
        <v>0</v>
      </c>
      <c r="V94" s="104">
        <f t="shared" si="55"/>
        <v>0</v>
      </c>
      <c r="W94" s="104">
        <f t="shared" si="55"/>
        <v>0</v>
      </c>
      <c r="X94" s="104">
        <f t="shared" si="55"/>
        <v>0</v>
      </c>
      <c r="Y94" s="104">
        <f t="shared" si="55"/>
        <v>0</v>
      </c>
      <c r="Z94" s="104">
        <f t="shared" si="55"/>
        <v>0</v>
      </c>
      <c r="AA94" s="104">
        <f t="shared" si="55"/>
        <v>0</v>
      </c>
      <c r="AB94" s="104">
        <f t="shared" si="55"/>
        <v>0</v>
      </c>
      <c r="AC94" s="104">
        <f t="shared" si="55"/>
        <v>0</v>
      </c>
      <c r="AD94" s="104">
        <f t="shared" si="55"/>
        <v>0</v>
      </c>
      <c r="AE94" s="104">
        <f t="shared" si="55"/>
        <v>0</v>
      </c>
      <c r="AI94" s="104">
        <f>COUNTA(AI29)</f>
        <v>0</v>
      </c>
      <c r="AJ94" s="104">
        <f t="shared" si="56"/>
        <v>0</v>
      </c>
      <c r="AK94" s="104">
        <f t="shared" si="56"/>
        <v>0</v>
      </c>
      <c r="AL94" s="104">
        <f t="shared" si="56"/>
        <v>0</v>
      </c>
      <c r="AM94" s="104">
        <f t="shared" si="56"/>
        <v>0</v>
      </c>
      <c r="AN94" s="104">
        <f t="shared" si="56"/>
        <v>0</v>
      </c>
      <c r="AO94" s="104">
        <f t="shared" si="56"/>
        <v>0</v>
      </c>
      <c r="AP94" s="104">
        <f t="shared" si="56"/>
        <v>0</v>
      </c>
      <c r="AQ94" s="104">
        <f t="shared" si="56"/>
        <v>0</v>
      </c>
      <c r="AR94" s="104">
        <f t="shared" si="56"/>
        <v>0</v>
      </c>
      <c r="AS94" s="104">
        <f t="shared" si="56"/>
        <v>0</v>
      </c>
      <c r="AT94" s="104">
        <f t="shared" si="56"/>
        <v>0</v>
      </c>
      <c r="AX94" s="104">
        <f>COUNTA(AX29)</f>
        <v>0</v>
      </c>
      <c r="AY94" s="104">
        <f t="shared" si="57"/>
        <v>0</v>
      </c>
      <c r="AZ94" s="104">
        <f t="shared" si="57"/>
        <v>0</v>
      </c>
      <c r="BA94" s="104">
        <f t="shared" si="57"/>
        <v>0</v>
      </c>
      <c r="BB94" s="104">
        <f t="shared" si="57"/>
        <v>0</v>
      </c>
      <c r="BC94" s="104">
        <f t="shared" si="57"/>
        <v>0</v>
      </c>
      <c r="BD94" s="104">
        <f t="shared" si="57"/>
        <v>0</v>
      </c>
      <c r="BE94" s="104">
        <f t="shared" si="57"/>
        <v>0</v>
      </c>
      <c r="BF94" s="104">
        <f t="shared" si="57"/>
        <v>0</v>
      </c>
      <c r="BG94" s="104">
        <f t="shared" si="57"/>
        <v>0</v>
      </c>
      <c r="BH94" s="104">
        <f t="shared" si="57"/>
        <v>0</v>
      </c>
      <c r="BI94" s="104">
        <f t="shared" si="57"/>
        <v>0</v>
      </c>
      <c r="BM94" s="104">
        <f>COUNTA(BM29)</f>
        <v>0</v>
      </c>
      <c r="BN94" s="104">
        <f t="shared" si="58"/>
        <v>0</v>
      </c>
      <c r="BO94" s="104">
        <f t="shared" si="58"/>
        <v>0</v>
      </c>
      <c r="BP94" s="104">
        <f t="shared" si="58"/>
        <v>0</v>
      </c>
      <c r="BQ94" s="104">
        <f t="shared" si="58"/>
        <v>0</v>
      </c>
      <c r="BR94" s="104">
        <f t="shared" si="58"/>
        <v>0</v>
      </c>
      <c r="BS94" s="104">
        <f t="shared" si="58"/>
        <v>0</v>
      </c>
      <c r="BT94" s="104">
        <f t="shared" si="58"/>
        <v>0</v>
      </c>
      <c r="BU94" s="104">
        <f t="shared" si="58"/>
        <v>0</v>
      </c>
      <c r="BV94" s="104">
        <f t="shared" si="58"/>
        <v>0</v>
      </c>
      <c r="BW94" s="104">
        <f t="shared" si="58"/>
        <v>0</v>
      </c>
      <c r="BX94" s="104">
        <f t="shared" si="58"/>
        <v>0</v>
      </c>
    </row>
    <row r="95" spans="3:76" s="104" customFormat="1" x14ac:dyDescent="0.4">
      <c r="C95" s="104" t="s">
        <v>281</v>
      </c>
      <c r="E95" s="104">
        <f>COUNTA(E33)</f>
        <v>0</v>
      </c>
      <c r="F95" s="104">
        <f t="shared" ref="F95:P96" si="59">COUNTA(F33)</f>
        <v>0</v>
      </c>
      <c r="G95" s="104">
        <f t="shared" si="59"/>
        <v>0</v>
      </c>
      <c r="H95" s="104">
        <f t="shared" si="59"/>
        <v>0</v>
      </c>
      <c r="I95" s="104">
        <f t="shared" si="59"/>
        <v>0</v>
      </c>
      <c r="J95" s="104">
        <f t="shared" si="59"/>
        <v>0</v>
      </c>
      <c r="K95" s="104">
        <f t="shared" si="59"/>
        <v>0</v>
      </c>
      <c r="L95" s="104">
        <f t="shared" si="59"/>
        <v>0</v>
      </c>
      <c r="M95" s="104">
        <f t="shared" si="59"/>
        <v>0</v>
      </c>
      <c r="N95" s="104">
        <f t="shared" si="59"/>
        <v>0</v>
      </c>
      <c r="O95" s="104">
        <f t="shared" si="59"/>
        <v>0</v>
      </c>
      <c r="P95" s="104">
        <f t="shared" si="59"/>
        <v>0</v>
      </c>
      <c r="T95" s="104">
        <f>COUNTA(T33)</f>
        <v>0</v>
      </c>
      <c r="U95" s="104">
        <f t="shared" ref="U95:AE96" si="60">COUNTA(U33)</f>
        <v>0</v>
      </c>
      <c r="V95" s="104">
        <f t="shared" si="60"/>
        <v>0</v>
      </c>
      <c r="W95" s="104">
        <f t="shared" si="60"/>
        <v>0</v>
      </c>
      <c r="X95" s="104">
        <f t="shared" si="60"/>
        <v>0</v>
      </c>
      <c r="Y95" s="104">
        <f t="shared" si="60"/>
        <v>0</v>
      </c>
      <c r="Z95" s="104">
        <f t="shared" si="60"/>
        <v>0</v>
      </c>
      <c r="AA95" s="104">
        <f t="shared" si="60"/>
        <v>0</v>
      </c>
      <c r="AB95" s="104">
        <f t="shared" si="60"/>
        <v>0</v>
      </c>
      <c r="AC95" s="104">
        <f t="shared" si="60"/>
        <v>0</v>
      </c>
      <c r="AD95" s="104">
        <f t="shared" si="60"/>
        <v>0</v>
      </c>
      <c r="AE95" s="104">
        <f t="shared" si="60"/>
        <v>0</v>
      </c>
      <c r="AI95" s="104">
        <f>COUNTA(AI33)</f>
        <v>0</v>
      </c>
      <c r="AJ95" s="104">
        <f t="shared" ref="AJ95:AT96" si="61">COUNTA(AJ33)</f>
        <v>0</v>
      </c>
      <c r="AK95" s="104">
        <f t="shared" si="61"/>
        <v>0</v>
      </c>
      <c r="AL95" s="104">
        <f t="shared" si="61"/>
        <v>0</v>
      </c>
      <c r="AM95" s="104">
        <f t="shared" si="61"/>
        <v>0</v>
      </c>
      <c r="AN95" s="104">
        <f t="shared" si="61"/>
        <v>0</v>
      </c>
      <c r="AO95" s="104">
        <f t="shared" si="61"/>
        <v>0</v>
      </c>
      <c r="AP95" s="104">
        <f t="shared" si="61"/>
        <v>0</v>
      </c>
      <c r="AQ95" s="104">
        <f t="shared" si="61"/>
        <v>0</v>
      </c>
      <c r="AR95" s="104">
        <f t="shared" si="61"/>
        <v>0</v>
      </c>
      <c r="AS95" s="104">
        <f t="shared" si="61"/>
        <v>0</v>
      </c>
      <c r="AT95" s="104">
        <f t="shared" si="61"/>
        <v>0</v>
      </c>
      <c r="AX95" s="104">
        <f>COUNTA(AX33)</f>
        <v>0</v>
      </c>
      <c r="AY95" s="104">
        <f t="shared" ref="AY95:BI96" si="62">COUNTA(AY33)</f>
        <v>0</v>
      </c>
      <c r="AZ95" s="104">
        <f t="shared" si="62"/>
        <v>0</v>
      </c>
      <c r="BA95" s="104">
        <f t="shared" si="62"/>
        <v>0</v>
      </c>
      <c r="BB95" s="104">
        <f t="shared" si="62"/>
        <v>0</v>
      </c>
      <c r="BC95" s="104">
        <f t="shared" si="62"/>
        <v>0</v>
      </c>
      <c r="BD95" s="104">
        <f t="shared" si="62"/>
        <v>0</v>
      </c>
      <c r="BE95" s="104">
        <f t="shared" si="62"/>
        <v>0</v>
      </c>
      <c r="BF95" s="104">
        <f t="shared" si="62"/>
        <v>0</v>
      </c>
      <c r="BG95" s="104">
        <f t="shared" si="62"/>
        <v>0</v>
      </c>
      <c r="BH95" s="104">
        <f t="shared" si="62"/>
        <v>0</v>
      </c>
      <c r="BI95" s="104">
        <f t="shared" si="62"/>
        <v>0</v>
      </c>
      <c r="BM95" s="104">
        <f>COUNTA(BM33)</f>
        <v>0</v>
      </c>
      <c r="BN95" s="104">
        <f t="shared" ref="BN95:BX96" si="63">COUNTA(BN33)</f>
        <v>0</v>
      </c>
      <c r="BO95" s="104">
        <f t="shared" si="63"/>
        <v>0</v>
      </c>
      <c r="BP95" s="104">
        <f t="shared" si="63"/>
        <v>0</v>
      </c>
      <c r="BQ95" s="104">
        <f t="shared" si="63"/>
        <v>0</v>
      </c>
      <c r="BR95" s="104">
        <f t="shared" si="63"/>
        <v>0</v>
      </c>
      <c r="BS95" s="104">
        <f t="shared" si="63"/>
        <v>0</v>
      </c>
      <c r="BT95" s="104">
        <f t="shared" si="63"/>
        <v>0</v>
      </c>
      <c r="BU95" s="104">
        <f t="shared" si="63"/>
        <v>0</v>
      </c>
      <c r="BV95" s="104">
        <f t="shared" si="63"/>
        <v>0</v>
      </c>
      <c r="BW95" s="104">
        <f t="shared" si="63"/>
        <v>0</v>
      </c>
      <c r="BX95" s="104">
        <f t="shared" si="63"/>
        <v>0</v>
      </c>
    </row>
    <row r="96" spans="3:76" s="104" customFormat="1" x14ac:dyDescent="0.4">
      <c r="C96" s="104" t="s">
        <v>282</v>
      </c>
      <c r="E96" s="104">
        <f>COUNTA(E34)</f>
        <v>0</v>
      </c>
      <c r="F96" s="104">
        <f t="shared" si="59"/>
        <v>0</v>
      </c>
      <c r="G96" s="104">
        <f t="shared" si="59"/>
        <v>0</v>
      </c>
      <c r="H96" s="104">
        <f t="shared" si="59"/>
        <v>0</v>
      </c>
      <c r="I96" s="104">
        <f t="shared" si="59"/>
        <v>0</v>
      </c>
      <c r="J96" s="104">
        <f t="shared" si="59"/>
        <v>0</v>
      </c>
      <c r="K96" s="104">
        <f t="shared" si="59"/>
        <v>0</v>
      </c>
      <c r="L96" s="104">
        <f t="shared" si="59"/>
        <v>0</v>
      </c>
      <c r="M96" s="104">
        <f t="shared" si="59"/>
        <v>0</v>
      </c>
      <c r="N96" s="104">
        <f t="shared" si="59"/>
        <v>0</v>
      </c>
      <c r="O96" s="104">
        <f t="shared" si="59"/>
        <v>0</v>
      </c>
      <c r="P96" s="104">
        <f t="shared" si="59"/>
        <v>0</v>
      </c>
      <c r="T96" s="104">
        <f>COUNTA(T34)</f>
        <v>0</v>
      </c>
      <c r="U96" s="104">
        <f t="shared" si="60"/>
        <v>0</v>
      </c>
      <c r="V96" s="104">
        <f t="shared" si="60"/>
        <v>0</v>
      </c>
      <c r="W96" s="104">
        <f t="shared" si="60"/>
        <v>0</v>
      </c>
      <c r="X96" s="104">
        <f t="shared" si="60"/>
        <v>0</v>
      </c>
      <c r="Y96" s="104">
        <f t="shared" si="60"/>
        <v>0</v>
      </c>
      <c r="Z96" s="104">
        <f t="shared" si="60"/>
        <v>0</v>
      </c>
      <c r="AA96" s="104">
        <f t="shared" si="60"/>
        <v>0</v>
      </c>
      <c r="AB96" s="104">
        <f t="shared" si="60"/>
        <v>0</v>
      </c>
      <c r="AC96" s="104">
        <f t="shared" si="60"/>
        <v>0</v>
      </c>
      <c r="AD96" s="104">
        <f t="shared" si="60"/>
        <v>0</v>
      </c>
      <c r="AE96" s="104">
        <f t="shared" si="60"/>
        <v>0</v>
      </c>
      <c r="AI96" s="104">
        <f>COUNTA(AI34)</f>
        <v>0</v>
      </c>
      <c r="AJ96" s="104">
        <f t="shared" si="61"/>
        <v>0</v>
      </c>
      <c r="AK96" s="104">
        <f t="shared" si="61"/>
        <v>0</v>
      </c>
      <c r="AL96" s="104">
        <f t="shared" si="61"/>
        <v>0</v>
      </c>
      <c r="AM96" s="104">
        <f t="shared" si="61"/>
        <v>0</v>
      </c>
      <c r="AN96" s="104">
        <f t="shared" si="61"/>
        <v>0</v>
      </c>
      <c r="AO96" s="104">
        <f t="shared" si="61"/>
        <v>0</v>
      </c>
      <c r="AP96" s="104">
        <f t="shared" si="61"/>
        <v>0</v>
      </c>
      <c r="AQ96" s="104">
        <f t="shared" si="61"/>
        <v>0</v>
      </c>
      <c r="AR96" s="104">
        <f t="shared" si="61"/>
        <v>0</v>
      </c>
      <c r="AS96" s="104">
        <f t="shared" si="61"/>
        <v>0</v>
      </c>
      <c r="AT96" s="104">
        <f t="shared" si="61"/>
        <v>0</v>
      </c>
      <c r="AX96" s="104">
        <f>COUNTA(AX34)</f>
        <v>0</v>
      </c>
      <c r="AY96" s="104">
        <f t="shared" si="62"/>
        <v>0</v>
      </c>
      <c r="AZ96" s="104">
        <f t="shared" si="62"/>
        <v>0</v>
      </c>
      <c r="BA96" s="104">
        <f t="shared" si="62"/>
        <v>0</v>
      </c>
      <c r="BB96" s="104">
        <f t="shared" si="62"/>
        <v>0</v>
      </c>
      <c r="BC96" s="104">
        <f t="shared" si="62"/>
        <v>0</v>
      </c>
      <c r="BD96" s="104">
        <f t="shared" si="62"/>
        <v>0</v>
      </c>
      <c r="BE96" s="104">
        <f t="shared" si="62"/>
        <v>0</v>
      </c>
      <c r="BF96" s="104">
        <f t="shared" si="62"/>
        <v>0</v>
      </c>
      <c r="BG96" s="104">
        <f t="shared" si="62"/>
        <v>0</v>
      </c>
      <c r="BH96" s="104">
        <f t="shared" si="62"/>
        <v>0</v>
      </c>
      <c r="BI96" s="104">
        <f t="shared" si="62"/>
        <v>0</v>
      </c>
      <c r="BM96" s="104">
        <f>COUNTA(BM34)</f>
        <v>0</v>
      </c>
      <c r="BN96" s="104">
        <f t="shared" si="63"/>
        <v>0</v>
      </c>
      <c r="BO96" s="104">
        <f t="shared" si="63"/>
        <v>0</v>
      </c>
      <c r="BP96" s="104">
        <f t="shared" si="63"/>
        <v>0</v>
      </c>
      <c r="BQ96" s="104">
        <f t="shared" si="63"/>
        <v>0</v>
      </c>
      <c r="BR96" s="104">
        <f t="shared" si="63"/>
        <v>0</v>
      </c>
      <c r="BS96" s="104">
        <f t="shared" si="63"/>
        <v>0</v>
      </c>
      <c r="BT96" s="104">
        <f t="shared" si="63"/>
        <v>0</v>
      </c>
      <c r="BU96" s="104">
        <f t="shared" si="63"/>
        <v>0</v>
      </c>
      <c r="BV96" s="104">
        <f t="shared" si="63"/>
        <v>0</v>
      </c>
      <c r="BW96" s="104">
        <f t="shared" si="63"/>
        <v>0</v>
      </c>
      <c r="BX96" s="104">
        <f t="shared" si="63"/>
        <v>0</v>
      </c>
    </row>
    <row r="97" spans="3:76" s="104" customFormat="1" x14ac:dyDescent="0.4">
      <c r="C97" s="104" t="s">
        <v>283</v>
      </c>
      <c r="E97" s="104">
        <f>COUNTA(E38)</f>
        <v>0</v>
      </c>
      <c r="F97" s="104">
        <f t="shared" ref="F97:P98" si="64">COUNTA(F38)</f>
        <v>0</v>
      </c>
      <c r="G97" s="104">
        <f t="shared" si="64"/>
        <v>0</v>
      </c>
      <c r="H97" s="104">
        <f t="shared" si="64"/>
        <v>0</v>
      </c>
      <c r="I97" s="104">
        <f t="shared" si="64"/>
        <v>0</v>
      </c>
      <c r="J97" s="104">
        <f t="shared" si="64"/>
        <v>0</v>
      </c>
      <c r="K97" s="104">
        <f t="shared" si="64"/>
        <v>0</v>
      </c>
      <c r="L97" s="104">
        <f t="shared" si="64"/>
        <v>0</v>
      </c>
      <c r="M97" s="104">
        <f t="shared" si="64"/>
        <v>0</v>
      </c>
      <c r="N97" s="104">
        <f t="shared" si="64"/>
        <v>0</v>
      </c>
      <c r="O97" s="104">
        <f t="shared" si="64"/>
        <v>0</v>
      </c>
      <c r="P97" s="104">
        <f t="shared" si="64"/>
        <v>0</v>
      </c>
      <c r="T97" s="104">
        <f>COUNTA(T38)</f>
        <v>0</v>
      </c>
      <c r="U97" s="104">
        <f t="shared" ref="U97:AE98" si="65">COUNTA(U38)</f>
        <v>0</v>
      </c>
      <c r="V97" s="104">
        <f t="shared" si="65"/>
        <v>0</v>
      </c>
      <c r="W97" s="104">
        <f t="shared" si="65"/>
        <v>0</v>
      </c>
      <c r="X97" s="104">
        <f t="shared" si="65"/>
        <v>0</v>
      </c>
      <c r="Y97" s="104">
        <f t="shared" si="65"/>
        <v>0</v>
      </c>
      <c r="Z97" s="104">
        <f t="shared" si="65"/>
        <v>0</v>
      </c>
      <c r="AA97" s="104">
        <f t="shared" si="65"/>
        <v>0</v>
      </c>
      <c r="AB97" s="104">
        <f t="shared" si="65"/>
        <v>0</v>
      </c>
      <c r="AC97" s="104">
        <f t="shared" si="65"/>
        <v>0</v>
      </c>
      <c r="AD97" s="104">
        <f t="shared" si="65"/>
        <v>0</v>
      </c>
      <c r="AE97" s="104">
        <f t="shared" si="65"/>
        <v>0</v>
      </c>
      <c r="AI97" s="104">
        <f>COUNTA(AI38)</f>
        <v>0</v>
      </c>
      <c r="AJ97" s="104">
        <f t="shared" ref="AJ97:AT98" si="66">COUNTA(AJ38)</f>
        <v>0</v>
      </c>
      <c r="AK97" s="104">
        <f t="shared" si="66"/>
        <v>0</v>
      </c>
      <c r="AL97" s="104">
        <f t="shared" si="66"/>
        <v>0</v>
      </c>
      <c r="AM97" s="104">
        <f t="shared" si="66"/>
        <v>0</v>
      </c>
      <c r="AN97" s="104">
        <f t="shared" si="66"/>
        <v>0</v>
      </c>
      <c r="AO97" s="104">
        <f t="shared" si="66"/>
        <v>0</v>
      </c>
      <c r="AP97" s="104">
        <f t="shared" si="66"/>
        <v>0</v>
      </c>
      <c r="AQ97" s="104">
        <f t="shared" si="66"/>
        <v>0</v>
      </c>
      <c r="AR97" s="104">
        <f t="shared" si="66"/>
        <v>0</v>
      </c>
      <c r="AS97" s="104">
        <f t="shared" si="66"/>
        <v>0</v>
      </c>
      <c r="AT97" s="104">
        <f t="shared" si="66"/>
        <v>0</v>
      </c>
      <c r="AX97" s="104">
        <f>COUNTA(AX38)</f>
        <v>0</v>
      </c>
      <c r="AY97" s="104">
        <f t="shared" ref="AY97:BI98" si="67">COUNTA(AY38)</f>
        <v>0</v>
      </c>
      <c r="AZ97" s="104">
        <f t="shared" si="67"/>
        <v>0</v>
      </c>
      <c r="BA97" s="104">
        <f t="shared" si="67"/>
        <v>0</v>
      </c>
      <c r="BB97" s="104">
        <f t="shared" si="67"/>
        <v>0</v>
      </c>
      <c r="BC97" s="104">
        <f t="shared" si="67"/>
        <v>0</v>
      </c>
      <c r="BD97" s="104">
        <f t="shared" si="67"/>
        <v>0</v>
      </c>
      <c r="BE97" s="104">
        <f t="shared" si="67"/>
        <v>0</v>
      </c>
      <c r="BF97" s="104">
        <f t="shared" si="67"/>
        <v>0</v>
      </c>
      <c r="BG97" s="104">
        <f t="shared" si="67"/>
        <v>0</v>
      </c>
      <c r="BH97" s="104">
        <f t="shared" si="67"/>
        <v>0</v>
      </c>
      <c r="BI97" s="104">
        <f t="shared" si="67"/>
        <v>0</v>
      </c>
      <c r="BM97" s="104">
        <f>COUNTA(BM38)</f>
        <v>0</v>
      </c>
      <c r="BN97" s="104">
        <f t="shared" ref="BN97:BX98" si="68">COUNTA(BN38)</f>
        <v>0</v>
      </c>
      <c r="BO97" s="104">
        <f t="shared" si="68"/>
        <v>0</v>
      </c>
      <c r="BP97" s="104">
        <f t="shared" si="68"/>
        <v>0</v>
      </c>
      <c r="BQ97" s="104">
        <f t="shared" si="68"/>
        <v>0</v>
      </c>
      <c r="BR97" s="104">
        <f t="shared" si="68"/>
        <v>0</v>
      </c>
      <c r="BS97" s="104">
        <f t="shared" si="68"/>
        <v>0</v>
      </c>
      <c r="BT97" s="104">
        <f t="shared" si="68"/>
        <v>0</v>
      </c>
      <c r="BU97" s="104">
        <f t="shared" si="68"/>
        <v>0</v>
      </c>
      <c r="BV97" s="104">
        <f t="shared" si="68"/>
        <v>0</v>
      </c>
      <c r="BW97" s="104">
        <f t="shared" si="68"/>
        <v>0</v>
      </c>
      <c r="BX97" s="104">
        <f t="shared" si="68"/>
        <v>0</v>
      </c>
    </row>
    <row r="98" spans="3:76" s="104" customFormat="1" x14ac:dyDescent="0.4">
      <c r="C98" s="104" t="s">
        <v>284</v>
      </c>
      <c r="E98" s="104">
        <f>COUNTA(E39)</f>
        <v>0</v>
      </c>
      <c r="F98" s="104">
        <f t="shared" si="64"/>
        <v>0</v>
      </c>
      <c r="G98" s="104">
        <f t="shared" si="64"/>
        <v>0</v>
      </c>
      <c r="H98" s="104">
        <f t="shared" si="64"/>
        <v>0</v>
      </c>
      <c r="I98" s="104">
        <f t="shared" si="64"/>
        <v>0</v>
      </c>
      <c r="J98" s="104">
        <f t="shared" si="64"/>
        <v>0</v>
      </c>
      <c r="K98" s="104">
        <f t="shared" si="64"/>
        <v>0</v>
      </c>
      <c r="L98" s="104">
        <f t="shared" si="64"/>
        <v>0</v>
      </c>
      <c r="M98" s="104">
        <f t="shared" si="64"/>
        <v>0</v>
      </c>
      <c r="N98" s="104">
        <f t="shared" si="64"/>
        <v>0</v>
      </c>
      <c r="O98" s="104">
        <f t="shared" si="64"/>
        <v>0</v>
      </c>
      <c r="P98" s="104">
        <f t="shared" si="64"/>
        <v>0</v>
      </c>
      <c r="T98" s="104">
        <f>COUNTA(T39)</f>
        <v>0</v>
      </c>
      <c r="U98" s="104">
        <f t="shared" si="65"/>
        <v>0</v>
      </c>
      <c r="V98" s="104">
        <f t="shared" si="65"/>
        <v>0</v>
      </c>
      <c r="W98" s="104">
        <f t="shared" si="65"/>
        <v>0</v>
      </c>
      <c r="X98" s="104">
        <f t="shared" si="65"/>
        <v>0</v>
      </c>
      <c r="Y98" s="104">
        <f t="shared" si="65"/>
        <v>0</v>
      </c>
      <c r="Z98" s="104">
        <f t="shared" si="65"/>
        <v>0</v>
      </c>
      <c r="AA98" s="104">
        <f t="shared" si="65"/>
        <v>0</v>
      </c>
      <c r="AB98" s="104">
        <f t="shared" si="65"/>
        <v>0</v>
      </c>
      <c r="AC98" s="104">
        <f t="shared" si="65"/>
        <v>0</v>
      </c>
      <c r="AD98" s="104">
        <f t="shared" si="65"/>
        <v>0</v>
      </c>
      <c r="AE98" s="104">
        <f t="shared" si="65"/>
        <v>0</v>
      </c>
      <c r="AI98" s="104">
        <f>COUNTA(AI39)</f>
        <v>0</v>
      </c>
      <c r="AJ98" s="104">
        <f t="shared" si="66"/>
        <v>0</v>
      </c>
      <c r="AK98" s="104">
        <f t="shared" si="66"/>
        <v>0</v>
      </c>
      <c r="AL98" s="104">
        <f t="shared" si="66"/>
        <v>0</v>
      </c>
      <c r="AM98" s="104">
        <f t="shared" si="66"/>
        <v>0</v>
      </c>
      <c r="AN98" s="104">
        <f t="shared" si="66"/>
        <v>0</v>
      </c>
      <c r="AO98" s="104">
        <f t="shared" si="66"/>
        <v>0</v>
      </c>
      <c r="AP98" s="104">
        <f t="shared" si="66"/>
        <v>0</v>
      </c>
      <c r="AQ98" s="104">
        <f t="shared" si="66"/>
        <v>0</v>
      </c>
      <c r="AR98" s="104">
        <f t="shared" si="66"/>
        <v>0</v>
      </c>
      <c r="AS98" s="104">
        <f t="shared" si="66"/>
        <v>0</v>
      </c>
      <c r="AT98" s="104">
        <f t="shared" si="66"/>
        <v>0</v>
      </c>
      <c r="AX98" s="104">
        <f>COUNTA(AX39)</f>
        <v>0</v>
      </c>
      <c r="AY98" s="104">
        <f t="shared" si="67"/>
        <v>0</v>
      </c>
      <c r="AZ98" s="104">
        <f t="shared" si="67"/>
        <v>0</v>
      </c>
      <c r="BA98" s="104">
        <f t="shared" si="67"/>
        <v>0</v>
      </c>
      <c r="BB98" s="104">
        <f t="shared" si="67"/>
        <v>0</v>
      </c>
      <c r="BC98" s="104">
        <f t="shared" si="67"/>
        <v>0</v>
      </c>
      <c r="BD98" s="104">
        <f t="shared" si="67"/>
        <v>0</v>
      </c>
      <c r="BE98" s="104">
        <f t="shared" si="67"/>
        <v>0</v>
      </c>
      <c r="BF98" s="104">
        <f t="shared" si="67"/>
        <v>0</v>
      </c>
      <c r="BG98" s="104">
        <f t="shared" si="67"/>
        <v>0</v>
      </c>
      <c r="BH98" s="104">
        <f t="shared" si="67"/>
        <v>0</v>
      </c>
      <c r="BI98" s="104">
        <f t="shared" si="67"/>
        <v>0</v>
      </c>
      <c r="BM98" s="104">
        <f>COUNTA(BM39)</f>
        <v>0</v>
      </c>
      <c r="BN98" s="104">
        <f t="shared" si="68"/>
        <v>0</v>
      </c>
      <c r="BO98" s="104">
        <f t="shared" si="68"/>
        <v>0</v>
      </c>
      <c r="BP98" s="104">
        <f t="shared" si="68"/>
        <v>0</v>
      </c>
      <c r="BQ98" s="104">
        <f t="shared" si="68"/>
        <v>0</v>
      </c>
      <c r="BR98" s="104">
        <f t="shared" si="68"/>
        <v>0</v>
      </c>
      <c r="BS98" s="104">
        <f t="shared" si="68"/>
        <v>0</v>
      </c>
      <c r="BT98" s="104">
        <f t="shared" si="68"/>
        <v>0</v>
      </c>
      <c r="BU98" s="104">
        <f t="shared" si="68"/>
        <v>0</v>
      </c>
      <c r="BV98" s="104">
        <f t="shared" si="68"/>
        <v>0</v>
      </c>
      <c r="BW98" s="104">
        <f t="shared" si="68"/>
        <v>0</v>
      </c>
      <c r="BX98" s="104">
        <f t="shared" si="68"/>
        <v>0</v>
      </c>
    </row>
    <row r="99" spans="3:76" s="104" customFormat="1" x14ac:dyDescent="0.4">
      <c r="C99" s="104" t="s">
        <v>269</v>
      </c>
      <c r="E99" s="104">
        <f>COUNTA(E43)</f>
        <v>0</v>
      </c>
      <c r="F99" s="104">
        <f t="shared" ref="F99:P100" si="69">COUNTA(F43)</f>
        <v>0</v>
      </c>
      <c r="G99" s="104">
        <f t="shared" si="69"/>
        <v>0</v>
      </c>
      <c r="H99" s="104">
        <f t="shared" si="69"/>
        <v>0</v>
      </c>
      <c r="I99" s="104">
        <f t="shared" si="69"/>
        <v>0</v>
      </c>
      <c r="J99" s="104">
        <f t="shared" si="69"/>
        <v>0</v>
      </c>
      <c r="K99" s="104">
        <f t="shared" si="69"/>
        <v>0</v>
      </c>
      <c r="L99" s="104">
        <f t="shared" si="69"/>
        <v>0</v>
      </c>
      <c r="M99" s="104">
        <f t="shared" si="69"/>
        <v>0</v>
      </c>
      <c r="N99" s="104">
        <f t="shared" si="69"/>
        <v>0</v>
      </c>
      <c r="O99" s="104">
        <f t="shared" si="69"/>
        <v>0</v>
      </c>
      <c r="P99" s="104">
        <f t="shared" si="69"/>
        <v>0</v>
      </c>
      <c r="T99" s="104">
        <f>COUNTA(T43)</f>
        <v>0</v>
      </c>
      <c r="U99" s="104">
        <f t="shared" ref="U99:AE100" si="70">COUNTA(U43)</f>
        <v>0</v>
      </c>
      <c r="V99" s="104">
        <f t="shared" si="70"/>
        <v>0</v>
      </c>
      <c r="W99" s="104">
        <f t="shared" si="70"/>
        <v>0</v>
      </c>
      <c r="X99" s="104">
        <f t="shared" si="70"/>
        <v>0</v>
      </c>
      <c r="Y99" s="104">
        <f t="shared" si="70"/>
        <v>0</v>
      </c>
      <c r="Z99" s="104">
        <f t="shared" si="70"/>
        <v>0</v>
      </c>
      <c r="AA99" s="104">
        <f t="shared" si="70"/>
        <v>0</v>
      </c>
      <c r="AB99" s="104">
        <f t="shared" si="70"/>
        <v>0</v>
      </c>
      <c r="AC99" s="104">
        <f t="shared" si="70"/>
        <v>0</v>
      </c>
      <c r="AD99" s="104">
        <f t="shared" si="70"/>
        <v>0</v>
      </c>
      <c r="AE99" s="104">
        <f t="shared" si="70"/>
        <v>0</v>
      </c>
      <c r="AI99" s="104">
        <f>COUNTA(AI43)</f>
        <v>0</v>
      </c>
      <c r="AJ99" s="104">
        <f t="shared" ref="AJ99:AT100" si="71">COUNTA(AJ43)</f>
        <v>0</v>
      </c>
      <c r="AK99" s="104">
        <f t="shared" si="71"/>
        <v>0</v>
      </c>
      <c r="AL99" s="104">
        <f t="shared" si="71"/>
        <v>0</v>
      </c>
      <c r="AM99" s="104">
        <f t="shared" si="71"/>
        <v>0</v>
      </c>
      <c r="AN99" s="104">
        <f t="shared" si="71"/>
        <v>0</v>
      </c>
      <c r="AO99" s="104">
        <f t="shared" si="71"/>
        <v>0</v>
      </c>
      <c r="AP99" s="104">
        <f t="shared" si="71"/>
        <v>0</v>
      </c>
      <c r="AQ99" s="104">
        <f t="shared" si="71"/>
        <v>0</v>
      </c>
      <c r="AR99" s="104">
        <f t="shared" si="71"/>
        <v>0</v>
      </c>
      <c r="AS99" s="104">
        <f t="shared" si="71"/>
        <v>0</v>
      </c>
      <c r="AT99" s="104">
        <f t="shared" si="71"/>
        <v>0</v>
      </c>
      <c r="AX99" s="104">
        <f>COUNTA(AX43)</f>
        <v>0</v>
      </c>
      <c r="AY99" s="104">
        <f t="shared" ref="AY99:BI100" si="72">COUNTA(AY43)</f>
        <v>0</v>
      </c>
      <c r="AZ99" s="104">
        <f t="shared" si="72"/>
        <v>0</v>
      </c>
      <c r="BA99" s="104">
        <f t="shared" si="72"/>
        <v>0</v>
      </c>
      <c r="BB99" s="104">
        <f t="shared" si="72"/>
        <v>0</v>
      </c>
      <c r="BC99" s="104">
        <f t="shared" si="72"/>
        <v>0</v>
      </c>
      <c r="BD99" s="104">
        <f t="shared" si="72"/>
        <v>0</v>
      </c>
      <c r="BE99" s="104">
        <f t="shared" si="72"/>
        <v>0</v>
      </c>
      <c r="BF99" s="104">
        <f t="shared" si="72"/>
        <v>0</v>
      </c>
      <c r="BG99" s="104">
        <f t="shared" si="72"/>
        <v>0</v>
      </c>
      <c r="BH99" s="104">
        <f t="shared" si="72"/>
        <v>0</v>
      </c>
      <c r="BI99" s="104">
        <f t="shared" si="72"/>
        <v>0</v>
      </c>
      <c r="BM99" s="104">
        <f>COUNTA(BM43)</f>
        <v>0</v>
      </c>
      <c r="BN99" s="104">
        <f t="shared" ref="BN99:BX100" si="73">COUNTA(BN43)</f>
        <v>0</v>
      </c>
      <c r="BO99" s="104">
        <f t="shared" si="73"/>
        <v>0</v>
      </c>
      <c r="BP99" s="104">
        <f t="shared" si="73"/>
        <v>0</v>
      </c>
      <c r="BQ99" s="104">
        <f t="shared" si="73"/>
        <v>0</v>
      </c>
      <c r="BR99" s="104">
        <f t="shared" si="73"/>
        <v>0</v>
      </c>
      <c r="BS99" s="104">
        <f t="shared" si="73"/>
        <v>0</v>
      </c>
      <c r="BT99" s="104">
        <f t="shared" si="73"/>
        <v>0</v>
      </c>
      <c r="BU99" s="104">
        <f t="shared" si="73"/>
        <v>0</v>
      </c>
      <c r="BV99" s="104">
        <f t="shared" si="73"/>
        <v>0</v>
      </c>
      <c r="BW99" s="104">
        <f t="shared" si="73"/>
        <v>0</v>
      </c>
      <c r="BX99" s="104">
        <f t="shared" si="73"/>
        <v>0</v>
      </c>
    </row>
    <row r="100" spans="3:76" s="104" customFormat="1" x14ac:dyDescent="0.4">
      <c r="C100" s="104" t="s">
        <v>270</v>
      </c>
      <c r="E100" s="104">
        <f>COUNTA(E44)</f>
        <v>0</v>
      </c>
      <c r="F100" s="104">
        <f t="shared" si="69"/>
        <v>0</v>
      </c>
      <c r="G100" s="104">
        <f t="shared" si="69"/>
        <v>0</v>
      </c>
      <c r="H100" s="104">
        <f t="shared" si="69"/>
        <v>0</v>
      </c>
      <c r="I100" s="104">
        <f t="shared" si="69"/>
        <v>0</v>
      </c>
      <c r="J100" s="104">
        <f t="shared" si="69"/>
        <v>0</v>
      </c>
      <c r="K100" s="104">
        <f t="shared" si="69"/>
        <v>0</v>
      </c>
      <c r="L100" s="104">
        <f t="shared" si="69"/>
        <v>0</v>
      </c>
      <c r="M100" s="104">
        <f t="shared" si="69"/>
        <v>0</v>
      </c>
      <c r="N100" s="104">
        <f t="shared" si="69"/>
        <v>0</v>
      </c>
      <c r="O100" s="104">
        <f t="shared" si="69"/>
        <v>0</v>
      </c>
      <c r="P100" s="104">
        <f t="shared" si="69"/>
        <v>0</v>
      </c>
      <c r="T100" s="104">
        <f>COUNTA(T44)</f>
        <v>0</v>
      </c>
      <c r="U100" s="104">
        <f t="shared" si="70"/>
        <v>0</v>
      </c>
      <c r="V100" s="104">
        <f t="shared" si="70"/>
        <v>0</v>
      </c>
      <c r="W100" s="104">
        <f t="shared" si="70"/>
        <v>0</v>
      </c>
      <c r="X100" s="104">
        <f t="shared" si="70"/>
        <v>0</v>
      </c>
      <c r="Y100" s="104">
        <f t="shared" si="70"/>
        <v>0</v>
      </c>
      <c r="Z100" s="104">
        <f t="shared" si="70"/>
        <v>0</v>
      </c>
      <c r="AA100" s="104">
        <f t="shared" si="70"/>
        <v>0</v>
      </c>
      <c r="AB100" s="104">
        <f t="shared" si="70"/>
        <v>0</v>
      </c>
      <c r="AC100" s="104">
        <f t="shared" si="70"/>
        <v>0</v>
      </c>
      <c r="AD100" s="104">
        <f t="shared" si="70"/>
        <v>0</v>
      </c>
      <c r="AE100" s="104">
        <f t="shared" si="70"/>
        <v>0</v>
      </c>
      <c r="AI100" s="104">
        <f>COUNTA(AI44)</f>
        <v>0</v>
      </c>
      <c r="AJ100" s="104">
        <f t="shared" si="71"/>
        <v>0</v>
      </c>
      <c r="AK100" s="104">
        <f t="shared" si="71"/>
        <v>0</v>
      </c>
      <c r="AL100" s="104">
        <f t="shared" si="71"/>
        <v>0</v>
      </c>
      <c r="AM100" s="104">
        <f t="shared" si="71"/>
        <v>0</v>
      </c>
      <c r="AN100" s="104">
        <f t="shared" si="71"/>
        <v>0</v>
      </c>
      <c r="AO100" s="104">
        <f t="shared" si="71"/>
        <v>0</v>
      </c>
      <c r="AP100" s="104">
        <f t="shared" si="71"/>
        <v>0</v>
      </c>
      <c r="AQ100" s="104">
        <f t="shared" si="71"/>
        <v>0</v>
      </c>
      <c r="AR100" s="104">
        <f t="shared" si="71"/>
        <v>0</v>
      </c>
      <c r="AS100" s="104">
        <f t="shared" si="71"/>
        <v>0</v>
      </c>
      <c r="AT100" s="104">
        <f t="shared" si="71"/>
        <v>0</v>
      </c>
      <c r="AX100" s="104">
        <f>COUNTA(AX44)</f>
        <v>0</v>
      </c>
      <c r="AY100" s="104">
        <f t="shared" si="72"/>
        <v>0</v>
      </c>
      <c r="AZ100" s="104">
        <f t="shared" si="72"/>
        <v>0</v>
      </c>
      <c r="BA100" s="104">
        <f t="shared" si="72"/>
        <v>0</v>
      </c>
      <c r="BB100" s="104">
        <f t="shared" si="72"/>
        <v>0</v>
      </c>
      <c r="BC100" s="104">
        <f t="shared" si="72"/>
        <v>0</v>
      </c>
      <c r="BD100" s="104">
        <f t="shared" si="72"/>
        <v>0</v>
      </c>
      <c r="BE100" s="104">
        <f t="shared" si="72"/>
        <v>0</v>
      </c>
      <c r="BF100" s="104">
        <f t="shared" si="72"/>
        <v>0</v>
      </c>
      <c r="BG100" s="104">
        <f t="shared" si="72"/>
        <v>0</v>
      </c>
      <c r="BH100" s="104">
        <f t="shared" si="72"/>
        <v>0</v>
      </c>
      <c r="BI100" s="104">
        <f t="shared" si="72"/>
        <v>0</v>
      </c>
      <c r="BM100" s="104">
        <f>COUNTA(BM44)</f>
        <v>0</v>
      </c>
      <c r="BN100" s="104">
        <f t="shared" si="73"/>
        <v>0</v>
      </c>
      <c r="BO100" s="104">
        <f t="shared" si="73"/>
        <v>0</v>
      </c>
      <c r="BP100" s="104">
        <f t="shared" si="73"/>
        <v>0</v>
      </c>
      <c r="BQ100" s="104">
        <f t="shared" si="73"/>
        <v>0</v>
      </c>
      <c r="BR100" s="104">
        <f t="shared" si="73"/>
        <v>0</v>
      </c>
      <c r="BS100" s="104">
        <f t="shared" si="73"/>
        <v>0</v>
      </c>
      <c r="BT100" s="104">
        <f t="shared" si="73"/>
        <v>0</v>
      </c>
      <c r="BU100" s="104">
        <f t="shared" si="73"/>
        <v>0</v>
      </c>
      <c r="BV100" s="104">
        <f t="shared" si="73"/>
        <v>0</v>
      </c>
      <c r="BW100" s="104">
        <f t="shared" si="73"/>
        <v>0</v>
      </c>
      <c r="BX100" s="104">
        <f t="shared" si="73"/>
        <v>0</v>
      </c>
    </row>
    <row r="101" spans="3:76" s="104" customFormat="1" x14ac:dyDescent="0.4"/>
    <row r="102" spans="3:76" s="104" customFormat="1" x14ac:dyDescent="0.4"/>
    <row r="103" spans="3:76" s="104" customFormat="1" x14ac:dyDescent="0.4"/>
    <row r="104" spans="3:76" s="104" customFormat="1" x14ac:dyDescent="0.4"/>
    <row r="105" spans="3:76" s="104" customFormat="1" x14ac:dyDescent="0.4"/>
    <row r="106" spans="3:76" s="104" customFormat="1" x14ac:dyDescent="0.4"/>
    <row r="107" spans="3:76" s="104" customFormat="1" x14ac:dyDescent="0.4"/>
    <row r="108" spans="3:76" s="104" customFormat="1" x14ac:dyDescent="0.4"/>
    <row r="109" spans="3:76" s="104" customFormat="1" x14ac:dyDescent="0.4"/>
    <row r="110" spans="3:76" s="104" customFormat="1" x14ac:dyDescent="0.4"/>
    <row r="111" spans="3:76" s="104" customFormat="1" x14ac:dyDescent="0.4"/>
    <row r="112" spans="3:76" s="104" customFormat="1" x14ac:dyDescent="0.4"/>
    <row r="113" s="104" customFormat="1" x14ac:dyDescent="0.4"/>
    <row r="114" s="104" customFormat="1" x14ac:dyDescent="0.4"/>
    <row r="115" s="104" customFormat="1" x14ac:dyDescent="0.4"/>
    <row r="116" s="104" customFormat="1" x14ac:dyDescent="0.4"/>
    <row r="117" s="104" customFormat="1" x14ac:dyDescent="0.4"/>
    <row r="118" s="104" customFormat="1" x14ac:dyDescent="0.4"/>
    <row r="119" s="104" customFormat="1" x14ac:dyDescent="0.4"/>
  </sheetData>
  <mergeCells count="8">
    <mergeCell ref="C38:C40"/>
    <mergeCell ref="C43:C45"/>
    <mergeCell ref="C8:C10"/>
    <mergeCell ref="C13:C15"/>
    <mergeCell ref="C18:C20"/>
    <mergeCell ref="C23:C25"/>
    <mergeCell ref="C28:C30"/>
    <mergeCell ref="C33:C35"/>
  </mergeCells>
  <conditionalFormatting sqref="E10:R10">
    <cfRule type="cellIs" dxfId="531" priority="357" operator="greaterThan">
      <formula>0</formula>
    </cfRule>
    <cfRule type="cellIs" dxfId="530" priority="356" operator="lessThan">
      <formula>0</formula>
    </cfRule>
  </conditionalFormatting>
  <conditionalFormatting sqref="E15:R15">
    <cfRule type="cellIs" dxfId="526" priority="230" operator="greaterThan">
      <formula>0</formula>
    </cfRule>
    <cfRule type="cellIs" dxfId="525" priority="229" operator="lessThan">
      <formula>0</formula>
    </cfRule>
  </conditionalFormatting>
  <conditionalFormatting sqref="E20:R20">
    <cfRule type="cellIs" dxfId="521" priority="220" operator="greaterThan">
      <formula>0</formula>
    </cfRule>
    <cfRule type="cellIs" dxfId="520" priority="219" operator="lessThan">
      <formula>0</formula>
    </cfRule>
  </conditionalFormatting>
  <conditionalFormatting sqref="E25:R25">
    <cfRule type="cellIs" dxfId="516" priority="209" operator="lessThan">
      <formula>0</formula>
    </cfRule>
    <cfRule type="cellIs" dxfId="515" priority="210" operator="greaterThan">
      <formula>0</formula>
    </cfRule>
  </conditionalFormatting>
  <conditionalFormatting sqref="E30:R30">
    <cfRule type="cellIs" dxfId="511" priority="199" operator="lessThan">
      <formula>0</formula>
    </cfRule>
    <cfRule type="cellIs" dxfId="510" priority="200" operator="greaterThan">
      <formula>0</formula>
    </cfRule>
  </conditionalFormatting>
  <conditionalFormatting sqref="E35:R35">
    <cfRule type="cellIs" dxfId="506" priority="189" operator="lessThan">
      <formula>0</formula>
    </cfRule>
    <cfRule type="cellIs" dxfId="505" priority="190" operator="greaterThan">
      <formula>0</formula>
    </cfRule>
  </conditionalFormatting>
  <conditionalFormatting sqref="E40:R40">
    <cfRule type="cellIs" dxfId="501" priority="180" operator="greaterThan">
      <formula>0</formula>
    </cfRule>
    <cfRule type="cellIs" dxfId="500" priority="179" operator="lessThan">
      <formula>0</formula>
    </cfRule>
  </conditionalFormatting>
  <conditionalFormatting sqref="E45:R45">
    <cfRule type="cellIs" dxfId="496" priority="170" operator="greaterThan">
      <formula>0</formula>
    </cfRule>
    <cfRule type="cellIs" dxfId="495" priority="169" operator="lessThan">
      <formula>0</formula>
    </cfRule>
  </conditionalFormatting>
  <conditionalFormatting sqref="T10:AG10">
    <cfRule type="cellIs" dxfId="491" priority="157" operator="greaterThan">
      <formula>0</formula>
    </cfRule>
    <cfRule type="cellIs" dxfId="490" priority="156" operator="lessThan">
      <formula>0</formula>
    </cfRule>
  </conditionalFormatting>
  <conditionalFormatting sqref="T15:AG15">
    <cfRule type="cellIs" dxfId="486" priority="133" operator="lessThan">
      <formula>0</formula>
    </cfRule>
    <cfRule type="cellIs" dxfId="485" priority="134" operator="greaterThan">
      <formula>0</formula>
    </cfRule>
  </conditionalFormatting>
  <conditionalFormatting sqref="T20:AG20">
    <cfRule type="cellIs" dxfId="481" priority="132" operator="greaterThan">
      <formula>0</formula>
    </cfRule>
    <cfRule type="cellIs" dxfId="480" priority="131" operator="lessThan">
      <formula>0</formula>
    </cfRule>
  </conditionalFormatting>
  <conditionalFormatting sqref="T25:AG25">
    <cfRule type="cellIs" dxfId="476" priority="129" operator="lessThan">
      <formula>0</formula>
    </cfRule>
    <cfRule type="cellIs" dxfId="475" priority="130" operator="greaterThan">
      <formula>0</formula>
    </cfRule>
  </conditionalFormatting>
  <conditionalFormatting sqref="T30:AG30">
    <cfRule type="cellIs" dxfId="471" priority="128" operator="greaterThan">
      <formula>0</formula>
    </cfRule>
    <cfRule type="cellIs" dxfId="470" priority="127" operator="lessThan">
      <formula>0</formula>
    </cfRule>
  </conditionalFormatting>
  <conditionalFormatting sqref="T35:AG35">
    <cfRule type="cellIs" dxfId="466" priority="125" operator="lessThan">
      <formula>0</formula>
    </cfRule>
    <cfRule type="cellIs" dxfId="465" priority="126" operator="greaterThan">
      <formula>0</formula>
    </cfRule>
  </conditionalFormatting>
  <conditionalFormatting sqref="T40:AG40">
    <cfRule type="cellIs" dxfId="461" priority="124" operator="greaterThan">
      <formula>0</formula>
    </cfRule>
    <cfRule type="cellIs" dxfId="460" priority="123" operator="lessThan">
      <formula>0</formula>
    </cfRule>
  </conditionalFormatting>
  <conditionalFormatting sqref="T45:AG45">
    <cfRule type="cellIs" dxfId="456" priority="122" operator="greaterThan">
      <formula>0</formula>
    </cfRule>
    <cfRule type="cellIs" dxfId="455" priority="121" operator="lessThan">
      <formula>0</formula>
    </cfRule>
  </conditionalFormatting>
  <conditionalFormatting sqref="AI10:AV10">
    <cfRule type="cellIs" dxfId="451" priority="116" operator="lessThan">
      <formula>0</formula>
    </cfRule>
    <cfRule type="cellIs" dxfId="450" priority="117" operator="greaterThan">
      <formula>0</formula>
    </cfRule>
  </conditionalFormatting>
  <conditionalFormatting sqref="AI15:AV15">
    <cfRule type="cellIs" dxfId="446" priority="93" operator="lessThan">
      <formula>0</formula>
    </cfRule>
    <cfRule type="cellIs" dxfId="445" priority="94" operator="greaterThan">
      <formula>0</formula>
    </cfRule>
  </conditionalFormatting>
  <conditionalFormatting sqref="AI20:AV20">
    <cfRule type="cellIs" dxfId="441" priority="91" operator="lessThan">
      <formula>0</formula>
    </cfRule>
    <cfRule type="cellIs" dxfId="440" priority="92" operator="greaterThan">
      <formula>0</formula>
    </cfRule>
  </conditionalFormatting>
  <conditionalFormatting sqref="AI25:AV25">
    <cfRule type="cellIs" dxfId="436" priority="89" operator="lessThan">
      <formula>0</formula>
    </cfRule>
    <cfRule type="cellIs" dxfId="435" priority="90" operator="greaterThan">
      <formula>0</formula>
    </cfRule>
  </conditionalFormatting>
  <conditionalFormatting sqref="AI30:AV30">
    <cfRule type="cellIs" dxfId="431" priority="87" operator="lessThan">
      <formula>0</formula>
    </cfRule>
    <cfRule type="cellIs" dxfId="430" priority="88" operator="greaterThan">
      <formula>0</formula>
    </cfRule>
  </conditionalFormatting>
  <conditionalFormatting sqref="AI35:AV35">
    <cfRule type="cellIs" dxfId="426" priority="86" operator="greaterThan">
      <formula>0</formula>
    </cfRule>
    <cfRule type="cellIs" dxfId="425" priority="85" operator="lessThan">
      <formula>0</formula>
    </cfRule>
  </conditionalFormatting>
  <conditionalFormatting sqref="AI40:AV40">
    <cfRule type="cellIs" dxfId="421" priority="84" operator="greaterThan">
      <formula>0</formula>
    </cfRule>
    <cfRule type="cellIs" dxfId="420" priority="83" operator="lessThan">
      <formula>0</formula>
    </cfRule>
  </conditionalFormatting>
  <conditionalFormatting sqref="AI45:AV45">
    <cfRule type="cellIs" dxfId="416" priority="82" operator="greaterThan">
      <formula>0</formula>
    </cfRule>
    <cfRule type="cellIs" dxfId="415" priority="81" operator="lessThan">
      <formula>0</formula>
    </cfRule>
  </conditionalFormatting>
  <conditionalFormatting sqref="AX10:BK10">
    <cfRule type="cellIs" dxfId="411" priority="77" operator="greaterThan">
      <formula>0</formula>
    </cfRule>
    <cfRule type="cellIs" dxfId="410" priority="76" operator="lessThan">
      <formula>0</formula>
    </cfRule>
  </conditionalFormatting>
  <conditionalFormatting sqref="AX15:BK15">
    <cfRule type="cellIs" dxfId="406" priority="53" operator="lessThan">
      <formula>0</formula>
    </cfRule>
    <cfRule type="cellIs" dxfId="405" priority="54" operator="greaterThan">
      <formula>0</formula>
    </cfRule>
  </conditionalFormatting>
  <conditionalFormatting sqref="AX20:BK20">
    <cfRule type="cellIs" dxfId="401" priority="52" operator="greaterThan">
      <formula>0</formula>
    </cfRule>
    <cfRule type="cellIs" dxfId="400" priority="51" operator="lessThan">
      <formula>0</formula>
    </cfRule>
  </conditionalFormatting>
  <conditionalFormatting sqref="AX25:BK25">
    <cfRule type="cellIs" dxfId="396" priority="50" operator="greaterThan">
      <formula>0</formula>
    </cfRule>
    <cfRule type="cellIs" dxfId="395" priority="49" operator="lessThan">
      <formula>0</formula>
    </cfRule>
  </conditionalFormatting>
  <conditionalFormatting sqref="AX30:BK30">
    <cfRule type="cellIs" dxfId="391" priority="48" operator="greaterThan">
      <formula>0</formula>
    </cfRule>
    <cfRule type="cellIs" dxfId="390" priority="47" operator="lessThan">
      <formula>0</formula>
    </cfRule>
  </conditionalFormatting>
  <conditionalFormatting sqref="AX35:BK35">
    <cfRule type="cellIs" dxfId="386" priority="46" operator="greaterThan">
      <formula>0</formula>
    </cfRule>
    <cfRule type="cellIs" dxfId="385" priority="45" operator="lessThan">
      <formula>0</formula>
    </cfRule>
  </conditionalFormatting>
  <conditionalFormatting sqref="AX40:BK40">
    <cfRule type="cellIs" dxfId="381" priority="43" operator="lessThan">
      <formula>0</formula>
    </cfRule>
    <cfRule type="cellIs" dxfId="380" priority="44" operator="greaterThan">
      <formula>0</formula>
    </cfRule>
  </conditionalFormatting>
  <conditionalFormatting sqref="AX45:BK45">
    <cfRule type="cellIs" dxfId="376" priority="41" operator="lessThan">
      <formula>0</formula>
    </cfRule>
    <cfRule type="cellIs" dxfId="375" priority="42" operator="greaterThan">
      <formula>0</formula>
    </cfRule>
  </conditionalFormatting>
  <conditionalFormatting sqref="BM10:BZ10">
    <cfRule type="cellIs" dxfId="371" priority="37" operator="greaterThan">
      <formula>0</formula>
    </cfRule>
    <cfRule type="cellIs" dxfId="370" priority="36" operator="lessThan">
      <formula>0</formula>
    </cfRule>
  </conditionalFormatting>
  <conditionalFormatting sqref="BM15:BZ15">
    <cfRule type="cellIs" dxfId="366" priority="13" operator="lessThan">
      <formula>0</formula>
    </cfRule>
    <cfRule type="cellIs" dxfId="365" priority="14" operator="greaterThan">
      <formula>0</formula>
    </cfRule>
  </conditionalFormatting>
  <conditionalFormatting sqref="BM20:BZ20">
    <cfRule type="cellIs" dxfId="361" priority="12" operator="greaterThan">
      <formula>0</formula>
    </cfRule>
    <cfRule type="cellIs" dxfId="360" priority="11" operator="lessThan">
      <formula>0</formula>
    </cfRule>
  </conditionalFormatting>
  <conditionalFormatting sqref="BM25:BZ25">
    <cfRule type="cellIs" dxfId="356" priority="10" operator="greaterThan">
      <formula>0</formula>
    </cfRule>
    <cfRule type="cellIs" dxfId="355" priority="9" operator="lessThan">
      <formula>0</formula>
    </cfRule>
  </conditionalFormatting>
  <conditionalFormatting sqref="BM30:BZ30">
    <cfRule type="cellIs" dxfId="351" priority="8" operator="greaterThan">
      <formula>0</formula>
    </cfRule>
    <cfRule type="cellIs" dxfId="350" priority="7" operator="lessThan">
      <formula>0</formula>
    </cfRule>
  </conditionalFormatting>
  <conditionalFormatting sqref="BM35:BZ35">
    <cfRule type="cellIs" dxfId="346" priority="6" operator="greaterThan">
      <formula>0</formula>
    </cfRule>
    <cfRule type="cellIs" dxfId="345" priority="5" operator="lessThan">
      <formula>0</formula>
    </cfRule>
  </conditionalFormatting>
  <conditionalFormatting sqref="BM40:BZ40">
    <cfRule type="cellIs" dxfId="341" priority="4" operator="greaterThan">
      <formula>0</formula>
    </cfRule>
    <cfRule type="cellIs" dxfId="340" priority="3" operator="lessThan">
      <formula>0</formula>
    </cfRule>
  </conditionalFormatting>
  <conditionalFormatting sqref="BM45:BZ45">
    <cfRule type="cellIs" dxfId="336" priority="2" operator="greaterThan">
      <formula>0</formula>
    </cfRule>
    <cfRule type="cellIs" dxfId="335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8" id="{F23BE27A-1424-42F6-A620-68AD554E7A0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60" id="{6BFB5A13-1FAD-421A-88CE-A5DBA95A76AC}">
            <xm:f>$D$7=parametros!$J$2</xm:f>
            <x14:dxf>
              <numFmt numFmtId="2" formatCode="0.00"/>
            </x14:dxf>
          </x14:cfRule>
          <x14:cfRule type="expression" priority="359" id="{E0C9969A-7783-4D1B-A13E-EEB8AB97961F}">
            <xm:f>$D$7=parametros!$J$3</xm:f>
            <x14:dxf>
              <numFmt numFmtId="14" formatCode="0.00%"/>
            </x14:dxf>
          </x14:cfRule>
          <xm:sqref>E8:R9</xm:sqref>
        </x14:conditionalFormatting>
        <x14:conditionalFormatting xmlns:xm="http://schemas.microsoft.com/office/excel/2006/main">
          <x14:cfRule type="expression" priority="355" id="{844243D2-8D7C-4163-A9A2-77EE96904216}">
            <xm:f>$D$7=parametros!$J$2</xm:f>
            <x14:dxf>
              <numFmt numFmtId="2" formatCode="0.00"/>
            </x14:dxf>
          </x14:cfRule>
          <x14:cfRule type="expression" priority="354" id="{25B060BE-93AE-43FB-A173-C27B2A5EF684}">
            <xm:f>$D$7=parametros!$J$3</xm:f>
            <x14:dxf>
              <numFmt numFmtId="14" formatCode="0.00%"/>
            </x14:dxf>
          </x14:cfRule>
          <x14:cfRule type="expression" priority="353" id="{7036FA00-8690-4DAA-9A52-72CA58DE168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E13:R14</xm:sqref>
        </x14:conditionalFormatting>
        <x14:conditionalFormatting xmlns:xm="http://schemas.microsoft.com/office/excel/2006/main">
          <x14:cfRule type="expression" priority="352" id="{0B0D88A0-518B-400C-B2F8-1ABFCE018B37}">
            <xm:f>$D$7=parametros!$J$2</xm:f>
            <x14:dxf>
              <numFmt numFmtId="2" formatCode="0.00"/>
            </x14:dxf>
          </x14:cfRule>
          <x14:cfRule type="expression" priority="351" id="{4605F433-94FD-432A-945D-B414B69961B8}">
            <xm:f>$D$7=parametros!$J$3</xm:f>
            <x14:dxf>
              <numFmt numFmtId="14" formatCode="0.00%"/>
            </x14:dxf>
          </x14:cfRule>
          <x14:cfRule type="expression" priority="350" id="{2D9A4624-54D8-486D-A390-619A783A366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E18:R19</xm:sqref>
        </x14:conditionalFormatting>
        <x14:conditionalFormatting xmlns:xm="http://schemas.microsoft.com/office/excel/2006/main">
          <x14:cfRule type="expression" priority="349" id="{35C9D8F0-9BA1-4D1F-8087-18FFB631E5EF}">
            <xm:f>$D$7=parametros!$J$2</xm:f>
            <x14:dxf>
              <numFmt numFmtId="2" formatCode="0.00"/>
            </x14:dxf>
          </x14:cfRule>
          <x14:cfRule type="expression" priority="348" id="{AA242B01-C2F8-4794-89B6-38F7D950EE1B}">
            <xm:f>$D$7=parametros!$J$3</xm:f>
            <x14:dxf>
              <numFmt numFmtId="14" formatCode="0.00%"/>
            </x14:dxf>
          </x14:cfRule>
          <x14:cfRule type="expression" priority="347" id="{4D4D4F55-32EE-429A-9EDA-BCC8387B92C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E23:R24</xm:sqref>
        </x14:conditionalFormatting>
        <x14:conditionalFormatting xmlns:xm="http://schemas.microsoft.com/office/excel/2006/main">
          <x14:cfRule type="expression" priority="346" id="{22980947-1F2A-45D3-A250-A433D5006D6A}">
            <xm:f>$D$7=parametros!$J$2</xm:f>
            <x14:dxf>
              <numFmt numFmtId="2" formatCode="0.00"/>
            </x14:dxf>
          </x14:cfRule>
          <x14:cfRule type="expression" priority="345" id="{F6692F11-171B-47BC-BB29-9C985897C3D6}">
            <xm:f>$D$7=parametros!$J$3</xm:f>
            <x14:dxf>
              <numFmt numFmtId="14" formatCode="0.00%"/>
            </x14:dxf>
          </x14:cfRule>
          <x14:cfRule type="expression" priority="344" id="{7F9DAD32-904E-491E-92F8-4C49451B8C2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E28:R29</xm:sqref>
        </x14:conditionalFormatting>
        <x14:conditionalFormatting xmlns:xm="http://schemas.microsoft.com/office/excel/2006/main">
          <x14:cfRule type="expression" priority="343" id="{05230FEB-86F4-4566-81B2-A3C3F4B7EFB0}">
            <xm:f>$D$7=parametros!$J$2</xm:f>
            <x14:dxf>
              <numFmt numFmtId="2" formatCode="0.00"/>
            </x14:dxf>
          </x14:cfRule>
          <x14:cfRule type="expression" priority="341" id="{B19BFF11-D9E4-4771-AC83-AA4A4AD9E96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42" id="{B6785403-0D5F-4131-9203-07F365CD5B58}">
            <xm:f>$D$7=parametros!$J$3</xm:f>
            <x14:dxf>
              <numFmt numFmtId="14" formatCode="0.00%"/>
            </x14:dxf>
          </x14:cfRule>
          <xm:sqref>E33:R34</xm:sqref>
        </x14:conditionalFormatting>
        <x14:conditionalFormatting xmlns:xm="http://schemas.microsoft.com/office/excel/2006/main">
          <x14:cfRule type="expression" priority="340" id="{28BCD72E-1CD6-4E02-B767-298D28ACD365}">
            <xm:f>$D$7=parametros!$J$2</xm:f>
            <x14:dxf>
              <numFmt numFmtId="2" formatCode="0.00"/>
            </x14:dxf>
          </x14:cfRule>
          <x14:cfRule type="expression" priority="338" id="{53F4ED83-0C62-4A72-B254-C8BD82C1295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9" id="{AAD1A20E-B4B3-4ECF-B4A4-D2C59748B7CB}">
            <xm:f>$D$7=parametros!$J$3</xm:f>
            <x14:dxf>
              <numFmt numFmtId="14" formatCode="0.00%"/>
            </x14:dxf>
          </x14:cfRule>
          <xm:sqref>E38:R39</xm:sqref>
        </x14:conditionalFormatting>
        <x14:conditionalFormatting xmlns:xm="http://schemas.microsoft.com/office/excel/2006/main">
          <x14:cfRule type="expression" priority="335" id="{315E3FCD-4D5A-42E3-8F09-06EC27C5657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6" id="{150FD1E8-EFBC-453B-85A8-8DCD094649C7}">
            <xm:f>$D$7=parametros!$J$3</xm:f>
            <x14:dxf>
              <numFmt numFmtId="14" formatCode="0.00%"/>
            </x14:dxf>
          </x14:cfRule>
          <x14:cfRule type="expression" priority="337" id="{508B5CA3-623D-496A-9021-EC8241F3AE11}">
            <xm:f>$D$7=parametros!$J$2</xm:f>
            <x14:dxf>
              <numFmt numFmtId="2" formatCode="0.00"/>
            </x14:dxf>
          </x14:cfRule>
          <xm:sqref>E43:R44</xm:sqref>
        </x14:conditionalFormatting>
        <x14:conditionalFormatting xmlns:xm="http://schemas.microsoft.com/office/excel/2006/main">
          <x14:cfRule type="expression" priority="160" id="{3016F49B-FE41-4EF5-AF60-00A943A85154}">
            <xm:f>$D$7=parametros!$J$2</xm:f>
            <x14:dxf>
              <numFmt numFmtId="2" formatCode="0.00"/>
            </x14:dxf>
          </x14:cfRule>
          <x14:cfRule type="expression" priority="159" id="{605A4734-FCAC-4485-951B-26C831BCC88B}">
            <xm:f>$D$7=parametros!$J$3</xm:f>
            <x14:dxf>
              <numFmt numFmtId="14" formatCode="0.00%"/>
            </x14:dxf>
          </x14:cfRule>
          <x14:cfRule type="expression" priority="158" id="{C2450248-89E4-48BF-BE44-DD30B8DF1EA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T8:AG9</xm:sqref>
        </x14:conditionalFormatting>
        <x14:conditionalFormatting xmlns:xm="http://schemas.microsoft.com/office/excel/2006/main">
          <x14:cfRule type="expression" priority="155" id="{7A6BB132-7945-41FA-BD71-DCAA9655D3A6}">
            <xm:f>$D$7=parametros!$J$2</xm:f>
            <x14:dxf>
              <numFmt numFmtId="2" formatCode="0.00"/>
            </x14:dxf>
          </x14:cfRule>
          <x14:cfRule type="expression" priority="154" id="{8593C0F1-7DEF-4EAD-91FF-C995EE9118F4}">
            <xm:f>$D$7=parametros!$J$3</xm:f>
            <x14:dxf>
              <numFmt numFmtId="14" formatCode="0.00%"/>
            </x14:dxf>
          </x14:cfRule>
          <x14:cfRule type="expression" priority="153" id="{08E19143-2B6D-42C0-BAC0-AB5A735E0B0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T13:AG14</xm:sqref>
        </x14:conditionalFormatting>
        <x14:conditionalFormatting xmlns:xm="http://schemas.microsoft.com/office/excel/2006/main">
          <x14:cfRule type="expression" priority="151" id="{23492702-0B78-4FBE-A50C-7D011EB4E669}">
            <xm:f>$D$7=parametros!$J$3</xm:f>
            <x14:dxf>
              <numFmt numFmtId="14" formatCode="0.00%"/>
            </x14:dxf>
          </x14:cfRule>
          <x14:cfRule type="expression" priority="150" id="{E2B1D1FC-AC49-4F18-AF7F-9F730E00C56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52" id="{680B72E1-B15A-4883-ACE8-4F62A794C80A}">
            <xm:f>$D$7=parametros!$J$2</xm:f>
            <x14:dxf>
              <numFmt numFmtId="2" formatCode="0.00"/>
            </x14:dxf>
          </x14:cfRule>
          <xm:sqref>T18:AG19</xm:sqref>
        </x14:conditionalFormatting>
        <x14:conditionalFormatting xmlns:xm="http://schemas.microsoft.com/office/excel/2006/main">
          <x14:cfRule type="expression" priority="149" id="{9DA4EE3D-E276-48BD-81FB-08636E8B5615}">
            <xm:f>$D$7=parametros!$J$2</xm:f>
            <x14:dxf>
              <numFmt numFmtId="2" formatCode="0.00"/>
            </x14:dxf>
          </x14:cfRule>
          <x14:cfRule type="expression" priority="148" id="{035D7147-4C99-4300-94B5-CDBD9FD9237A}">
            <xm:f>$D$7=parametros!$J$3</xm:f>
            <x14:dxf>
              <numFmt numFmtId="14" formatCode="0.00%"/>
            </x14:dxf>
          </x14:cfRule>
          <x14:cfRule type="expression" priority="147" id="{E53282B3-632B-4AD1-A77A-3B0F1EA2F9D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T23:AG24</xm:sqref>
        </x14:conditionalFormatting>
        <x14:conditionalFormatting xmlns:xm="http://schemas.microsoft.com/office/excel/2006/main">
          <x14:cfRule type="expression" priority="144" id="{ECAE4E52-81D6-4067-B326-4DC56C33363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45" id="{3479A9CD-BF80-4A8E-BE4B-4BFB1AA5189C}">
            <xm:f>$D$7=parametros!$J$3</xm:f>
            <x14:dxf>
              <numFmt numFmtId="14" formatCode="0.00%"/>
            </x14:dxf>
          </x14:cfRule>
          <x14:cfRule type="expression" priority="146" id="{E7A6FF18-8DAA-46E5-BE70-E2830016A395}">
            <xm:f>$D$7=parametros!$J$2</xm:f>
            <x14:dxf>
              <numFmt numFmtId="2" formatCode="0.00"/>
            </x14:dxf>
          </x14:cfRule>
          <xm:sqref>T28:AG29</xm:sqref>
        </x14:conditionalFormatting>
        <x14:conditionalFormatting xmlns:xm="http://schemas.microsoft.com/office/excel/2006/main">
          <x14:cfRule type="expression" priority="143" id="{C2C6B2F8-E58B-447F-8D01-26464F706283}">
            <xm:f>$D$7=parametros!$J$2</xm:f>
            <x14:dxf>
              <numFmt numFmtId="2" formatCode="0.00"/>
            </x14:dxf>
          </x14:cfRule>
          <x14:cfRule type="expression" priority="142" id="{F379F8AE-90BD-4FEE-AC55-F8C85E20B2F0}">
            <xm:f>$D$7=parametros!$J$3</xm:f>
            <x14:dxf>
              <numFmt numFmtId="14" formatCode="0.00%"/>
            </x14:dxf>
          </x14:cfRule>
          <x14:cfRule type="expression" priority="141" id="{9F95CEF9-D7A9-4152-8559-C943C5B07B1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T33:AG34</xm:sqref>
        </x14:conditionalFormatting>
        <x14:conditionalFormatting xmlns:xm="http://schemas.microsoft.com/office/excel/2006/main">
          <x14:cfRule type="expression" priority="140" id="{9F3FE0BF-6933-4F1D-9254-7E419C4F42D5}">
            <xm:f>$D$7=parametros!$J$2</xm:f>
            <x14:dxf>
              <numFmt numFmtId="2" formatCode="0.00"/>
            </x14:dxf>
          </x14:cfRule>
          <x14:cfRule type="expression" priority="139" id="{2695430B-942F-42E7-806A-D45855DE1447}">
            <xm:f>$D$7=parametros!$J$3</xm:f>
            <x14:dxf>
              <numFmt numFmtId="14" formatCode="0.00%"/>
            </x14:dxf>
          </x14:cfRule>
          <x14:cfRule type="expression" priority="138" id="{2C1D683A-4091-4BB1-9E4A-CC3C2005B34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T38:AG39</xm:sqref>
        </x14:conditionalFormatting>
        <x14:conditionalFormatting xmlns:xm="http://schemas.microsoft.com/office/excel/2006/main">
          <x14:cfRule type="expression" priority="135" id="{B2D3D66D-85D4-473F-B3C3-F83DF3695DD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37" id="{3AECCDCE-0565-41F1-A7CC-EC89D57E8328}">
            <xm:f>$D$7=parametros!$J$2</xm:f>
            <x14:dxf>
              <numFmt numFmtId="2" formatCode="0.00"/>
            </x14:dxf>
          </x14:cfRule>
          <x14:cfRule type="expression" priority="136" id="{DC28D804-2FF4-4057-971F-BFE3A3C35CBB}">
            <xm:f>$D$7=parametros!$J$3</xm:f>
            <x14:dxf>
              <numFmt numFmtId="14" formatCode="0.00%"/>
            </x14:dxf>
          </x14:cfRule>
          <xm:sqref>T43:AG44</xm:sqref>
        </x14:conditionalFormatting>
        <x14:conditionalFormatting xmlns:xm="http://schemas.microsoft.com/office/excel/2006/main">
          <x14:cfRule type="expression" priority="120" id="{638293BB-45DA-4877-BC9C-F59F0D534755}">
            <xm:f>$D$7=parametros!$J$2</xm:f>
            <x14:dxf>
              <numFmt numFmtId="2" formatCode="0.00"/>
            </x14:dxf>
          </x14:cfRule>
          <x14:cfRule type="expression" priority="119" id="{42838843-06A6-4FF0-9029-1C1E5C0CE6A0}">
            <xm:f>$D$7=parametros!$J$3</xm:f>
            <x14:dxf>
              <numFmt numFmtId="14" formatCode="0.00%"/>
            </x14:dxf>
          </x14:cfRule>
          <x14:cfRule type="expression" priority="118" id="{B9178D09-8F04-4972-8512-1B7DB6ED4A2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AI8:AV9</xm:sqref>
        </x14:conditionalFormatting>
        <x14:conditionalFormatting xmlns:xm="http://schemas.microsoft.com/office/excel/2006/main">
          <x14:cfRule type="expression" priority="113" id="{B171D20B-7805-4401-B4D3-C90B02EED75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15" id="{A46A35F7-798E-4AC3-BE17-DE0BE35DC0E5}">
            <xm:f>$D$7=parametros!$J$2</xm:f>
            <x14:dxf>
              <numFmt numFmtId="2" formatCode="0.00"/>
            </x14:dxf>
          </x14:cfRule>
          <x14:cfRule type="expression" priority="114" id="{1741E8AC-0A5A-4B35-8460-4CA3D2211F14}">
            <xm:f>$D$7=parametros!$J$3</xm:f>
            <x14:dxf>
              <numFmt numFmtId="14" formatCode="0.00%"/>
            </x14:dxf>
          </x14:cfRule>
          <xm:sqref>AI13:AV14</xm:sqref>
        </x14:conditionalFormatting>
        <x14:conditionalFormatting xmlns:xm="http://schemas.microsoft.com/office/excel/2006/main">
          <x14:cfRule type="expression" priority="112" id="{A4973EE4-CF9F-4AFB-AAD1-A40657AC2909}">
            <xm:f>$D$7=parametros!$J$2</xm:f>
            <x14:dxf>
              <numFmt numFmtId="2" formatCode="0.00"/>
            </x14:dxf>
          </x14:cfRule>
          <x14:cfRule type="expression" priority="111" id="{42792356-9646-4227-91F1-56F53121521E}">
            <xm:f>$D$7=parametros!$J$3</xm:f>
            <x14:dxf>
              <numFmt numFmtId="14" formatCode="0.00%"/>
            </x14:dxf>
          </x14:cfRule>
          <x14:cfRule type="expression" priority="110" id="{FCD86F07-6957-46A8-ABBE-F6EB4B7B46A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AI18:AV19</xm:sqref>
        </x14:conditionalFormatting>
        <x14:conditionalFormatting xmlns:xm="http://schemas.microsoft.com/office/excel/2006/main">
          <x14:cfRule type="expression" priority="108" id="{CE5D804A-9D3E-4E5C-841C-65F3C5A9615F}">
            <xm:f>$D$7=parametros!$J$3</xm:f>
            <x14:dxf>
              <numFmt numFmtId="14" formatCode="0.00%"/>
            </x14:dxf>
          </x14:cfRule>
          <x14:cfRule type="expression" priority="107" id="{5CBFC9C3-E247-475F-8F42-70083D37C29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9" id="{D287A565-0908-4675-A9DB-5C30F2DE5964}">
            <xm:f>$D$7=parametros!$J$2</xm:f>
            <x14:dxf>
              <numFmt numFmtId="2" formatCode="0.00"/>
            </x14:dxf>
          </x14:cfRule>
          <xm:sqref>AI23:AV24</xm:sqref>
        </x14:conditionalFormatting>
        <x14:conditionalFormatting xmlns:xm="http://schemas.microsoft.com/office/excel/2006/main">
          <x14:cfRule type="expression" priority="106" id="{5AAF10DA-437A-4EB6-99AB-0026C7264C3E}">
            <xm:f>$D$7=parametros!$J$2</xm:f>
            <x14:dxf>
              <numFmt numFmtId="2" formatCode="0.00"/>
            </x14:dxf>
          </x14:cfRule>
          <x14:cfRule type="expression" priority="105" id="{8F707E6F-1BBC-4351-9DA6-19711B3A1A61}">
            <xm:f>$D$7=parametros!$J$3</xm:f>
            <x14:dxf>
              <numFmt numFmtId="14" formatCode="0.00%"/>
            </x14:dxf>
          </x14:cfRule>
          <x14:cfRule type="expression" priority="104" id="{9947A6F5-F3CE-4109-AE0F-403CB11CC69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AI28:AV29</xm:sqref>
        </x14:conditionalFormatting>
        <x14:conditionalFormatting xmlns:xm="http://schemas.microsoft.com/office/excel/2006/main">
          <x14:cfRule type="expression" priority="103" id="{7D1777AF-80B2-41C4-8549-96BC093DA7F3}">
            <xm:f>$D$7=parametros!$J$2</xm:f>
            <x14:dxf>
              <numFmt numFmtId="2" formatCode="0.00"/>
            </x14:dxf>
          </x14:cfRule>
          <x14:cfRule type="expression" priority="101" id="{83C2C495-8824-4FB2-803F-28E8DD8615D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2" id="{B31BA24F-36B0-4B0C-B406-AB2F6AFECF8F}">
            <xm:f>$D$7=parametros!$J$3</xm:f>
            <x14:dxf>
              <numFmt numFmtId="14" formatCode="0.00%"/>
            </x14:dxf>
          </x14:cfRule>
          <xm:sqref>AI33:AV34</xm:sqref>
        </x14:conditionalFormatting>
        <x14:conditionalFormatting xmlns:xm="http://schemas.microsoft.com/office/excel/2006/main">
          <x14:cfRule type="expression" priority="100" id="{5DAC5A01-8AB3-47FA-836F-013E2D399CEB}">
            <xm:f>$D$7=parametros!$J$2</xm:f>
            <x14:dxf>
              <numFmt numFmtId="2" formatCode="0.00"/>
            </x14:dxf>
          </x14:cfRule>
          <x14:cfRule type="expression" priority="99" id="{60474F57-02E5-4609-8612-BAE23C187FC0}">
            <xm:f>$D$7=parametros!$J$3</xm:f>
            <x14:dxf>
              <numFmt numFmtId="14" formatCode="0.00%"/>
            </x14:dxf>
          </x14:cfRule>
          <x14:cfRule type="expression" priority="98" id="{9504A407-694D-4996-8250-7C7CE63A0D1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AI38:AV39</xm:sqref>
        </x14:conditionalFormatting>
        <x14:conditionalFormatting xmlns:xm="http://schemas.microsoft.com/office/excel/2006/main">
          <x14:cfRule type="expression" priority="95" id="{36C6B324-AE77-4729-BEDC-129B103380C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6" id="{61D3421A-3B7F-4331-B744-3DFF1396678F}">
            <xm:f>$D$7=parametros!$J$3</xm:f>
            <x14:dxf>
              <numFmt numFmtId="14" formatCode="0.00%"/>
            </x14:dxf>
          </x14:cfRule>
          <x14:cfRule type="expression" priority="97" id="{6C83509F-3E3C-49C6-AA37-A529AF7F5891}">
            <xm:f>$D$7=parametros!$J$2</xm:f>
            <x14:dxf>
              <numFmt numFmtId="2" formatCode="0.00"/>
            </x14:dxf>
          </x14:cfRule>
          <xm:sqref>AI43:AV44</xm:sqref>
        </x14:conditionalFormatting>
        <x14:conditionalFormatting xmlns:xm="http://schemas.microsoft.com/office/excel/2006/main">
          <x14:cfRule type="expression" priority="80" id="{96E62F4A-E6A0-494B-B2B1-59F551173534}">
            <xm:f>$D$7=parametros!$J$2</xm:f>
            <x14:dxf>
              <numFmt numFmtId="2" formatCode="0.00"/>
            </x14:dxf>
          </x14:cfRule>
          <x14:cfRule type="expression" priority="79" id="{E5AA8583-7FF1-491A-9945-AC2157992456}">
            <xm:f>$D$7=parametros!$J$3</xm:f>
            <x14:dxf>
              <numFmt numFmtId="14" formatCode="0.00%"/>
            </x14:dxf>
          </x14:cfRule>
          <x14:cfRule type="expression" priority="78" id="{02453BF8-C00F-4E02-8217-4C67A6905E6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AX8:BK9</xm:sqref>
        </x14:conditionalFormatting>
        <x14:conditionalFormatting xmlns:xm="http://schemas.microsoft.com/office/excel/2006/main">
          <x14:cfRule type="expression" priority="75" id="{089B2503-7B26-4AFC-85F7-02F7A2155F4B}">
            <xm:f>$D$7=parametros!$J$2</xm:f>
            <x14:dxf>
              <numFmt numFmtId="2" formatCode="0.00"/>
            </x14:dxf>
          </x14:cfRule>
          <x14:cfRule type="expression" priority="74" id="{0BD7255E-DB94-4246-9550-7D50C1550433}">
            <xm:f>$D$7=parametros!$J$3</xm:f>
            <x14:dxf>
              <numFmt numFmtId="14" formatCode="0.00%"/>
            </x14:dxf>
          </x14:cfRule>
          <x14:cfRule type="expression" priority="73" id="{1523AFB9-8A30-4BE4-828C-A32F0CE4275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AX13:BK14</xm:sqref>
        </x14:conditionalFormatting>
        <x14:conditionalFormatting xmlns:xm="http://schemas.microsoft.com/office/excel/2006/main">
          <x14:cfRule type="expression" priority="72" id="{124D7C89-7ECE-45AB-8676-AF8E94C81C27}">
            <xm:f>$D$7=parametros!$J$2</xm:f>
            <x14:dxf>
              <numFmt numFmtId="2" formatCode="0.00"/>
            </x14:dxf>
          </x14:cfRule>
          <x14:cfRule type="expression" priority="71" id="{D8059291-2ACB-4278-A149-13FF059DFB29}">
            <xm:f>$D$7=parametros!$J$3</xm:f>
            <x14:dxf>
              <numFmt numFmtId="14" formatCode="0.00%"/>
            </x14:dxf>
          </x14:cfRule>
          <x14:cfRule type="expression" priority="70" id="{B0210A79-F288-4799-A15F-13AAD5906FE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AX18:BK19</xm:sqref>
        </x14:conditionalFormatting>
        <x14:conditionalFormatting xmlns:xm="http://schemas.microsoft.com/office/excel/2006/main">
          <x14:cfRule type="expression" priority="69" id="{27446075-DD1C-4B31-B2D0-DC843D9723EE}">
            <xm:f>$D$7=parametros!$J$2</xm:f>
            <x14:dxf>
              <numFmt numFmtId="2" formatCode="0.00"/>
            </x14:dxf>
          </x14:cfRule>
          <x14:cfRule type="expression" priority="68" id="{01B127E9-2488-408F-BC8E-E3705FA5BE92}">
            <xm:f>$D$7=parametros!$J$3</xm:f>
            <x14:dxf>
              <numFmt numFmtId="14" formatCode="0.00%"/>
            </x14:dxf>
          </x14:cfRule>
          <x14:cfRule type="expression" priority="67" id="{AFD42BAF-226F-42EB-80B9-F6BB3B0A0F9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AX23:BK24</xm:sqref>
        </x14:conditionalFormatting>
        <x14:conditionalFormatting xmlns:xm="http://schemas.microsoft.com/office/excel/2006/main">
          <x14:cfRule type="expression" priority="64" id="{451BD195-6F83-42F9-A061-02B46A491347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5" id="{6842E690-0F91-41E6-B137-F554603EA882}">
            <xm:f>$D$7=parametros!$J$3</xm:f>
            <x14:dxf>
              <numFmt numFmtId="14" formatCode="0.00%"/>
            </x14:dxf>
          </x14:cfRule>
          <x14:cfRule type="expression" priority="66" id="{4AD263CA-1E36-405B-A359-3E9471514EF6}">
            <xm:f>$D$7=parametros!$J$2</xm:f>
            <x14:dxf>
              <numFmt numFmtId="2" formatCode="0.00"/>
            </x14:dxf>
          </x14:cfRule>
          <xm:sqref>AX28:BK29</xm:sqref>
        </x14:conditionalFormatting>
        <x14:conditionalFormatting xmlns:xm="http://schemas.microsoft.com/office/excel/2006/main">
          <x14:cfRule type="expression" priority="63" id="{8C8EDDC6-E043-4A59-AEBD-5EB7CC853E1E}">
            <xm:f>$D$7=parametros!$J$2</xm:f>
            <x14:dxf>
              <numFmt numFmtId="2" formatCode="0.00"/>
            </x14:dxf>
          </x14:cfRule>
          <x14:cfRule type="expression" priority="61" id="{9E9E6B6F-0998-404B-A4F5-C6A8D17F974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2" id="{A95FD4DA-47A5-4F75-8E78-DB855670CFA8}">
            <xm:f>$D$7=parametros!$J$3</xm:f>
            <x14:dxf>
              <numFmt numFmtId="14" formatCode="0.00%"/>
            </x14:dxf>
          </x14:cfRule>
          <xm:sqref>AX33:BK34</xm:sqref>
        </x14:conditionalFormatting>
        <x14:conditionalFormatting xmlns:xm="http://schemas.microsoft.com/office/excel/2006/main">
          <x14:cfRule type="expression" priority="60" id="{C129E99D-B0DB-4AF2-94CC-1280D82B9470}">
            <xm:f>$D$7=parametros!$J$2</xm:f>
            <x14:dxf>
              <numFmt numFmtId="2" formatCode="0.00"/>
            </x14:dxf>
          </x14:cfRule>
          <x14:cfRule type="expression" priority="59" id="{D0F8F8FE-5B71-44FC-92D7-475D39967FF5}">
            <xm:f>$D$7=parametros!$J$3</xm:f>
            <x14:dxf>
              <numFmt numFmtId="14" formatCode="0.00%"/>
            </x14:dxf>
          </x14:cfRule>
          <x14:cfRule type="expression" priority="58" id="{E7877E1F-B81F-47C7-8692-DB1199A8B74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AX38:BK39</xm:sqref>
        </x14:conditionalFormatting>
        <x14:conditionalFormatting xmlns:xm="http://schemas.microsoft.com/office/excel/2006/main">
          <x14:cfRule type="expression" priority="55" id="{7014EF41-05AE-450C-8AFD-C44AC71E820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7" id="{F191A723-7398-43F5-8316-A8C45805D9BB}">
            <xm:f>$D$7=parametros!$J$2</xm:f>
            <x14:dxf>
              <numFmt numFmtId="2" formatCode="0.00"/>
            </x14:dxf>
          </x14:cfRule>
          <x14:cfRule type="expression" priority="56" id="{436AEF4D-BE24-4435-BB02-EE751E357139}">
            <xm:f>$D$7=parametros!$J$3</xm:f>
            <x14:dxf>
              <numFmt numFmtId="14" formatCode="0.00%"/>
            </x14:dxf>
          </x14:cfRule>
          <xm:sqref>AX43:BK44</xm:sqref>
        </x14:conditionalFormatting>
        <x14:conditionalFormatting xmlns:xm="http://schemas.microsoft.com/office/excel/2006/main">
          <x14:cfRule type="expression" priority="40" id="{D46BD0CF-4EA0-4E41-AF20-8A97C7BA7979}">
            <xm:f>$D$7=parametros!$J$2</xm:f>
            <x14:dxf>
              <numFmt numFmtId="2" formatCode="0.00"/>
            </x14:dxf>
          </x14:cfRule>
          <x14:cfRule type="expression" priority="39" id="{BB6C3D34-98D2-49D1-B6C9-A3866FE53326}">
            <xm:f>$D$7=parametros!$J$3</xm:f>
            <x14:dxf>
              <numFmt numFmtId="14" formatCode="0.00%"/>
            </x14:dxf>
          </x14:cfRule>
          <x14:cfRule type="expression" priority="38" id="{BE0C3771-4179-4FA8-A470-89D54096F28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BM8:BZ9</xm:sqref>
        </x14:conditionalFormatting>
        <x14:conditionalFormatting xmlns:xm="http://schemas.microsoft.com/office/excel/2006/main">
          <x14:cfRule type="expression" priority="35" id="{5F46E16B-EF81-4426-866D-72776EBAD5A1}">
            <xm:f>$D$7=parametros!$J$2</xm:f>
            <x14:dxf>
              <numFmt numFmtId="2" formatCode="0.00"/>
            </x14:dxf>
          </x14:cfRule>
          <x14:cfRule type="expression" priority="34" id="{F33D5135-B54E-4012-97F5-5B09646C204E}">
            <xm:f>$D$7=parametros!$J$3</xm:f>
            <x14:dxf>
              <numFmt numFmtId="14" formatCode="0.00%"/>
            </x14:dxf>
          </x14:cfRule>
          <x14:cfRule type="expression" priority="33" id="{F5719FDA-47E8-4347-988F-C2B7FD7404C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BM13:BZ14</xm:sqref>
        </x14:conditionalFormatting>
        <x14:conditionalFormatting xmlns:xm="http://schemas.microsoft.com/office/excel/2006/main">
          <x14:cfRule type="expression" priority="32" id="{6747D154-8B11-4A86-A3F2-1DED8793FE88}">
            <xm:f>$D$7=parametros!$J$2</xm:f>
            <x14:dxf>
              <numFmt numFmtId="2" formatCode="0.00"/>
            </x14:dxf>
          </x14:cfRule>
          <x14:cfRule type="expression" priority="31" id="{BDE7B6CE-B2A0-41BB-B6B5-F18BFDCBA78C}">
            <xm:f>$D$7=parametros!$J$3</xm:f>
            <x14:dxf>
              <numFmt numFmtId="14" formatCode="0.00%"/>
            </x14:dxf>
          </x14:cfRule>
          <x14:cfRule type="expression" priority="30" id="{CB0D6A9E-0ECF-42E8-B560-1F4346665F6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BM18:BZ19</xm:sqref>
        </x14:conditionalFormatting>
        <x14:conditionalFormatting xmlns:xm="http://schemas.microsoft.com/office/excel/2006/main">
          <x14:cfRule type="expression" priority="29" id="{60104EC7-7E4E-453F-8965-FF061DFD8E54}">
            <xm:f>$D$7=parametros!$J$2</xm:f>
            <x14:dxf>
              <numFmt numFmtId="2" formatCode="0.00"/>
            </x14:dxf>
          </x14:cfRule>
          <x14:cfRule type="expression" priority="28" id="{05BEDA71-03CF-464E-A677-B722292B847E}">
            <xm:f>$D$7=parametros!$J$3</xm:f>
            <x14:dxf>
              <numFmt numFmtId="14" formatCode="0.00%"/>
            </x14:dxf>
          </x14:cfRule>
          <x14:cfRule type="expression" priority="27" id="{1CB34401-20C7-4E56-8BFC-3B210895AA9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BM23:BZ24</xm:sqref>
        </x14:conditionalFormatting>
        <x14:conditionalFormatting xmlns:xm="http://schemas.microsoft.com/office/excel/2006/main">
          <x14:cfRule type="expression" priority="25" id="{5106EC3C-EDC3-4DA9-8C0A-BA01D2F4AA41}">
            <xm:f>$D$7=parametros!$J$3</xm:f>
            <x14:dxf>
              <numFmt numFmtId="14" formatCode="0.00%"/>
            </x14:dxf>
          </x14:cfRule>
          <x14:cfRule type="expression" priority="24" id="{E3E61AB7-0530-4CE2-9018-2310EDEDCF9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26" id="{33095E28-7C17-444C-8607-DBF8D41808E9}">
            <xm:f>$D$7=parametros!$J$2</xm:f>
            <x14:dxf>
              <numFmt numFmtId="2" formatCode="0.00"/>
            </x14:dxf>
          </x14:cfRule>
          <xm:sqref>BM28:BZ29</xm:sqref>
        </x14:conditionalFormatting>
        <x14:conditionalFormatting xmlns:xm="http://schemas.microsoft.com/office/excel/2006/main">
          <x14:cfRule type="expression" priority="23" id="{90DBAF1D-3233-4290-AD96-7C880AE3D858}">
            <xm:f>$D$7=parametros!$J$2</xm:f>
            <x14:dxf>
              <numFmt numFmtId="2" formatCode="0.00"/>
            </x14:dxf>
          </x14:cfRule>
          <x14:cfRule type="expression" priority="22" id="{1DB284E7-CFBD-4D73-9B7E-DE244D6AD07D}">
            <xm:f>$D$7=parametros!$J$3</xm:f>
            <x14:dxf>
              <numFmt numFmtId="14" formatCode="0.00%"/>
            </x14:dxf>
          </x14:cfRule>
          <x14:cfRule type="expression" priority="21" id="{18198AF3-6DEE-433D-BE97-AF5E32763B6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BM33:BZ34</xm:sqref>
        </x14:conditionalFormatting>
        <x14:conditionalFormatting xmlns:xm="http://schemas.microsoft.com/office/excel/2006/main">
          <x14:cfRule type="expression" priority="20" id="{3B8AF7EF-05D5-45D0-828D-256E4A195D4E}">
            <xm:f>$D$7=parametros!$J$2</xm:f>
            <x14:dxf>
              <numFmt numFmtId="2" formatCode="0.00"/>
            </x14:dxf>
          </x14:cfRule>
          <x14:cfRule type="expression" priority="19" id="{6EBDB59C-6F17-43B6-82AE-B29DFE1C2D27}">
            <xm:f>$D$7=parametros!$J$3</xm:f>
            <x14:dxf>
              <numFmt numFmtId="14" formatCode="0.00%"/>
            </x14:dxf>
          </x14:cfRule>
          <x14:cfRule type="expression" priority="18" id="{2208DE61-1F1D-4F9D-91C4-6576BE40F93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BM38:BZ39</xm:sqref>
        </x14:conditionalFormatting>
        <x14:conditionalFormatting xmlns:xm="http://schemas.microsoft.com/office/excel/2006/main">
          <x14:cfRule type="expression" priority="17" id="{D4EC11F7-601E-492B-9FF4-4423B282BFE2}">
            <xm:f>$D$7=parametros!$J$2</xm:f>
            <x14:dxf>
              <numFmt numFmtId="2" formatCode="0.00"/>
            </x14:dxf>
          </x14:cfRule>
          <x14:cfRule type="expression" priority="16" id="{D3A463D7-4512-4DA1-AD38-F3F2DA3A8D80}">
            <xm:f>$D$7=parametros!$J$3</xm:f>
            <x14:dxf>
              <numFmt numFmtId="14" formatCode="0.00%"/>
            </x14:dxf>
          </x14:cfRule>
          <x14:cfRule type="expression" priority="15" id="{C9CCBF3A-3B2D-4DC5-BB0E-90C25E2598A4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BM43:BZ44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4EB4A-30B3-401B-8978-861F4778E0FC}">
          <x14:formula1>
            <xm:f>parametros!$J$2:$J$4</xm:f>
          </x14:formula1>
          <xm:sqref>D7 D12 D17 D22 D27 D32 D37 D42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2160-8DD4-41A5-8FFA-2241C2F46AB5}">
  <dimension ref="A1:BZ100"/>
  <sheetViews>
    <sheetView showGridLines="0" zoomScale="107" zoomScaleNormal="107" workbookViewId="0">
      <selection sqref="A1:B1048576"/>
    </sheetView>
  </sheetViews>
  <sheetFormatPr defaultRowHeight="13.2" x14ac:dyDescent="0.4"/>
  <cols>
    <col min="1" max="2" width="2.21875" style="104" customWidth="1"/>
    <col min="3" max="3" width="16.6640625" style="7" customWidth="1"/>
    <col min="4" max="4" width="9.77734375" style="7" customWidth="1"/>
    <col min="5" max="18" width="12.77734375" style="7" customWidth="1"/>
    <col min="19" max="19" width="1.21875" style="7" customWidth="1"/>
    <col min="20" max="33" width="12.77734375" style="7" customWidth="1"/>
    <col min="34" max="34" width="1.21875" style="7" customWidth="1"/>
    <col min="35" max="48" width="12.77734375" style="7" customWidth="1"/>
    <col min="49" max="49" width="1.21875" style="7" customWidth="1"/>
    <col min="50" max="63" width="12.77734375" style="7" customWidth="1"/>
    <col min="64" max="64" width="1.21875" style="7" customWidth="1"/>
    <col min="65" max="78" width="12.77734375" style="7" customWidth="1"/>
    <col min="79" max="16384" width="8.88671875" style="7"/>
  </cols>
  <sheetData>
    <row r="1" spans="1:78" s="3" customFormat="1" ht="27.6" customHeight="1" x14ac:dyDescent="0.4">
      <c r="A1" s="234"/>
      <c r="B1" s="234"/>
      <c r="E1" s="4"/>
    </row>
    <row r="2" spans="1:78" s="5" customFormat="1" ht="21.6" customHeight="1" x14ac:dyDescent="0.4">
      <c r="A2" s="235"/>
      <c r="B2" s="235"/>
    </row>
    <row r="3" spans="1:78" ht="4.95" customHeight="1" x14ac:dyDescent="0.4"/>
    <row r="4" spans="1:78" ht="22.05" customHeight="1" x14ac:dyDescent="0.4">
      <c r="C4" s="76" t="s">
        <v>41</v>
      </c>
      <c r="D4" s="162" t="s">
        <v>76</v>
      </c>
      <c r="E4" s="15"/>
      <c r="F4" s="16"/>
    </row>
    <row r="5" spans="1:78" ht="4.95" customHeight="1" x14ac:dyDescent="0.4">
      <c r="D5" s="7">
        <v>1</v>
      </c>
      <c r="Q5" s="7" t="str">
        <f>_xlfn.CONCAT(Q7,D5)</f>
        <v>Parcial1</v>
      </c>
      <c r="R5" s="7" t="str">
        <f>_xlfn.CONCAT(R7,D5)</f>
        <v>Total1</v>
      </c>
      <c r="T5" s="7">
        <v>2</v>
      </c>
      <c r="AF5" s="7" t="str">
        <f>_xlfn.CONCAT(AF7,T5)</f>
        <v>Parcial2</v>
      </c>
      <c r="AG5" s="7" t="str">
        <f>_xlfn.CONCAT(AG7,T5)</f>
        <v>Total2</v>
      </c>
      <c r="AI5" s="7">
        <v>3</v>
      </c>
      <c r="AU5" s="7" t="str">
        <f>_xlfn.CONCAT(AU7,AI5)</f>
        <v>Parcial3</v>
      </c>
      <c r="AV5" s="7" t="str">
        <f>_xlfn.CONCAT(AV7,AI5)</f>
        <v>Total3</v>
      </c>
      <c r="AX5" s="7">
        <v>4</v>
      </c>
      <c r="BJ5" s="7" t="str">
        <f>_xlfn.CONCAT(BJ7,AX5)</f>
        <v>Parcial4</v>
      </c>
      <c r="BK5" s="7" t="str">
        <f>_xlfn.CONCAT(BK7,AX5)</f>
        <v>Total4</v>
      </c>
      <c r="BM5" s="7">
        <v>5</v>
      </c>
      <c r="BY5" s="7" t="str">
        <f>_xlfn.CONCAT(BY7,BM5)</f>
        <v>Parcial5</v>
      </c>
      <c r="BZ5" s="7" t="str">
        <f>_xlfn.CONCAT(BZ7,BM5)</f>
        <v>Total5</v>
      </c>
    </row>
    <row r="6" spans="1:78" ht="22.05" customHeight="1" x14ac:dyDescent="0.55000000000000004">
      <c r="D6" s="39" t="s">
        <v>64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T6" s="39" t="s">
        <v>72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I6" s="39" t="s">
        <v>73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X6" s="39" t="s">
        <v>74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M6" s="39" t="s">
        <v>75</v>
      </c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</row>
    <row r="7" spans="1:78" ht="22.05" customHeight="1" thickBot="1" x14ac:dyDescent="0.45">
      <c r="B7" s="104">
        <f>1</f>
        <v>1</v>
      </c>
      <c r="C7" s="33" t="s">
        <v>42</v>
      </c>
      <c r="D7" s="41" t="s">
        <v>45</v>
      </c>
      <c r="E7" s="34" t="s">
        <v>47</v>
      </c>
      <c r="F7" s="34" t="s">
        <v>48</v>
      </c>
      <c r="G7" s="34" t="s">
        <v>49</v>
      </c>
      <c r="H7" s="34" t="s">
        <v>50</v>
      </c>
      <c r="I7" s="34" t="s">
        <v>51</v>
      </c>
      <c r="J7" s="34" t="s">
        <v>52</v>
      </c>
      <c r="K7" s="34" t="s">
        <v>53</v>
      </c>
      <c r="L7" s="34" t="s">
        <v>54</v>
      </c>
      <c r="M7" s="34" t="s">
        <v>55</v>
      </c>
      <c r="N7" s="34" t="s">
        <v>56</v>
      </c>
      <c r="O7" s="34" t="s">
        <v>57</v>
      </c>
      <c r="P7" s="34" t="s">
        <v>58</v>
      </c>
      <c r="Q7" s="34" t="s">
        <v>59</v>
      </c>
      <c r="R7" s="35" t="s">
        <v>60</v>
      </c>
      <c r="T7" s="34" t="s">
        <v>47</v>
      </c>
      <c r="U7" s="34" t="s">
        <v>48</v>
      </c>
      <c r="V7" s="34" t="s">
        <v>49</v>
      </c>
      <c r="W7" s="34" t="s">
        <v>50</v>
      </c>
      <c r="X7" s="34" t="s">
        <v>51</v>
      </c>
      <c r="Y7" s="34" t="s">
        <v>52</v>
      </c>
      <c r="Z7" s="34" t="s">
        <v>53</v>
      </c>
      <c r="AA7" s="34" t="s">
        <v>54</v>
      </c>
      <c r="AB7" s="34" t="s">
        <v>55</v>
      </c>
      <c r="AC7" s="34" t="s">
        <v>56</v>
      </c>
      <c r="AD7" s="34" t="s">
        <v>57</v>
      </c>
      <c r="AE7" s="34" t="s">
        <v>58</v>
      </c>
      <c r="AF7" s="34" t="s">
        <v>59</v>
      </c>
      <c r="AG7" s="35" t="s">
        <v>60</v>
      </c>
      <c r="AI7" s="34" t="s">
        <v>47</v>
      </c>
      <c r="AJ7" s="34" t="s">
        <v>48</v>
      </c>
      <c r="AK7" s="34" t="s">
        <v>49</v>
      </c>
      <c r="AL7" s="34" t="s">
        <v>50</v>
      </c>
      <c r="AM7" s="34" t="s">
        <v>51</v>
      </c>
      <c r="AN7" s="34" t="s">
        <v>52</v>
      </c>
      <c r="AO7" s="34" t="s">
        <v>53</v>
      </c>
      <c r="AP7" s="34" t="s">
        <v>54</v>
      </c>
      <c r="AQ7" s="34" t="s">
        <v>55</v>
      </c>
      <c r="AR7" s="34" t="s">
        <v>56</v>
      </c>
      <c r="AS7" s="34" t="s">
        <v>57</v>
      </c>
      <c r="AT7" s="34" t="s">
        <v>58</v>
      </c>
      <c r="AU7" s="34" t="s">
        <v>59</v>
      </c>
      <c r="AV7" s="35" t="s">
        <v>60</v>
      </c>
      <c r="AX7" s="34" t="s">
        <v>47</v>
      </c>
      <c r="AY7" s="34" t="s">
        <v>48</v>
      </c>
      <c r="AZ7" s="34" t="s">
        <v>49</v>
      </c>
      <c r="BA7" s="34" t="s">
        <v>50</v>
      </c>
      <c r="BB7" s="34" t="s">
        <v>51</v>
      </c>
      <c r="BC7" s="34" t="s">
        <v>52</v>
      </c>
      <c r="BD7" s="34" t="s">
        <v>53</v>
      </c>
      <c r="BE7" s="34" t="s">
        <v>54</v>
      </c>
      <c r="BF7" s="34" t="s">
        <v>55</v>
      </c>
      <c r="BG7" s="34" t="s">
        <v>56</v>
      </c>
      <c r="BH7" s="34" t="s">
        <v>57</v>
      </c>
      <c r="BI7" s="34" t="s">
        <v>58</v>
      </c>
      <c r="BJ7" s="34" t="s">
        <v>59</v>
      </c>
      <c r="BK7" s="35" t="s">
        <v>60</v>
      </c>
      <c r="BM7" s="34" t="s">
        <v>47</v>
      </c>
      <c r="BN7" s="34" t="s">
        <v>48</v>
      </c>
      <c r="BO7" s="34" t="s">
        <v>49</v>
      </c>
      <c r="BP7" s="34" t="s">
        <v>50</v>
      </c>
      <c r="BQ7" s="34" t="s">
        <v>51</v>
      </c>
      <c r="BR7" s="34" t="s">
        <v>52</v>
      </c>
      <c r="BS7" s="34" t="s">
        <v>53</v>
      </c>
      <c r="BT7" s="34" t="s">
        <v>54</v>
      </c>
      <c r="BU7" s="34" t="s">
        <v>55</v>
      </c>
      <c r="BV7" s="34" t="s">
        <v>56</v>
      </c>
      <c r="BW7" s="34" t="s">
        <v>57</v>
      </c>
      <c r="BX7" s="34" t="s">
        <v>58</v>
      </c>
      <c r="BY7" s="34" t="s">
        <v>59</v>
      </c>
      <c r="BZ7" s="35" t="s">
        <v>60</v>
      </c>
    </row>
    <row r="8" spans="1:78" ht="22.05" customHeight="1" thickBot="1" x14ac:dyDescent="0.45">
      <c r="A8" s="104" t="str">
        <f>_xlfn.CONCAT(D8,B7)</f>
        <v>Planejado1</v>
      </c>
      <c r="C8" s="248" t="str">
        <f>C59</f>
        <v xml:space="preserve">: </v>
      </c>
      <c r="D8" s="42" t="s">
        <v>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>
        <f>SUMIF(E86:P86,"=1",E8:P8)</f>
        <v>0</v>
      </c>
      <c r="R8" s="46">
        <f>SUM(E8:P8)</f>
        <v>0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4"/>
      <c r="AF8" s="45">
        <f>SUMIF(T86:AE86,"=1",T8:AE8)</f>
        <v>0</v>
      </c>
      <c r="AG8" s="46">
        <f>SUM(T8:AE8)</f>
        <v>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4"/>
      <c r="AU8" s="45">
        <f>SUMIF(AI86:AT86,"=1",AI8:AT8)</f>
        <v>0</v>
      </c>
      <c r="AV8" s="46">
        <f>SUM(AI8:AT8)</f>
        <v>0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4"/>
      <c r="BJ8" s="45">
        <f>SUMIF(AX86:BI86,"=1",AX8:BI8)</f>
        <v>0</v>
      </c>
      <c r="BK8" s="46">
        <f>SUM(AX8:BI8)</f>
        <v>0</v>
      </c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5">
        <f>SUMIF(BM86:BX86,"=1",BM8:BX8)</f>
        <v>0</v>
      </c>
      <c r="BZ8" s="46">
        <f>SUM(BM8:BX8)</f>
        <v>0</v>
      </c>
    </row>
    <row r="9" spans="1:78" ht="22.05" customHeight="1" thickBot="1" x14ac:dyDescent="0.45">
      <c r="A9" s="104" t="str">
        <f>_xlfn.CONCAT(D9,B7)</f>
        <v>Realizado1</v>
      </c>
      <c r="C9" s="249"/>
      <c r="D9" s="47" t="s">
        <v>62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5">
        <f>SUMIF(E86:P86,"=1",E9:P9)</f>
        <v>0</v>
      </c>
      <c r="R9" s="46">
        <f>SUM(E9:P9)</f>
        <v>0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9"/>
      <c r="AF9" s="45">
        <f>SUMIF(T86:AE86,"=1",T9:AE9)</f>
        <v>0</v>
      </c>
      <c r="AG9" s="46">
        <f>SUM(T9:AE9)</f>
        <v>0</v>
      </c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9"/>
      <c r="AU9" s="45">
        <f>SUMIF(AI86:AT86,"=1",AI9:AT9)</f>
        <v>0</v>
      </c>
      <c r="AV9" s="46">
        <f>SUM(AI9:AT9)</f>
        <v>0</v>
      </c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9"/>
      <c r="BJ9" s="45">
        <f>SUMIF(AX86:BI86,"=1",AX9:BI9)</f>
        <v>0</v>
      </c>
      <c r="BK9" s="46">
        <f>SUM(AX9:BI9)</f>
        <v>0</v>
      </c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9"/>
      <c r="BY9" s="45">
        <f>SUMIF(BM86:BX86,"=1",BM9:BX9)</f>
        <v>0</v>
      </c>
      <c r="BZ9" s="46">
        <f>SUM(BM9:BX9)</f>
        <v>0</v>
      </c>
    </row>
    <row r="10" spans="1:78" ht="22.05" customHeight="1" thickBot="1" x14ac:dyDescent="0.45">
      <c r="C10" s="249"/>
      <c r="D10" s="50" t="s">
        <v>63</v>
      </c>
      <c r="E10" s="51" t="str">
        <f>IF(OR(ISERR(E9/E8-1),E9=""),"",IF($A59=parametros!$I$3,E8/E9-1,E9/E8-1))</f>
        <v/>
      </c>
      <c r="F10" s="51" t="str">
        <f>IF(OR(ISERR(F9/F8-1),F9=""),"",IF($A59=parametros!$I$3,F8/F9-1,F9/F8-1))</f>
        <v/>
      </c>
      <c r="G10" s="51" t="str">
        <f>IF(OR(ISERR(G9/G8-1),G9=""),"",IF($A59=parametros!$I$3,G8/G9-1,G9/G8-1))</f>
        <v/>
      </c>
      <c r="H10" s="51" t="str">
        <f>IF(OR(ISERR(H9/H8-1),H9=""),"",IF($A59=parametros!$I$3,H8/H9-1,H9/H8-1))</f>
        <v/>
      </c>
      <c r="I10" s="51" t="str">
        <f>IF(OR(ISERR(I9/I8-1),I9=""),"",IF($A59=parametros!$I$3,I8/I9-1,I9/I8-1))</f>
        <v/>
      </c>
      <c r="J10" s="51" t="str">
        <f>IF(OR(ISERR(J9/J8-1),J9=""),"",IF($A59=parametros!$I$3,J8/J9-1,J9/J8-1))</f>
        <v/>
      </c>
      <c r="K10" s="51" t="str">
        <f>IF(OR(ISERR(K9/K8-1),K9=""),"",IF($A59=parametros!$I$3,K8/K9-1,K9/K8-1))</f>
        <v/>
      </c>
      <c r="L10" s="51" t="str">
        <f>IF(OR(ISERR(L9/L8-1),L9=""),"",IF($A59=parametros!$I$3,L8/L9-1,L9/L8-1))</f>
        <v/>
      </c>
      <c r="M10" s="51" t="str">
        <f>IF(OR(ISERR(M9/M8-1),M9=""),"",IF($A59=parametros!$I$3,M8/M9-1,M9/M8-1))</f>
        <v/>
      </c>
      <c r="N10" s="51" t="str">
        <f>IF(OR(ISERR(N9/N8-1),N9=""),"",IF($A59=parametros!$I$3,N8/N9-1,N9/N8-1))</f>
        <v/>
      </c>
      <c r="O10" s="51" t="str">
        <f>IF(OR(ISERR(O9/O8-1),O9=""),"",IF($A59=parametros!$I$3,O8/O9-1,O9/O8-1))</f>
        <v/>
      </c>
      <c r="P10" s="51" t="str">
        <f>IF(OR(ISERR(P9/P8-1),P9=""),"",IF($A59=parametros!$I$3,P8/P9-1,P9/P8-1))</f>
        <v/>
      </c>
      <c r="Q10" s="51" t="str">
        <f>IF(OR(ISERR(Q9/Q8-1),Q9=""),"",IF($A59=parametros!$I$3,Q8/Q9-1,Q9/Q8-1))</f>
        <v/>
      </c>
      <c r="R10" s="51" t="str">
        <f>IF(OR(ISERR(R9/R8-1),R9=""),"",IF($A59=parametros!$I$3,R8/R9-1,R9/R8-1))</f>
        <v/>
      </c>
      <c r="T10" s="51" t="str">
        <f>IF(OR(ISERR(T9/T8-1),T9=""),"",IF($A59=parametros!$I$3,T8/T9-1,T9/T8-1))</f>
        <v/>
      </c>
      <c r="U10" s="51" t="str">
        <f>IF(OR(ISERR(U9/U8-1),U9=""),"",IF($A59=parametros!$I$3,U8/U9-1,U9/U8-1))</f>
        <v/>
      </c>
      <c r="V10" s="51" t="str">
        <f>IF(OR(ISERR(V9/V8-1),V9=""),"",IF($A59=parametros!$I$3,V8/V9-1,V9/V8-1))</f>
        <v/>
      </c>
      <c r="W10" s="51" t="str">
        <f>IF(OR(ISERR(W9/W8-1),W9=""),"",IF($A59=parametros!$I$3,W8/W9-1,W9/W8-1))</f>
        <v/>
      </c>
      <c r="X10" s="51" t="str">
        <f>IF(OR(ISERR(X9/X8-1),X9=""),"",IF($A59=parametros!$I$3,X8/X9-1,X9/X8-1))</f>
        <v/>
      </c>
      <c r="Y10" s="51" t="str">
        <f>IF(OR(ISERR(Y9/Y8-1),Y9=""),"",IF($A59=parametros!$I$3,Y8/Y9-1,Y9/Y8-1))</f>
        <v/>
      </c>
      <c r="Z10" s="51" t="str">
        <f>IF(OR(ISERR(Z9/Z8-1),Z9=""),"",IF($A59=parametros!$I$3,Z8/Z9-1,Z9/Z8-1))</f>
        <v/>
      </c>
      <c r="AA10" s="51" t="str">
        <f>IF(OR(ISERR(AA9/AA8-1),AA9=""),"",IF($A59=parametros!$I$3,AA8/AA9-1,AA9/AA8-1))</f>
        <v/>
      </c>
      <c r="AB10" s="51" t="str">
        <f>IF(OR(ISERR(AB9/AB8-1),AB9=""),"",IF($A59=parametros!$I$3,AB8/AB9-1,AB9/AB8-1))</f>
        <v/>
      </c>
      <c r="AC10" s="51" t="str">
        <f>IF(OR(ISERR(AC9/AC8-1),AC9=""),"",IF($A59=parametros!$I$3,AC8/AC9-1,AC9/AC8-1))</f>
        <v/>
      </c>
      <c r="AD10" s="51" t="str">
        <f>IF(OR(ISERR(AD9/AD8-1),AD9=""),"",IF($A59=parametros!$I$3,AD8/AD9-1,AD9/AD8-1))</f>
        <v/>
      </c>
      <c r="AE10" s="51" t="str">
        <f>IF(OR(ISERR(AE9/AE8-1),AE9=""),"",IF($A59=parametros!$I$3,AE8/AE9-1,AE9/AE8-1))</f>
        <v/>
      </c>
      <c r="AF10" s="51" t="str">
        <f>IF(OR(ISERR(AF9/AF8-1),AF9=""),"",IF($A59=parametros!$I$3,AF8/AF9-1,AF9/AF8-1))</f>
        <v/>
      </c>
      <c r="AG10" s="51" t="str">
        <f>IF(OR(ISERR(AG9/AG8-1),AG9=""),"",IF($A59=parametros!$I$3,AG8/AG9-1,AG9/AG8-1))</f>
        <v/>
      </c>
      <c r="AI10" s="51" t="str">
        <f>IF(OR(ISERR(AI9/AI8-1),AI9=""),"",IF($A59=parametros!$I$3,AI8/AI9-1,AI9/AI8-1))</f>
        <v/>
      </c>
      <c r="AJ10" s="51" t="str">
        <f>IF(OR(ISERR(AJ9/AJ8-1),AJ9=""),"",IF($A59=parametros!$I$3,AJ8/AJ9-1,AJ9/AJ8-1))</f>
        <v/>
      </c>
      <c r="AK10" s="51" t="str">
        <f>IF(OR(ISERR(AK9/AK8-1),AK9=""),"",IF($A59=parametros!$I$3,AK8/AK9-1,AK9/AK8-1))</f>
        <v/>
      </c>
      <c r="AL10" s="51" t="str">
        <f>IF(OR(ISERR(AL9/AL8-1),AL9=""),"",IF($A59=parametros!$I$3,AL8/AL9-1,AL9/AL8-1))</f>
        <v/>
      </c>
      <c r="AM10" s="51" t="str">
        <f>IF(OR(ISERR(AM9/AM8-1),AM9=""),"",IF($A59=parametros!$I$3,AM8/AM9-1,AM9/AM8-1))</f>
        <v/>
      </c>
      <c r="AN10" s="51" t="str">
        <f>IF(OR(ISERR(AN9/AN8-1),AN9=""),"",IF($A59=parametros!$I$3,AN8/AN9-1,AN9/AN8-1))</f>
        <v/>
      </c>
      <c r="AO10" s="51" t="str">
        <f>IF(OR(ISERR(AO9/AO8-1),AO9=""),"",IF($A59=parametros!$I$3,AO8/AO9-1,AO9/AO8-1))</f>
        <v/>
      </c>
      <c r="AP10" s="51" t="str">
        <f>IF(OR(ISERR(AP9/AP8-1),AP9=""),"",IF($A59=parametros!$I$3,AP8/AP9-1,AP9/AP8-1))</f>
        <v/>
      </c>
      <c r="AQ10" s="51" t="str">
        <f>IF(OR(ISERR(AQ9/AQ8-1),AQ9=""),"",IF($A59=parametros!$I$3,AQ8/AQ9-1,AQ9/AQ8-1))</f>
        <v/>
      </c>
      <c r="AR10" s="51" t="str">
        <f>IF(OR(ISERR(AR9/AR8-1),AR9=""),"",IF($A59=parametros!$I$3,AR8/AR9-1,AR9/AR8-1))</f>
        <v/>
      </c>
      <c r="AS10" s="51" t="str">
        <f>IF(OR(ISERR(AS9/AS8-1),AS9=""),"",IF($A59=parametros!$I$3,AS8/AS9-1,AS9/AS8-1))</f>
        <v/>
      </c>
      <c r="AT10" s="51" t="str">
        <f>IF(OR(ISERR(AT9/AT8-1),AT9=""),"",IF($A59=parametros!$I$3,AT8/AT9-1,AT9/AT8-1))</f>
        <v/>
      </c>
      <c r="AU10" s="51" t="str">
        <f>IF(OR(ISERR(AU9/AU8-1),AU9=""),"",IF($A59=parametros!$I$3,AU8/AU9-1,AU9/AU8-1))</f>
        <v/>
      </c>
      <c r="AV10" s="51" t="str">
        <f>IF(OR(ISERR(AV9/AV8-1),AV9=""),"",IF($A59=parametros!$I$3,AV8/AV9-1,AV9/AV8-1))</f>
        <v/>
      </c>
      <c r="AX10" s="51" t="str">
        <f>IF(OR(ISERR(AX9/AX8-1),AX9=""),"",IF($A59=parametros!$I$3,AX8/AX9-1,AX9/AX8-1))</f>
        <v/>
      </c>
      <c r="AY10" s="51" t="str">
        <f>IF(OR(ISERR(AY9/AY8-1),AY9=""),"",IF($A59=parametros!$I$3,AY8/AY9-1,AY9/AY8-1))</f>
        <v/>
      </c>
      <c r="AZ10" s="51" t="str">
        <f>IF(OR(ISERR(AZ9/AZ8-1),AZ9=""),"",IF($A59=parametros!$I$3,AZ8/AZ9-1,AZ9/AZ8-1))</f>
        <v/>
      </c>
      <c r="BA10" s="51" t="str">
        <f>IF(OR(ISERR(BA9/BA8-1),BA9=""),"",IF($A59=parametros!$I$3,BA8/BA9-1,BA9/BA8-1))</f>
        <v/>
      </c>
      <c r="BB10" s="51" t="str">
        <f>IF(OR(ISERR(BB9/BB8-1),BB9=""),"",IF($A59=parametros!$I$3,BB8/BB9-1,BB9/BB8-1))</f>
        <v/>
      </c>
      <c r="BC10" s="51" t="str">
        <f>IF(OR(ISERR(BC9/BC8-1),BC9=""),"",IF($A59=parametros!$I$3,BC8/BC9-1,BC9/BC8-1))</f>
        <v/>
      </c>
      <c r="BD10" s="51" t="str">
        <f>IF(OR(ISERR(BD9/BD8-1),BD9=""),"",IF($A59=parametros!$I$3,BD8/BD9-1,BD9/BD8-1))</f>
        <v/>
      </c>
      <c r="BE10" s="51" t="str">
        <f>IF(OR(ISERR(BE9/BE8-1),BE9=""),"",IF($A59=parametros!$I$3,BE8/BE9-1,BE9/BE8-1))</f>
        <v/>
      </c>
      <c r="BF10" s="51" t="str">
        <f>IF(OR(ISERR(BF9/BF8-1),BF9=""),"",IF($A59=parametros!$I$3,BF8/BF9-1,BF9/BF8-1))</f>
        <v/>
      </c>
      <c r="BG10" s="51" t="str">
        <f>IF(OR(ISERR(BG9/BG8-1),BG9=""),"",IF($A59=parametros!$I$3,BG8/BG9-1,BG9/BG8-1))</f>
        <v/>
      </c>
      <c r="BH10" s="51" t="str">
        <f>IF(OR(ISERR(BH9/BH8-1),BH9=""),"",IF($A59=parametros!$I$3,BH8/BH9-1,BH9/BH8-1))</f>
        <v/>
      </c>
      <c r="BI10" s="51" t="str">
        <f>IF(OR(ISERR(BI9/BI8-1),BI9=""),"",IF($A59=parametros!$I$3,BI8/BI9-1,BI9/BI8-1))</f>
        <v/>
      </c>
      <c r="BJ10" s="51" t="str">
        <f>IF(OR(ISERR(BJ9/BJ8-1),BJ9=""),"",IF($A59=parametros!$I$3,BJ8/BJ9-1,BJ9/BJ8-1))</f>
        <v/>
      </c>
      <c r="BK10" s="51" t="str">
        <f>IF(OR(ISERR(BK9/BK8-1),BK9=""),"",IF($A59=parametros!$I$3,BK8/BK9-1,BK9/BK8-1))</f>
        <v/>
      </c>
      <c r="BM10" s="51" t="str">
        <f>IF(OR(ISERR(BM9/BM8-1),BM9=""),"",IF($A59=parametros!$I$3,BM8/BM9-1,BM9/BM8-1))</f>
        <v/>
      </c>
      <c r="BN10" s="51" t="str">
        <f>IF(OR(ISERR(BN9/BN8-1),BN9=""),"",IF($A59=parametros!$I$3,BN8/BN9-1,BN9/BN8-1))</f>
        <v/>
      </c>
      <c r="BO10" s="51" t="str">
        <f>IF(OR(ISERR(BO9/BO8-1),BO9=""),"",IF($A59=parametros!$I$3,BO8/BO9-1,BO9/BO8-1))</f>
        <v/>
      </c>
      <c r="BP10" s="51" t="str">
        <f>IF(OR(ISERR(BP9/BP8-1),BP9=""),"",IF($A59=parametros!$I$3,BP8/BP9-1,BP9/BP8-1))</f>
        <v/>
      </c>
      <c r="BQ10" s="51" t="str">
        <f>IF(OR(ISERR(BQ9/BQ8-1),BQ9=""),"",IF($A59=parametros!$I$3,BQ8/BQ9-1,BQ9/BQ8-1))</f>
        <v/>
      </c>
      <c r="BR10" s="51" t="str">
        <f>IF(OR(ISERR(BR9/BR8-1),BR9=""),"",IF($A59=parametros!$I$3,BR8/BR9-1,BR9/BR8-1))</f>
        <v/>
      </c>
      <c r="BS10" s="51" t="str">
        <f>IF(OR(ISERR(BS9/BS8-1),BS9=""),"",IF($A59=parametros!$I$3,BS8/BS9-1,BS9/BS8-1))</f>
        <v/>
      </c>
      <c r="BT10" s="51" t="str">
        <f>IF(OR(ISERR(BT9/BT8-1),BT9=""),"",IF($A59=parametros!$I$3,BT8/BT9-1,BT9/BT8-1))</f>
        <v/>
      </c>
      <c r="BU10" s="51" t="str">
        <f>IF(OR(ISERR(BU9/BU8-1),BU9=""),"",IF($A59=parametros!$I$3,BU8/BU9-1,BU9/BU8-1))</f>
        <v/>
      </c>
      <c r="BV10" s="51" t="str">
        <f>IF(OR(ISERR(BV9/BV8-1),BV9=""),"",IF($A59=parametros!$I$3,BV8/BV9-1,BV9/BV8-1))</f>
        <v/>
      </c>
      <c r="BW10" s="51" t="str">
        <f>IF(OR(ISERR(BW9/BW8-1),BW9=""),"",IF($A59=parametros!$I$3,BW8/BW9-1,BW9/BW8-1))</f>
        <v/>
      </c>
      <c r="BX10" s="51" t="str">
        <f>IF(OR(ISERR(BX9/BX8-1),BX9=""),"",IF($A59=parametros!$I$3,BX8/BX9-1,BX9/BX8-1))</f>
        <v/>
      </c>
      <c r="BY10" s="51" t="str">
        <f>IF(OR(ISERR(BY9/BY8-1),BY9=""),"",IF($A59=parametros!$I$3,BY8/BY9-1,BY9/BY8-1))</f>
        <v/>
      </c>
      <c r="BZ10" s="51" t="str">
        <f>IF(OR(ISERR(BZ9/BZ8-1),BZ9=""),"",IF($A59=parametros!$I$3,BZ8/BZ9-1,BZ9/BZ8-1))</f>
        <v/>
      </c>
    </row>
    <row r="11" spans="1:78" ht="4.95" customHeight="1" x14ac:dyDescent="0.4"/>
    <row r="12" spans="1:78" ht="22.05" customHeight="1" thickBot="1" x14ac:dyDescent="0.45">
      <c r="B12" s="104">
        <f>2</f>
        <v>2</v>
      </c>
      <c r="C12" s="33" t="s">
        <v>65</v>
      </c>
      <c r="D12" s="41" t="s">
        <v>44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  <c r="L12" s="34" t="s">
        <v>54</v>
      </c>
      <c r="M12" s="34" t="s">
        <v>55</v>
      </c>
      <c r="N12" s="34" t="s">
        <v>56</v>
      </c>
      <c r="O12" s="34" t="s">
        <v>57</v>
      </c>
      <c r="P12" s="34" t="s">
        <v>58</v>
      </c>
      <c r="Q12" s="34" t="s">
        <v>59</v>
      </c>
      <c r="R12" s="35" t="s">
        <v>60</v>
      </c>
      <c r="T12" s="34" t="s">
        <v>47</v>
      </c>
      <c r="U12" s="34" t="s">
        <v>48</v>
      </c>
      <c r="V12" s="34" t="s">
        <v>49</v>
      </c>
      <c r="W12" s="34" t="s">
        <v>50</v>
      </c>
      <c r="X12" s="34" t="s">
        <v>51</v>
      </c>
      <c r="Y12" s="34" t="s">
        <v>52</v>
      </c>
      <c r="Z12" s="34" t="s">
        <v>53</v>
      </c>
      <c r="AA12" s="34" t="s">
        <v>54</v>
      </c>
      <c r="AB12" s="34" t="s">
        <v>55</v>
      </c>
      <c r="AC12" s="34" t="s">
        <v>56</v>
      </c>
      <c r="AD12" s="34" t="s">
        <v>57</v>
      </c>
      <c r="AE12" s="34" t="s">
        <v>58</v>
      </c>
      <c r="AF12" s="34" t="s">
        <v>59</v>
      </c>
      <c r="AG12" s="35" t="s">
        <v>60</v>
      </c>
      <c r="AI12" s="34" t="s">
        <v>47</v>
      </c>
      <c r="AJ12" s="34" t="s">
        <v>48</v>
      </c>
      <c r="AK12" s="34" t="s">
        <v>49</v>
      </c>
      <c r="AL12" s="34" t="s">
        <v>50</v>
      </c>
      <c r="AM12" s="34" t="s">
        <v>51</v>
      </c>
      <c r="AN12" s="34" t="s">
        <v>52</v>
      </c>
      <c r="AO12" s="34" t="s">
        <v>53</v>
      </c>
      <c r="AP12" s="34" t="s">
        <v>54</v>
      </c>
      <c r="AQ12" s="34" t="s">
        <v>55</v>
      </c>
      <c r="AR12" s="34" t="s">
        <v>56</v>
      </c>
      <c r="AS12" s="34" t="s">
        <v>57</v>
      </c>
      <c r="AT12" s="34" t="s">
        <v>58</v>
      </c>
      <c r="AU12" s="34" t="s">
        <v>59</v>
      </c>
      <c r="AV12" s="35" t="s">
        <v>60</v>
      </c>
      <c r="AX12" s="34" t="s">
        <v>47</v>
      </c>
      <c r="AY12" s="34" t="s">
        <v>48</v>
      </c>
      <c r="AZ12" s="34" t="s">
        <v>49</v>
      </c>
      <c r="BA12" s="34" t="s">
        <v>50</v>
      </c>
      <c r="BB12" s="34" t="s">
        <v>51</v>
      </c>
      <c r="BC12" s="34" t="s">
        <v>52</v>
      </c>
      <c r="BD12" s="34" t="s">
        <v>53</v>
      </c>
      <c r="BE12" s="34" t="s">
        <v>54</v>
      </c>
      <c r="BF12" s="34" t="s">
        <v>55</v>
      </c>
      <c r="BG12" s="34" t="s">
        <v>56</v>
      </c>
      <c r="BH12" s="34" t="s">
        <v>57</v>
      </c>
      <c r="BI12" s="34" t="s">
        <v>58</v>
      </c>
      <c r="BJ12" s="34" t="s">
        <v>59</v>
      </c>
      <c r="BK12" s="35" t="s">
        <v>60</v>
      </c>
      <c r="BM12" s="34" t="s">
        <v>47</v>
      </c>
      <c r="BN12" s="34" t="s">
        <v>48</v>
      </c>
      <c r="BO12" s="34" t="s">
        <v>49</v>
      </c>
      <c r="BP12" s="34" t="s">
        <v>50</v>
      </c>
      <c r="BQ12" s="34" t="s">
        <v>51</v>
      </c>
      <c r="BR12" s="34" t="s">
        <v>52</v>
      </c>
      <c r="BS12" s="34" t="s">
        <v>53</v>
      </c>
      <c r="BT12" s="34" t="s">
        <v>54</v>
      </c>
      <c r="BU12" s="34" t="s">
        <v>55</v>
      </c>
      <c r="BV12" s="34" t="s">
        <v>56</v>
      </c>
      <c r="BW12" s="34" t="s">
        <v>57</v>
      </c>
      <c r="BX12" s="34" t="s">
        <v>58</v>
      </c>
      <c r="BY12" s="34" t="s">
        <v>59</v>
      </c>
      <c r="BZ12" s="35" t="s">
        <v>60</v>
      </c>
    </row>
    <row r="13" spans="1:78" ht="22.05" customHeight="1" thickBot="1" x14ac:dyDescent="0.45">
      <c r="A13" s="104" t="str">
        <f>_xlfn.CONCAT(D13,B12)</f>
        <v>Planejado2</v>
      </c>
      <c r="C13" s="248" t="str">
        <f>C60</f>
        <v xml:space="preserve">: </v>
      </c>
      <c r="D13" s="37" t="s">
        <v>61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/>
      <c r="Q13" s="45">
        <f>SUMIF(E88:P88,"=1",E13:P13)</f>
        <v>0</v>
      </c>
      <c r="R13" s="46">
        <f>SUM(E13:P13)</f>
        <v>0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/>
      <c r="AF13" s="45">
        <f>SUMIF(T88:AE88,"=1",T13:AE13)</f>
        <v>0</v>
      </c>
      <c r="AG13" s="46">
        <f>SUM(T13:AE13)</f>
        <v>0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4"/>
      <c r="AU13" s="45">
        <f>SUMIF(AI88:AT88,"=1",AI13:AT13)</f>
        <v>0</v>
      </c>
      <c r="AV13" s="46">
        <f>SUM(AI13:AT13)</f>
        <v>0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4"/>
      <c r="BJ13" s="45">
        <f>SUMIF(AX88:BI88,"=1",AX13:BI13)</f>
        <v>0</v>
      </c>
      <c r="BK13" s="46">
        <f>SUM(AX13:BI13)</f>
        <v>0</v>
      </c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4"/>
      <c r="BY13" s="45">
        <f>SUMIF(BM88:BX88,"=1",BM13:BX13)</f>
        <v>0</v>
      </c>
      <c r="BZ13" s="46">
        <f>SUM(BM13:BX13)</f>
        <v>0</v>
      </c>
    </row>
    <row r="14" spans="1:78" ht="22.05" customHeight="1" thickBot="1" x14ac:dyDescent="0.45">
      <c r="A14" s="104" t="str">
        <f>_xlfn.CONCAT(D14,B12)</f>
        <v>Realizado2</v>
      </c>
      <c r="C14" s="249"/>
      <c r="D14" s="38" t="s">
        <v>62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5">
        <f>SUMIF(E88:P88,"=1",E14:P14)</f>
        <v>0</v>
      </c>
      <c r="R14" s="46">
        <f>SUM(E14:P14)</f>
        <v>0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5">
        <f>SUMIF(T88:AE88,"=1",T14:AE14)</f>
        <v>0</v>
      </c>
      <c r="AG14" s="46">
        <f>SUM(T14:AE14)</f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  <c r="AU14" s="45">
        <f>SUMIF(AI88:AT88,"=1",AI14:AT14)</f>
        <v>0</v>
      </c>
      <c r="AV14" s="46">
        <f>SUM(AI14:AT14)</f>
        <v>0</v>
      </c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9"/>
      <c r="BJ14" s="45">
        <f>SUMIF(AX88:BI88,"=1",AX14:BI14)</f>
        <v>0</v>
      </c>
      <c r="BK14" s="46">
        <f>SUM(AX14:BI14)</f>
        <v>0</v>
      </c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9"/>
      <c r="BY14" s="45">
        <f>SUMIF(BM88:BX88,"=1",BM14:BX14)</f>
        <v>0</v>
      </c>
      <c r="BZ14" s="46">
        <f>SUM(BM14:BX14)</f>
        <v>0</v>
      </c>
    </row>
    <row r="15" spans="1:78" ht="22.05" customHeight="1" thickBot="1" x14ac:dyDescent="0.45">
      <c r="C15" s="249"/>
      <c r="D15" s="36" t="s">
        <v>63</v>
      </c>
      <c r="E15" s="51" t="str">
        <f>IF(OR(ISERR(E14/E13-1),E14=""),"",IF($A64=parametros!$I$3,E13/E14-1,E14/E13-1))</f>
        <v/>
      </c>
      <c r="F15" s="51" t="str">
        <f>IF(OR(ISERR(F14/F13-1),F14=""),"",IF($A64=parametros!$I$3,F13/F14-1,F14/F13-1))</f>
        <v/>
      </c>
      <c r="G15" s="51" t="str">
        <f>IF(OR(ISERR(G14/G13-1),G14=""),"",IF($A64=parametros!$I$3,G13/G14-1,G14/G13-1))</f>
        <v/>
      </c>
      <c r="H15" s="51" t="str">
        <f>IF(OR(ISERR(H14/H13-1),H14=""),"",IF($A64=parametros!$I$3,H13/H14-1,H14/H13-1))</f>
        <v/>
      </c>
      <c r="I15" s="51" t="str">
        <f>IF(OR(ISERR(I14/I13-1),I14=""),"",IF($A64=parametros!$I$3,I13/I14-1,I14/I13-1))</f>
        <v/>
      </c>
      <c r="J15" s="51" t="str">
        <f>IF(OR(ISERR(J14/J13-1),J14=""),"",IF($A64=parametros!$I$3,J13/J14-1,J14/J13-1))</f>
        <v/>
      </c>
      <c r="K15" s="51" t="str">
        <f>IF(OR(ISERR(K14/K13-1),K14=""),"",IF($A64=parametros!$I$3,K13/K14-1,K14/K13-1))</f>
        <v/>
      </c>
      <c r="L15" s="51" t="str">
        <f>IF(OR(ISERR(L14/L13-1),L14=""),"",IF($A64=parametros!$I$3,L13/L14-1,L14/L13-1))</f>
        <v/>
      </c>
      <c r="M15" s="51" t="str">
        <f>IF(OR(ISERR(M14/M13-1),M14=""),"",IF($A64=parametros!$I$3,M13/M14-1,M14/M13-1))</f>
        <v/>
      </c>
      <c r="N15" s="51" t="str">
        <f>IF(OR(ISERR(N14/N13-1),N14=""),"",IF($A64=parametros!$I$3,N13/N14-1,N14/N13-1))</f>
        <v/>
      </c>
      <c r="O15" s="51" t="str">
        <f>IF(OR(ISERR(O14/O13-1),O14=""),"",IF($A64=parametros!$I$3,O13/O14-1,O14/O13-1))</f>
        <v/>
      </c>
      <c r="P15" s="51" t="str">
        <f>IF(OR(ISERR(P14/P13-1),P14=""),"",IF($A64=parametros!$I$3,P13/P14-1,P14/P13-1))</f>
        <v/>
      </c>
      <c r="Q15" s="51" t="str">
        <f>IF(OR(ISERR(Q14/Q13-1),Q14=""),"",IF($A64=parametros!$I$3,Q13/Q14-1,Q14/Q13-1))</f>
        <v/>
      </c>
      <c r="R15" s="51" t="str">
        <f>IF(OR(ISERR(R14/R13-1),R14=""),"",IF($A64=parametros!$I$3,R13/R14-1,R14/R13-1))</f>
        <v/>
      </c>
      <c r="T15" s="51" t="str">
        <f>IF(OR(ISERR(T14/T13-1),T14=""),"",IF($A64=parametros!$I$3,T13/T14-1,T14/T13-1))</f>
        <v/>
      </c>
      <c r="U15" s="51" t="str">
        <f>IF(OR(ISERR(U14/U13-1),U14=""),"",IF($A64=parametros!$I$3,U13/U14-1,U14/U13-1))</f>
        <v/>
      </c>
      <c r="V15" s="51" t="str">
        <f>IF(OR(ISERR(V14/V13-1),V14=""),"",IF($A64=parametros!$I$3,V13/V14-1,V14/V13-1))</f>
        <v/>
      </c>
      <c r="W15" s="51" t="str">
        <f>IF(OR(ISERR(W14/W13-1),W14=""),"",IF($A64=parametros!$I$3,W13/W14-1,W14/W13-1))</f>
        <v/>
      </c>
      <c r="X15" s="51" t="str">
        <f>IF(OR(ISERR(X14/X13-1),X14=""),"",IF($A64=parametros!$I$3,X13/X14-1,X14/X13-1))</f>
        <v/>
      </c>
      <c r="Y15" s="51" t="str">
        <f>IF(OR(ISERR(Y14/Y13-1),Y14=""),"",IF($A64=parametros!$I$3,Y13/Y14-1,Y14/Y13-1))</f>
        <v/>
      </c>
      <c r="Z15" s="51" t="str">
        <f>IF(OR(ISERR(Z14/Z13-1),Z14=""),"",IF($A64=parametros!$I$3,Z13/Z14-1,Z14/Z13-1))</f>
        <v/>
      </c>
      <c r="AA15" s="51" t="str">
        <f>IF(OR(ISERR(AA14/AA13-1),AA14=""),"",IF($A64=parametros!$I$3,AA13/AA14-1,AA14/AA13-1))</f>
        <v/>
      </c>
      <c r="AB15" s="51" t="str">
        <f>IF(OR(ISERR(AB14/AB13-1),AB14=""),"",IF($A64=parametros!$I$3,AB13/AB14-1,AB14/AB13-1))</f>
        <v/>
      </c>
      <c r="AC15" s="51" t="str">
        <f>IF(OR(ISERR(AC14/AC13-1),AC14=""),"",IF($A64=parametros!$I$3,AC13/AC14-1,AC14/AC13-1))</f>
        <v/>
      </c>
      <c r="AD15" s="51" t="str">
        <f>IF(OR(ISERR(AD14/AD13-1),AD14=""),"",IF($A64=parametros!$I$3,AD13/AD14-1,AD14/AD13-1))</f>
        <v/>
      </c>
      <c r="AE15" s="51" t="str">
        <f>IF(OR(ISERR(AE14/AE13-1),AE14=""),"",IF($A64=parametros!$I$3,AE13/AE14-1,AE14/AE13-1))</f>
        <v/>
      </c>
      <c r="AF15" s="51" t="str">
        <f>IF(OR(ISERR(AF14/AF13-1),AF14=""),"",IF($A64=parametros!$I$3,AF13/AF14-1,AF14/AF13-1))</f>
        <v/>
      </c>
      <c r="AG15" s="51" t="str">
        <f>IF(OR(ISERR(AG14/AG13-1),AG14=""),"",IF($A64=parametros!$I$3,AG13/AG14-1,AG14/AG13-1))</f>
        <v/>
      </c>
      <c r="AI15" s="51" t="str">
        <f>IF(OR(ISERR(AI14/AI13-1),AI14=""),"",IF($A64=parametros!$I$3,AI13/AI14-1,AI14/AI13-1))</f>
        <v/>
      </c>
      <c r="AJ15" s="51" t="str">
        <f>IF(OR(ISERR(AJ14/AJ13-1),AJ14=""),"",IF($A64=parametros!$I$3,AJ13/AJ14-1,AJ14/AJ13-1))</f>
        <v/>
      </c>
      <c r="AK15" s="51" t="str">
        <f>IF(OR(ISERR(AK14/AK13-1),AK14=""),"",IF($A64=parametros!$I$3,AK13/AK14-1,AK14/AK13-1))</f>
        <v/>
      </c>
      <c r="AL15" s="51" t="str">
        <f>IF(OR(ISERR(AL14/AL13-1),AL14=""),"",IF($A64=parametros!$I$3,AL13/AL14-1,AL14/AL13-1))</f>
        <v/>
      </c>
      <c r="AM15" s="51" t="str">
        <f>IF(OR(ISERR(AM14/AM13-1),AM14=""),"",IF($A64=parametros!$I$3,AM13/AM14-1,AM14/AM13-1))</f>
        <v/>
      </c>
      <c r="AN15" s="51" t="str">
        <f>IF(OR(ISERR(AN14/AN13-1),AN14=""),"",IF($A64=parametros!$I$3,AN13/AN14-1,AN14/AN13-1))</f>
        <v/>
      </c>
      <c r="AO15" s="51" t="str">
        <f>IF(OR(ISERR(AO14/AO13-1),AO14=""),"",IF($A64=parametros!$I$3,AO13/AO14-1,AO14/AO13-1))</f>
        <v/>
      </c>
      <c r="AP15" s="51" t="str">
        <f>IF(OR(ISERR(AP14/AP13-1),AP14=""),"",IF($A64=parametros!$I$3,AP13/AP14-1,AP14/AP13-1))</f>
        <v/>
      </c>
      <c r="AQ15" s="51" t="str">
        <f>IF(OR(ISERR(AQ14/AQ13-1),AQ14=""),"",IF($A64=parametros!$I$3,AQ13/AQ14-1,AQ14/AQ13-1))</f>
        <v/>
      </c>
      <c r="AR15" s="51" t="str">
        <f>IF(OR(ISERR(AR14/AR13-1),AR14=""),"",IF($A64=parametros!$I$3,AR13/AR14-1,AR14/AR13-1))</f>
        <v/>
      </c>
      <c r="AS15" s="51" t="str">
        <f>IF(OR(ISERR(AS14/AS13-1),AS14=""),"",IF($A64=parametros!$I$3,AS13/AS14-1,AS14/AS13-1))</f>
        <v/>
      </c>
      <c r="AT15" s="51" t="str">
        <f>IF(OR(ISERR(AT14/AT13-1),AT14=""),"",IF($A64=parametros!$I$3,AT13/AT14-1,AT14/AT13-1))</f>
        <v/>
      </c>
      <c r="AU15" s="51" t="str">
        <f>IF(OR(ISERR(AU14/AU13-1),AU14=""),"",IF($A64=parametros!$I$3,AU13/AU14-1,AU14/AU13-1))</f>
        <v/>
      </c>
      <c r="AV15" s="51" t="str">
        <f>IF(OR(ISERR(AV14/AV13-1),AV14=""),"",IF($A64=parametros!$I$3,AV13/AV14-1,AV14/AV13-1))</f>
        <v/>
      </c>
      <c r="AX15" s="51" t="str">
        <f>IF(OR(ISERR(AX14/AX13-1),AX14=""),"",IF($A64=parametros!$I$3,AX13/AX14-1,AX14/AX13-1))</f>
        <v/>
      </c>
      <c r="AY15" s="51" t="str">
        <f>IF(OR(ISERR(AY14/AY13-1),AY14=""),"",IF($A64=parametros!$I$3,AY13/AY14-1,AY14/AY13-1))</f>
        <v/>
      </c>
      <c r="AZ15" s="51" t="str">
        <f>IF(OR(ISERR(AZ14/AZ13-1),AZ14=""),"",IF($A64=parametros!$I$3,AZ13/AZ14-1,AZ14/AZ13-1))</f>
        <v/>
      </c>
      <c r="BA15" s="51" t="str">
        <f>IF(OR(ISERR(BA14/BA13-1),BA14=""),"",IF($A64=parametros!$I$3,BA13/BA14-1,BA14/BA13-1))</f>
        <v/>
      </c>
      <c r="BB15" s="51" t="str">
        <f>IF(OR(ISERR(BB14/BB13-1),BB14=""),"",IF($A64=parametros!$I$3,BB13/BB14-1,BB14/BB13-1))</f>
        <v/>
      </c>
      <c r="BC15" s="51" t="str">
        <f>IF(OR(ISERR(BC14/BC13-1),BC14=""),"",IF($A64=parametros!$I$3,BC13/BC14-1,BC14/BC13-1))</f>
        <v/>
      </c>
      <c r="BD15" s="51" t="str">
        <f>IF(OR(ISERR(BD14/BD13-1),BD14=""),"",IF($A64=parametros!$I$3,BD13/BD14-1,BD14/BD13-1))</f>
        <v/>
      </c>
      <c r="BE15" s="51" t="str">
        <f>IF(OR(ISERR(BE14/BE13-1),BE14=""),"",IF($A64=parametros!$I$3,BE13/BE14-1,BE14/BE13-1))</f>
        <v/>
      </c>
      <c r="BF15" s="51" t="str">
        <f>IF(OR(ISERR(BF14/BF13-1),BF14=""),"",IF($A64=parametros!$I$3,BF13/BF14-1,BF14/BF13-1))</f>
        <v/>
      </c>
      <c r="BG15" s="51" t="str">
        <f>IF(OR(ISERR(BG14/BG13-1),BG14=""),"",IF($A64=parametros!$I$3,BG13/BG14-1,BG14/BG13-1))</f>
        <v/>
      </c>
      <c r="BH15" s="51" t="str">
        <f>IF(OR(ISERR(BH14/BH13-1),BH14=""),"",IF($A64=parametros!$I$3,BH13/BH14-1,BH14/BH13-1))</f>
        <v/>
      </c>
      <c r="BI15" s="51" t="str">
        <f>IF(OR(ISERR(BI14/BI13-1),BI14=""),"",IF($A64=parametros!$I$3,BI13/BI14-1,BI14/BI13-1))</f>
        <v/>
      </c>
      <c r="BJ15" s="51" t="str">
        <f>IF(OR(ISERR(BJ14/BJ13-1),BJ14=""),"",IF($A64=parametros!$I$3,BJ13/BJ14-1,BJ14/BJ13-1))</f>
        <v/>
      </c>
      <c r="BK15" s="51" t="str">
        <f>IF(OR(ISERR(BK14/BK13-1),BK14=""),"",IF($A64=parametros!$I$3,BK13/BK14-1,BK14/BK13-1))</f>
        <v/>
      </c>
      <c r="BM15" s="51" t="str">
        <f>IF(OR(ISERR(BM14/BM13-1),BM14=""),"",IF($A64=parametros!$I$3,BM13/BM14-1,BM14/BM13-1))</f>
        <v/>
      </c>
      <c r="BN15" s="51" t="str">
        <f>IF(OR(ISERR(BN14/BN13-1),BN14=""),"",IF($A64=parametros!$I$3,BN13/BN14-1,BN14/BN13-1))</f>
        <v/>
      </c>
      <c r="BO15" s="51" t="str">
        <f>IF(OR(ISERR(BO14/BO13-1),BO14=""),"",IF($A64=parametros!$I$3,BO13/BO14-1,BO14/BO13-1))</f>
        <v/>
      </c>
      <c r="BP15" s="51" t="str">
        <f>IF(OR(ISERR(BP14/BP13-1),BP14=""),"",IF($A64=parametros!$I$3,BP13/BP14-1,BP14/BP13-1))</f>
        <v/>
      </c>
      <c r="BQ15" s="51" t="str">
        <f>IF(OR(ISERR(BQ14/BQ13-1),BQ14=""),"",IF($A64=parametros!$I$3,BQ13/BQ14-1,BQ14/BQ13-1))</f>
        <v/>
      </c>
      <c r="BR15" s="51" t="str">
        <f>IF(OR(ISERR(BR14/BR13-1),BR14=""),"",IF($A64=parametros!$I$3,BR13/BR14-1,BR14/BR13-1))</f>
        <v/>
      </c>
      <c r="BS15" s="51" t="str">
        <f>IF(OR(ISERR(BS14/BS13-1),BS14=""),"",IF($A64=parametros!$I$3,BS13/BS14-1,BS14/BS13-1))</f>
        <v/>
      </c>
      <c r="BT15" s="51" t="str">
        <f>IF(OR(ISERR(BT14/BT13-1),BT14=""),"",IF($A64=parametros!$I$3,BT13/BT14-1,BT14/BT13-1))</f>
        <v/>
      </c>
      <c r="BU15" s="51" t="str">
        <f>IF(OR(ISERR(BU14/BU13-1),BU14=""),"",IF($A64=parametros!$I$3,BU13/BU14-1,BU14/BU13-1))</f>
        <v/>
      </c>
      <c r="BV15" s="51" t="str">
        <f>IF(OR(ISERR(BV14/BV13-1),BV14=""),"",IF($A64=parametros!$I$3,BV13/BV14-1,BV14/BV13-1))</f>
        <v/>
      </c>
      <c r="BW15" s="51" t="str">
        <f>IF(OR(ISERR(BW14/BW13-1),BW14=""),"",IF($A64=parametros!$I$3,BW13/BW14-1,BW14/BW13-1))</f>
        <v/>
      </c>
      <c r="BX15" s="51" t="str">
        <f>IF(OR(ISERR(BX14/BX13-1),BX14=""),"",IF($A64=parametros!$I$3,BX13/BX14-1,BX14/BX13-1))</f>
        <v/>
      </c>
      <c r="BY15" s="51" t="str">
        <f>IF(OR(ISERR(BY14/BY13-1),BY14=""),"",IF($A64=parametros!$I$3,BY13/BY14-1,BY14/BY13-1))</f>
        <v/>
      </c>
      <c r="BZ15" s="51" t="str">
        <f>IF(OR(ISERR(BZ14/BZ13-1),BZ14=""),"",IF($A64=parametros!$I$3,BZ13/BZ14-1,BZ14/BZ13-1))</f>
        <v/>
      </c>
    </row>
    <row r="16" spans="1:78" ht="4.95" customHeight="1" x14ac:dyDescent="0.4"/>
    <row r="17" spans="1:78" ht="22.05" customHeight="1" thickBot="1" x14ac:dyDescent="0.45">
      <c r="B17" s="104">
        <f>3</f>
        <v>3</v>
      </c>
      <c r="C17" s="33" t="s">
        <v>66</v>
      </c>
      <c r="D17" s="41" t="s">
        <v>44</v>
      </c>
      <c r="E17" s="34" t="s">
        <v>47</v>
      </c>
      <c r="F17" s="34" t="s">
        <v>48</v>
      </c>
      <c r="G17" s="34" t="s">
        <v>49</v>
      </c>
      <c r="H17" s="34" t="s">
        <v>50</v>
      </c>
      <c r="I17" s="34" t="s">
        <v>51</v>
      </c>
      <c r="J17" s="34" t="s">
        <v>52</v>
      </c>
      <c r="K17" s="34" t="s">
        <v>53</v>
      </c>
      <c r="L17" s="34" t="s">
        <v>54</v>
      </c>
      <c r="M17" s="34" t="s">
        <v>55</v>
      </c>
      <c r="N17" s="34" t="s">
        <v>56</v>
      </c>
      <c r="O17" s="34" t="s">
        <v>57</v>
      </c>
      <c r="P17" s="34" t="s">
        <v>58</v>
      </c>
      <c r="Q17" s="34" t="s">
        <v>59</v>
      </c>
      <c r="R17" s="35" t="s">
        <v>60</v>
      </c>
      <c r="T17" s="34" t="s">
        <v>47</v>
      </c>
      <c r="U17" s="34" t="s">
        <v>48</v>
      </c>
      <c r="V17" s="34" t="s">
        <v>49</v>
      </c>
      <c r="W17" s="34" t="s">
        <v>50</v>
      </c>
      <c r="X17" s="34" t="s">
        <v>51</v>
      </c>
      <c r="Y17" s="34" t="s">
        <v>52</v>
      </c>
      <c r="Z17" s="34" t="s">
        <v>53</v>
      </c>
      <c r="AA17" s="34" t="s">
        <v>54</v>
      </c>
      <c r="AB17" s="34" t="s">
        <v>55</v>
      </c>
      <c r="AC17" s="34" t="s">
        <v>56</v>
      </c>
      <c r="AD17" s="34" t="s">
        <v>57</v>
      </c>
      <c r="AE17" s="34" t="s">
        <v>58</v>
      </c>
      <c r="AF17" s="34" t="s">
        <v>59</v>
      </c>
      <c r="AG17" s="35" t="s">
        <v>60</v>
      </c>
      <c r="AI17" s="34" t="s">
        <v>47</v>
      </c>
      <c r="AJ17" s="34" t="s">
        <v>48</v>
      </c>
      <c r="AK17" s="34" t="s">
        <v>49</v>
      </c>
      <c r="AL17" s="34" t="s">
        <v>50</v>
      </c>
      <c r="AM17" s="34" t="s">
        <v>51</v>
      </c>
      <c r="AN17" s="34" t="s">
        <v>52</v>
      </c>
      <c r="AO17" s="34" t="s">
        <v>53</v>
      </c>
      <c r="AP17" s="34" t="s">
        <v>54</v>
      </c>
      <c r="AQ17" s="34" t="s">
        <v>55</v>
      </c>
      <c r="AR17" s="34" t="s">
        <v>56</v>
      </c>
      <c r="AS17" s="34" t="s">
        <v>57</v>
      </c>
      <c r="AT17" s="34" t="s">
        <v>58</v>
      </c>
      <c r="AU17" s="34" t="s">
        <v>59</v>
      </c>
      <c r="AV17" s="35" t="s">
        <v>60</v>
      </c>
      <c r="AX17" s="34" t="s">
        <v>47</v>
      </c>
      <c r="AY17" s="34" t="s">
        <v>48</v>
      </c>
      <c r="AZ17" s="34" t="s">
        <v>49</v>
      </c>
      <c r="BA17" s="34" t="s">
        <v>50</v>
      </c>
      <c r="BB17" s="34" t="s">
        <v>51</v>
      </c>
      <c r="BC17" s="34" t="s">
        <v>52</v>
      </c>
      <c r="BD17" s="34" t="s">
        <v>53</v>
      </c>
      <c r="BE17" s="34" t="s">
        <v>54</v>
      </c>
      <c r="BF17" s="34" t="s">
        <v>55</v>
      </c>
      <c r="BG17" s="34" t="s">
        <v>56</v>
      </c>
      <c r="BH17" s="34" t="s">
        <v>57</v>
      </c>
      <c r="BI17" s="34" t="s">
        <v>58</v>
      </c>
      <c r="BJ17" s="34" t="s">
        <v>59</v>
      </c>
      <c r="BK17" s="35" t="s">
        <v>60</v>
      </c>
      <c r="BM17" s="34" t="s">
        <v>47</v>
      </c>
      <c r="BN17" s="34" t="s">
        <v>48</v>
      </c>
      <c r="BO17" s="34" t="s">
        <v>49</v>
      </c>
      <c r="BP17" s="34" t="s">
        <v>50</v>
      </c>
      <c r="BQ17" s="34" t="s">
        <v>51</v>
      </c>
      <c r="BR17" s="34" t="s">
        <v>52</v>
      </c>
      <c r="BS17" s="34" t="s">
        <v>53</v>
      </c>
      <c r="BT17" s="34" t="s">
        <v>54</v>
      </c>
      <c r="BU17" s="34" t="s">
        <v>55</v>
      </c>
      <c r="BV17" s="34" t="s">
        <v>56</v>
      </c>
      <c r="BW17" s="34" t="s">
        <v>57</v>
      </c>
      <c r="BX17" s="34" t="s">
        <v>58</v>
      </c>
      <c r="BY17" s="34" t="s">
        <v>59</v>
      </c>
      <c r="BZ17" s="35" t="s">
        <v>60</v>
      </c>
    </row>
    <row r="18" spans="1:78" ht="22.05" customHeight="1" thickBot="1" x14ac:dyDescent="0.45">
      <c r="A18" s="104" t="str">
        <f>_xlfn.CONCAT(D18,B17)</f>
        <v>Planejado3</v>
      </c>
      <c r="C18" s="248" t="str">
        <f>C61</f>
        <v xml:space="preserve">: </v>
      </c>
      <c r="D18" s="37" t="s">
        <v>61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5">
        <f>SUMIF(E90:P90,"=1",E18:P18)</f>
        <v>0</v>
      </c>
      <c r="R18" s="46">
        <f>SUM(E18:P18)</f>
        <v>0</v>
      </c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4"/>
      <c r="AF18" s="45">
        <f>SUMIF(T90:AE90,"=1",T18:AE18)</f>
        <v>0</v>
      </c>
      <c r="AG18" s="46">
        <f>SUM(T18:AE18)</f>
        <v>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4"/>
      <c r="AU18" s="45">
        <f>SUMIF(AI90:AT90,"=1",AI18:AT18)</f>
        <v>0</v>
      </c>
      <c r="AV18" s="46">
        <f>SUM(AI18:AT18)</f>
        <v>0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4"/>
      <c r="BJ18" s="45">
        <f>SUMIF(AX90:BI90,"=1",AX18:BI18)</f>
        <v>0</v>
      </c>
      <c r="BK18" s="46">
        <f>SUM(AX18:BI18)</f>
        <v>0</v>
      </c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4"/>
      <c r="BY18" s="45">
        <f>SUMIF(BM90:BX90,"=1",BM18:BX18)</f>
        <v>0</v>
      </c>
      <c r="BZ18" s="46">
        <f>SUM(BM18:BX18)</f>
        <v>0</v>
      </c>
    </row>
    <row r="19" spans="1:78" ht="22.05" customHeight="1" thickBot="1" x14ac:dyDescent="0.45">
      <c r="A19" s="104" t="str">
        <f>_xlfn.CONCAT(D19,B17)</f>
        <v>Realizado3</v>
      </c>
      <c r="C19" s="249"/>
      <c r="D19" s="38" t="s">
        <v>62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5">
        <f>SUMIF(E90:P90,"=1",E19:P19)</f>
        <v>0</v>
      </c>
      <c r="R19" s="46">
        <f>SUM(E19:P19)</f>
        <v>0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9"/>
      <c r="AF19" s="45">
        <f>SUMIF(T90:AE90,"=1",T19:AE19)</f>
        <v>0</v>
      </c>
      <c r="AG19" s="46">
        <f>SUM(T19:AE19)</f>
        <v>0</v>
      </c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  <c r="AU19" s="45">
        <f>SUMIF(AI90:AT90,"=1",AI19:AT19)</f>
        <v>0</v>
      </c>
      <c r="AV19" s="46">
        <f>SUM(AI19:AT19)</f>
        <v>0</v>
      </c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9"/>
      <c r="BJ19" s="45">
        <f>SUMIF(AX90:BI90,"=1",AX19:BI19)</f>
        <v>0</v>
      </c>
      <c r="BK19" s="46">
        <f>SUM(AX19:BI19)</f>
        <v>0</v>
      </c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9"/>
      <c r="BY19" s="45">
        <f>SUMIF(BM90:BX90,"=1",BM19:BX19)</f>
        <v>0</v>
      </c>
      <c r="BZ19" s="46">
        <f>SUM(BM19:BX19)</f>
        <v>0</v>
      </c>
    </row>
    <row r="20" spans="1:78" ht="22.05" customHeight="1" thickBot="1" x14ac:dyDescent="0.45">
      <c r="C20" s="249"/>
      <c r="D20" s="36" t="s">
        <v>63</v>
      </c>
      <c r="E20" s="51" t="str">
        <f>IF(OR(ISERR(E19/E18-1),E19=""),"",IF($B69=parametros!$I$3,E18/E19-1,E19/E18-1))</f>
        <v/>
      </c>
      <c r="F20" s="51" t="str">
        <f>IF(OR(ISERR(F19/F18-1),F19=""),"",IF($B69=parametros!$I$3,F18/F19-1,F19/F18-1))</f>
        <v/>
      </c>
      <c r="G20" s="51" t="str">
        <f>IF(OR(ISERR(G19/G18-1),G19=""),"",IF($B69=parametros!$I$3,G18/G19-1,G19/G18-1))</f>
        <v/>
      </c>
      <c r="H20" s="51" t="str">
        <f>IF(OR(ISERR(H19/H18-1),H19=""),"",IF($B69=parametros!$I$3,H18/H19-1,H19/H18-1))</f>
        <v/>
      </c>
      <c r="I20" s="51" t="str">
        <f>IF(OR(ISERR(I19/I18-1),I19=""),"",IF($B69=parametros!$I$3,I18/I19-1,I19/I18-1))</f>
        <v/>
      </c>
      <c r="J20" s="51" t="str">
        <f>IF(OR(ISERR(J19/J18-1),J19=""),"",IF($B69=parametros!$I$3,J18/J19-1,J19/J18-1))</f>
        <v/>
      </c>
      <c r="K20" s="51" t="str">
        <f>IF(OR(ISERR(K19/K18-1),K19=""),"",IF($B69=parametros!$I$3,K18/K19-1,K19/K18-1))</f>
        <v/>
      </c>
      <c r="L20" s="51" t="str">
        <f>IF(OR(ISERR(L19/L18-1),L19=""),"",IF($B69=parametros!$I$3,L18/L19-1,L19/L18-1))</f>
        <v/>
      </c>
      <c r="M20" s="51" t="str">
        <f>IF(OR(ISERR(M19/M18-1),M19=""),"",IF($B69=parametros!$I$3,M18/M19-1,M19/M18-1))</f>
        <v/>
      </c>
      <c r="N20" s="51" t="str">
        <f>IF(OR(ISERR(N19/N18-1),N19=""),"",IF($B69=parametros!$I$3,N18/N19-1,N19/N18-1))</f>
        <v/>
      </c>
      <c r="O20" s="51" t="str">
        <f>IF(OR(ISERR(O19/O18-1),O19=""),"",IF($B69=parametros!$I$3,O18/O19-1,O19/O18-1))</f>
        <v/>
      </c>
      <c r="P20" s="51" t="str">
        <f>IF(OR(ISERR(P19/P18-1),P19=""),"",IF($B69=parametros!$I$3,P18/P19-1,P19/P18-1))</f>
        <v/>
      </c>
      <c r="Q20" s="51" t="str">
        <f>IF(OR(ISERR(Q19/Q18-1),Q19=""),"",IF($B69=parametros!$I$3,Q18/Q19-1,Q19/Q18-1))</f>
        <v/>
      </c>
      <c r="R20" s="51" t="str">
        <f>IF(OR(ISERR(R19/R18-1),R19=""),"",IF($B69=parametros!$I$3,R18/R19-1,R19/R18-1))</f>
        <v/>
      </c>
      <c r="T20" s="51" t="str">
        <f>IF(OR(ISERR(T19/T18-1),T19=""),"",IF($B69=parametros!$I$3,T18/T19-1,T19/T18-1))</f>
        <v/>
      </c>
      <c r="U20" s="51" t="str">
        <f>IF(OR(ISERR(U19/U18-1),U19=""),"",IF($B69=parametros!$I$3,U18/U19-1,U19/U18-1))</f>
        <v/>
      </c>
      <c r="V20" s="51" t="str">
        <f>IF(OR(ISERR(V19/V18-1),V19=""),"",IF($B69=parametros!$I$3,V18/V19-1,V19/V18-1))</f>
        <v/>
      </c>
      <c r="W20" s="51" t="str">
        <f>IF(OR(ISERR(W19/W18-1),W19=""),"",IF($B69=parametros!$I$3,W18/W19-1,W19/W18-1))</f>
        <v/>
      </c>
      <c r="X20" s="51" t="str">
        <f>IF(OR(ISERR(X19/X18-1),X19=""),"",IF($B69=parametros!$I$3,X18/X19-1,X19/X18-1))</f>
        <v/>
      </c>
      <c r="Y20" s="51" t="str">
        <f>IF(OR(ISERR(Y19/Y18-1),Y19=""),"",IF($B69=parametros!$I$3,Y18/Y19-1,Y19/Y18-1))</f>
        <v/>
      </c>
      <c r="Z20" s="51" t="str">
        <f>IF(OR(ISERR(Z19/Z18-1),Z19=""),"",IF($B69=parametros!$I$3,Z18/Z19-1,Z19/Z18-1))</f>
        <v/>
      </c>
      <c r="AA20" s="51" t="str">
        <f>IF(OR(ISERR(AA19/AA18-1),AA19=""),"",IF($B69=parametros!$I$3,AA18/AA19-1,AA19/AA18-1))</f>
        <v/>
      </c>
      <c r="AB20" s="51" t="str">
        <f>IF(OR(ISERR(AB19/AB18-1),AB19=""),"",IF($B69=parametros!$I$3,AB18/AB19-1,AB19/AB18-1))</f>
        <v/>
      </c>
      <c r="AC20" s="51" t="str">
        <f>IF(OR(ISERR(AC19/AC18-1),AC19=""),"",IF($B69=parametros!$I$3,AC18/AC19-1,AC19/AC18-1))</f>
        <v/>
      </c>
      <c r="AD20" s="51" t="str">
        <f>IF(OR(ISERR(AD19/AD18-1),AD19=""),"",IF($B69=parametros!$I$3,AD18/AD19-1,AD19/AD18-1))</f>
        <v/>
      </c>
      <c r="AE20" s="51" t="str">
        <f>IF(OR(ISERR(AE19/AE18-1),AE19=""),"",IF($B69=parametros!$I$3,AE18/AE19-1,AE19/AE18-1))</f>
        <v/>
      </c>
      <c r="AF20" s="51" t="str">
        <f>IF(OR(ISERR(AF19/AF18-1),AF19=""),"",IF($B69=parametros!$I$3,AF18/AF19-1,AF19/AF18-1))</f>
        <v/>
      </c>
      <c r="AG20" s="51" t="str">
        <f>IF(OR(ISERR(AG19/AG18-1),AG19=""),"",IF($B69=parametros!$I$3,AG18/AG19-1,AG19/AG18-1))</f>
        <v/>
      </c>
      <c r="AI20" s="51" t="str">
        <f>IF(OR(ISERR(AI19/AI18-1),AI19=""),"",IF($B69=parametros!$I$3,AI18/AI19-1,AI19/AI18-1))</f>
        <v/>
      </c>
      <c r="AJ20" s="51" t="str">
        <f>IF(OR(ISERR(AJ19/AJ18-1),AJ19=""),"",IF($B69=parametros!$I$3,AJ18/AJ19-1,AJ19/AJ18-1))</f>
        <v/>
      </c>
      <c r="AK20" s="51" t="str">
        <f>IF(OR(ISERR(AK19/AK18-1),AK19=""),"",IF($B69=parametros!$I$3,AK18/AK19-1,AK19/AK18-1))</f>
        <v/>
      </c>
      <c r="AL20" s="51" t="str">
        <f>IF(OR(ISERR(AL19/AL18-1),AL19=""),"",IF($B69=parametros!$I$3,AL18/AL19-1,AL19/AL18-1))</f>
        <v/>
      </c>
      <c r="AM20" s="51" t="str">
        <f>IF(OR(ISERR(AM19/AM18-1),AM19=""),"",IF($B69=parametros!$I$3,AM18/AM19-1,AM19/AM18-1))</f>
        <v/>
      </c>
      <c r="AN20" s="51" t="str">
        <f>IF(OR(ISERR(AN19/AN18-1),AN19=""),"",IF($B69=parametros!$I$3,AN18/AN19-1,AN19/AN18-1))</f>
        <v/>
      </c>
      <c r="AO20" s="51" t="str">
        <f>IF(OR(ISERR(AO19/AO18-1),AO19=""),"",IF($B69=parametros!$I$3,AO18/AO19-1,AO19/AO18-1))</f>
        <v/>
      </c>
      <c r="AP20" s="51" t="str">
        <f>IF(OR(ISERR(AP19/AP18-1),AP19=""),"",IF($B69=parametros!$I$3,AP18/AP19-1,AP19/AP18-1))</f>
        <v/>
      </c>
      <c r="AQ20" s="51" t="str">
        <f>IF(OR(ISERR(AQ19/AQ18-1),AQ19=""),"",IF($B69=parametros!$I$3,AQ18/AQ19-1,AQ19/AQ18-1))</f>
        <v/>
      </c>
      <c r="AR20" s="51" t="str">
        <f>IF(OR(ISERR(AR19/AR18-1),AR19=""),"",IF($B69=parametros!$I$3,AR18/AR19-1,AR19/AR18-1))</f>
        <v/>
      </c>
      <c r="AS20" s="51" t="str">
        <f>IF(OR(ISERR(AS19/AS18-1),AS19=""),"",IF($B69=parametros!$I$3,AS18/AS19-1,AS19/AS18-1))</f>
        <v/>
      </c>
      <c r="AT20" s="51" t="str">
        <f>IF(OR(ISERR(AT19/AT18-1),AT19=""),"",IF($B69=parametros!$I$3,AT18/AT19-1,AT19/AT18-1))</f>
        <v/>
      </c>
      <c r="AU20" s="51" t="str">
        <f>IF(OR(ISERR(AU19/AU18-1),AU19=""),"",IF($B69=parametros!$I$3,AU18/AU19-1,AU19/AU18-1))</f>
        <v/>
      </c>
      <c r="AV20" s="51" t="str">
        <f>IF(OR(ISERR(AV19/AV18-1),AV19=""),"",IF($B69=parametros!$I$3,AV18/AV19-1,AV19/AV18-1))</f>
        <v/>
      </c>
      <c r="AX20" s="51" t="str">
        <f>IF(OR(ISERR(AX19/AX18-1),AX19=""),"",IF($B69=parametros!$I$3,AX18/AX19-1,AX19/AX18-1))</f>
        <v/>
      </c>
      <c r="AY20" s="51" t="str">
        <f>IF(OR(ISERR(AY19/AY18-1),AY19=""),"",IF($B69=parametros!$I$3,AY18/AY19-1,AY19/AY18-1))</f>
        <v/>
      </c>
      <c r="AZ20" s="51" t="str">
        <f>IF(OR(ISERR(AZ19/AZ18-1),AZ19=""),"",IF($B69=parametros!$I$3,AZ18/AZ19-1,AZ19/AZ18-1))</f>
        <v/>
      </c>
      <c r="BA20" s="51" t="str">
        <f>IF(OR(ISERR(BA19/BA18-1),BA19=""),"",IF($B69=parametros!$I$3,BA18/BA19-1,BA19/BA18-1))</f>
        <v/>
      </c>
      <c r="BB20" s="51" t="str">
        <f>IF(OR(ISERR(BB19/BB18-1),BB19=""),"",IF($B69=parametros!$I$3,BB18/BB19-1,BB19/BB18-1))</f>
        <v/>
      </c>
      <c r="BC20" s="51" t="str">
        <f>IF(OR(ISERR(BC19/BC18-1),BC19=""),"",IF($B69=parametros!$I$3,BC18/BC19-1,BC19/BC18-1))</f>
        <v/>
      </c>
      <c r="BD20" s="51" t="str">
        <f>IF(OR(ISERR(BD19/BD18-1),BD19=""),"",IF($B69=parametros!$I$3,BD18/BD19-1,BD19/BD18-1))</f>
        <v/>
      </c>
      <c r="BE20" s="51" t="str">
        <f>IF(OR(ISERR(BE19/BE18-1),BE19=""),"",IF($B69=parametros!$I$3,BE18/BE19-1,BE19/BE18-1))</f>
        <v/>
      </c>
      <c r="BF20" s="51" t="str">
        <f>IF(OR(ISERR(BF19/BF18-1),BF19=""),"",IF($B69=parametros!$I$3,BF18/BF19-1,BF19/BF18-1))</f>
        <v/>
      </c>
      <c r="BG20" s="51" t="str">
        <f>IF(OR(ISERR(BG19/BG18-1),BG19=""),"",IF($B69=parametros!$I$3,BG18/BG19-1,BG19/BG18-1))</f>
        <v/>
      </c>
      <c r="BH20" s="51" t="str">
        <f>IF(OR(ISERR(BH19/BH18-1),BH19=""),"",IF($B69=parametros!$I$3,BH18/BH19-1,BH19/BH18-1))</f>
        <v/>
      </c>
      <c r="BI20" s="51" t="str">
        <f>IF(OR(ISERR(BI19/BI18-1),BI19=""),"",IF($B69=parametros!$I$3,BI18/BI19-1,BI19/BI18-1))</f>
        <v/>
      </c>
      <c r="BJ20" s="51" t="str">
        <f>IF(OR(ISERR(BJ19/BJ18-1),BJ19=""),"",IF($B69=parametros!$I$3,BJ18/BJ19-1,BJ19/BJ18-1))</f>
        <v/>
      </c>
      <c r="BK20" s="51" t="str">
        <f>IF(OR(ISERR(BK19/BK18-1),BK19=""),"",IF($B69=parametros!$I$3,BK18/BK19-1,BK19/BK18-1))</f>
        <v/>
      </c>
      <c r="BM20" s="51" t="str">
        <f>IF(OR(ISERR(BM19/BM18-1),BM19=""),"",IF($B69=parametros!$I$3,BM18/BM19-1,BM19/BM18-1))</f>
        <v/>
      </c>
      <c r="BN20" s="51" t="str">
        <f>IF(OR(ISERR(BN19/BN18-1),BN19=""),"",IF($B69=parametros!$I$3,BN18/BN19-1,BN19/BN18-1))</f>
        <v/>
      </c>
      <c r="BO20" s="51" t="str">
        <f>IF(OR(ISERR(BO19/BO18-1),BO19=""),"",IF($B69=parametros!$I$3,BO18/BO19-1,BO19/BO18-1))</f>
        <v/>
      </c>
      <c r="BP20" s="51" t="str">
        <f>IF(OR(ISERR(BP19/BP18-1),BP19=""),"",IF($B69=parametros!$I$3,BP18/BP19-1,BP19/BP18-1))</f>
        <v/>
      </c>
      <c r="BQ20" s="51" t="str">
        <f>IF(OR(ISERR(BQ19/BQ18-1),BQ19=""),"",IF($B69=parametros!$I$3,BQ18/BQ19-1,BQ19/BQ18-1))</f>
        <v/>
      </c>
      <c r="BR20" s="51" t="str">
        <f>IF(OR(ISERR(BR19/BR18-1),BR19=""),"",IF($B69=parametros!$I$3,BR18/BR19-1,BR19/BR18-1))</f>
        <v/>
      </c>
      <c r="BS20" s="51" t="str">
        <f>IF(OR(ISERR(BS19/BS18-1),BS19=""),"",IF($B69=parametros!$I$3,BS18/BS19-1,BS19/BS18-1))</f>
        <v/>
      </c>
      <c r="BT20" s="51" t="str">
        <f>IF(OR(ISERR(BT19/BT18-1),BT19=""),"",IF($B69=parametros!$I$3,BT18/BT19-1,BT19/BT18-1))</f>
        <v/>
      </c>
      <c r="BU20" s="51" t="str">
        <f>IF(OR(ISERR(BU19/BU18-1),BU19=""),"",IF($B69=parametros!$I$3,BU18/BU19-1,BU19/BU18-1))</f>
        <v/>
      </c>
      <c r="BV20" s="51" t="str">
        <f>IF(OR(ISERR(BV19/BV18-1),BV19=""),"",IF($B69=parametros!$I$3,BV18/BV19-1,BV19/BV18-1))</f>
        <v/>
      </c>
      <c r="BW20" s="51" t="str">
        <f>IF(OR(ISERR(BW19/BW18-1),BW19=""),"",IF($B69=parametros!$I$3,BW18/BW19-1,BW19/BW18-1))</f>
        <v/>
      </c>
      <c r="BX20" s="51" t="str">
        <f>IF(OR(ISERR(BX19/BX18-1),BX19=""),"",IF($B69=parametros!$I$3,BX18/BX19-1,BX19/BX18-1))</f>
        <v/>
      </c>
      <c r="BY20" s="51" t="str">
        <f>IF(OR(ISERR(BY19/BY18-1),BY19=""),"",IF($B69=parametros!$I$3,BY18/BY19-1,BY19/BY18-1))</f>
        <v/>
      </c>
      <c r="BZ20" s="51" t="str">
        <f>IF(OR(ISERR(BZ19/BZ18-1),BZ19=""),"",IF($B69=parametros!$I$3,BZ18/BZ19-1,BZ19/BZ18-1))</f>
        <v/>
      </c>
    </row>
    <row r="21" spans="1:78" ht="4.95" customHeight="1" x14ac:dyDescent="0.4"/>
    <row r="22" spans="1:78" ht="22.05" customHeight="1" thickBot="1" x14ac:dyDescent="0.45">
      <c r="B22" s="104">
        <f>4</f>
        <v>4</v>
      </c>
      <c r="C22" s="33" t="s">
        <v>67</v>
      </c>
      <c r="D22" s="41" t="s">
        <v>44</v>
      </c>
      <c r="E22" s="34" t="s">
        <v>47</v>
      </c>
      <c r="F22" s="34" t="s">
        <v>48</v>
      </c>
      <c r="G22" s="34" t="s">
        <v>49</v>
      </c>
      <c r="H22" s="34" t="s">
        <v>50</v>
      </c>
      <c r="I22" s="34" t="s">
        <v>51</v>
      </c>
      <c r="J22" s="34" t="s">
        <v>52</v>
      </c>
      <c r="K22" s="34" t="s">
        <v>53</v>
      </c>
      <c r="L22" s="34" t="s">
        <v>54</v>
      </c>
      <c r="M22" s="34" t="s">
        <v>55</v>
      </c>
      <c r="N22" s="34" t="s">
        <v>56</v>
      </c>
      <c r="O22" s="34" t="s">
        <v>57</v>
      </c>
      <c r="P22" s="34" t="s">
        <v>58</v>
      </c>
      <c r="Q22" s="34" t="s">
        <v>59</v>
      </c>
      <c r="R22" s="35" t="s">
        <v>60</v>
      </c>
      <c r="T22" s="34" t="s">
        <v>47</v>
      </c>
      <c r="U22" s="34" t="s">
        <v>48</v>
      </c>
      <c r="V22" s="34" t="s">
        <v>49</v>
      </c>
      <c r="W22" s="34" t="s">
        <v>50</v>
      </c>
      <c r="X22" s="34" t="s">
        <v>51</v>
      </c>
      <c r="Y22" s="34" t="s">
        <v>52</v>
      </c>
      <c r="Z22" s="34" t="s">
        <v>53</v>
      </c>
      <c r="AA22" s="34" t="s">
        <v>54</v>
      </c>
      <c r="AB22" s="34" t="s">
        <v>55</v>
      </c>
      <c r="AC22" s="34" t="s">
        <v>56</v>
      </c>
      <c r="AD22" s="34" t="s">
        <v>57</v>
      </c>
      <c r="AE22" s="34" t="s">
        <v>58</v>
      </c>
      <c r="AF22" s="34" t="s">
        <v>59</v>
      </c>
      <c r="AG22" s="35" t="s">
        <v>60</v>
      </c>
      <c r="AI22" s="34" t="s">
        <v>47</v>
      </c>
      <c r="AJ22" s="34" t="s">
        <v>48</v>
      </c>
      <c r="AK22" s="34" t="s">
        <v>49</v>
      </c>
      <c r="AL22" s="34" t="s">
        <v>50</v>
      </c>
      <c r="AM22" s="34" t="s">
        <v>51</v>
      </c>
      <c r="AN22" s="34" t="s">
        <v>52</v>
      </c>
      <c r="AO22" s="34" t="s">
        <v>53</v>
      </c>
      <c r="AP22" s="34" t="s">
        <v>54</v>
      </c>
      <c r="AQ22" s="34" t="s">
        <v>55</v>
      </c>
      <c r="AR22" s="34" t="s">
        <v>56</v>
      </c>
      <c r="AS22" s="34" t="s">
        <v>57</v>
      </c>
      <c r="AT22" s="34" t="s">
        <v>58</v>
      </c>
      <c r="AU22" s="34" t="s">
        <v>59</v>
      </c>
      <c r="AV22" s="35" t="s">
        <v>60</v>
      </c>
      <c r="AX22" s="34" t="s">
        <v>47</v>
      </c>
      <c r="AY22" s="34" t="s">
        <v>48</v>
      </c>
      <c r="AZ22" s="34" t="s">
        <v>49</v>
      </c>
      <c r="BA22" s="34" t="s">
        <v>50</v>
      </c>
      <c r="BB22" s="34" t="s">
        <v>51</v>
      </c>
      <c r="BC22" s="34" t="s">
        <v>52</v>
      </c>
      <c r="BD22" s="34" t="s">
        <v>53</v>
      </c>
      <c r="BE22" s="34" t="s">
        <v>54</v>
      </c>
      <c r="BF22" s="34" t="s">
        <v>55</v>
      </c>
      <c r="BG22" s="34" t="s">
        <v>56</v>
      </c>
      <c r="BH22" s="34" t="s">
        <v>57</v>
      </c>
      <c r="BI22" s="34" t="s">
        <v>58</v>
      </c>
      <c r="BJ22" s="34" t="s">
        <v>59</v>
      </c>
      <c r="BK22" s="35" t="s">
        <v>60</v>
      </c>
      <c r="BM22" s="34" t="s">
        <v>47</v>
      </c>
      <c r="BN22" s="34" t="s">
        <v>48</v>
      </c>
      <c r="BO22" s="34" t="s">
        <v>49</v>
      </c>
      <c r="BP22" s="34" t="s">
        <v>50</v>
      </c>
      <c r="BQ22" s="34" t="s">
        <v>51</v>
      </c>
      <c r="BR22" s="34" t="s">
        <v>52</v>
      </c>
      <c r="BS22" s="34" t="s">
        <v>53</v>
      </c>
      <c r="BT22" s="34" t="s">
        <v>54</v>
      </c>
      <c r="BU22" s="34" t="s">
        <v>55</v>
      </c>
      <c r="BV22" s="34" t="s">
        <v>56</v>
      </c>
      <c r="BW22" s="34" t="s">
        <v>57</v>
      </c>
      <c r="BX22" s="34" t="s">
        <v>58</v>
      </c>
      <c r="BY22" s="34" t="s">
        <v>59</v>
      </c>
      <c r="BZ22" s="35" t="s">
        <v>60</v>
      </c>
    </row>
    <row r="23" spans="1:78" ht="22.05" customHeight="1" thickBot="1" x14ac:dyDescent="0.45">
      <c r="A23" s="104" t="str">
        <f>_xlfn.CONCAT(D23,B22)</f>
        <v>Planejado4</v>
      </c>
      <c r="C23" s="248" t="str">
        <f>C62</f>
        <v xml:space="preserve">: </v>
      </c>
      <c r="D23" s="37" t="s">
        <v>61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  <c r="Q23" s="45">
        <f>SUMIF(E92:P92,"=1",E23:P23)</f>
        <v>0</v>
      </c>
      <c r="R23" s="46">
        <f>SUM(E23:P23)</f>
        <v>0</v>
      </c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4"/>
      <c r="AF23" s="45">
        <f>SUMIF(T92:AE92,"=1",T23:AE23)</f>
        <v>0</v>
      </c>
      <c r="AG23" s="46">
        <f>SUM(T23:AE23)</f>
        <v>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4"/>
      <c r="AU23" s="45">
        <f>SUMIF(AI92:AT92,"=1",AI23:AT23)</f>
        <v>0</v>
      </c>
      <c r="AV23" s="46">
        <f>SUM(AI23:AT23)</f>
        <v>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4"/>
      <c r="BJ23" s="45">
        <f>SUMIF(AX92:BI92,"=1",AX23:BI23)</f>
        <v>0</v>
      </c>
      <c r="BK23" s="46">
        <f>SUM(AX23:BI23)</f>
        <v>0</v>
      </c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4"/>
      <c r="BY23" s="45">
        <f>SUMIF(BM92:BX92,"=1",BM23:BX23)</f>
        <v>0</v>
      </c>
      <c r="BZ23" s="46">
        <f>SUM(BM23:BX23)</f>
        <v>0</v>
      </c>
    </row>
    <row r="24" spans="1:78" ht="22.05" customHeight="1" thickBot="1" x14ac:dyDescent="0.45">
      <c r="A24" s="104" t="str">
        <f>_xlfn.CONCAT(D24,B22)</f>
        <v>Realizado4</v>
      </c>
      <c r="C24" s="249"/>
      <c r="D24" s="38" t="s">
        <v>62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5">
        <f>SUMIF(E92:P92,"=1",E24:P24)</f>
        <v>0</v>
      </c>
      <c r="R24" s="46">
        <f>SUM(E24:P24)</f>
        <v>0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9"/>
      <c r="AF24" s="45">
        <f>SUMIF(T92:AE92,"=1",T24:AE24)</f>
        <v>0</v>
      </c>
      <c r="AG24" s="46">
        <f>SUM(T24:AE24)</f>
        <v>0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  <c r="AU24" s="45">
        <f>SUMIF(AI92:AT92,"=1",AI24:AT24)</f>
        <v>0</v>
      </c>
      <c r="AV24" s="46">
        <f>SUM(AI24:AT24)</f>
        <v>0</v>
      </c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9"/>
      <c r="BJ24" s="45">
        <f>SUMIF(AX92:BI92,"=1",AX24:BI24)</f>
        <v>0</v>
      </c>
      <c r="BK24" s="46">
        <f>SUM(AX24:BI24)</f>
        <v>0</v>
      </c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9"/>
      <c r="BY24" s="45">
        <f>SUMIF(BM92:BX92,"=1",BM24:BX24)</f>
        <v>0</v>
      </c>
      <c r="BZ24" s="46">
        <f>SUM(BM24:BX24)</f>
        <v>0</v>
      </c>
    </row>
    <row r="25" spans="1:78" ht="22.05" customHeight="1" thickBot="1" x14ac:dyDescent="0.45">
      <c r="C25" s="249"/>
      <c r="D25" s="36" t="s">
        <v>63</v>
      </c>
      <c r="E25" s="51" t="str">
        <f>IF(OR(ISERR(E24/E23-1),E24=""),"",IF($B74=parametros!$I$3,E23/E24-1,E24/E23-1))</f>
        <v/>
      </c>
      <c r="F25" s="51" t="str">
        <f>IF(OR(ISERR(F24/F23-1),F24=""),"",IF($B74=parametros!$I$3,F23/F24-1,F24/F23-1))</f>
        <v/>
      </c>
      <c r="G25" s="51" t="str">
        <f>IF(OR(ISERR(G24/G23-1),G24=""),"",IF($B74=parametros!$I$3,G23/G24-1,G24/G23-1))</f>
        <v/>
      </c>
      <c r="H25" s="51" t="str">
        <f>IF(OR(ISERR(H24/H23-1),H24=""),"",IF($B74=parametros!$I$3,H23/H24-1,H24/H23-1))</f>
        <v/>
      </c>
      <c r="I25" s="51" t="str">
        <f>IF(OR(ISERR(I24/I23-1),I24=""),"",IF($B74=parametros!$I$3,I23/I24-1,I24/I23-1))</f>
        <v/>
      </c>
      <c r="J25" s="51" t="str">
        <f>IF(OR(ISERR(J24/J23-1),J24=""),"",IF($B74=parametros!$I$3,J23/J24-1,J24/J23-1))</f>
        <v/>
      </c>
      <c r="K25" s="51" t="str">
        <f>IF(OR(ISERR(K24/K23-1),K24=""),"",IF($B74=parametros!$I$3,K23/K24-1,K24/K23-1))</f>
        <v/>
      </c>
      <c r="L25" s="51" t="str">
        <f>IF(OR(ISERR(L24/L23-1),L24=""),"",IF($B74=parametros!$I$3,L23/L24-1,L24/L23-1))</f>
        <v/>
      </c>
      <c r="M25" s="51" t="str">
        <f>IF(OR(ISERR(M24/M23-1),M24=""),"",IF($B74=parametros!$I$3,M23/M24-1,M24/M23-1))</f>
        <v/>
      </c>
      <c r="N25" s="51" t="str">
        <f>IF(OR(ISERR(N24/N23-1),N24=""),"",IF($B74=parametros!$I$3,N23/N24-1,N24/N23-1))</f>
        <v/>
      </c>
      <c r="O25" s="51" t="str">
        <f>IF(OR(ISERR(O24/O23-1),O24=""),"",IF($B74=parametros!$I$3,O23/O24-1,O24/O23-1))</f>
        <v/>
      </c>
      <c r="P25" s="51" t="str">
        <f>IF(OR(ISERR(P24/P23-1),P24=""),"",IF($B74=parametros!$I$3,P23/P24-1,P24/P23-1))</f>
        <v/>
      </c>
      <c r="Q25" s="51" t="str">
        <f>IF(OR(ISERR(Q24/Q23-1),Q24=""),"",IF($B74=parametros!$I$3,Q23/Q24-1,Q24/Q23-1))</f>
        <v/>
      </c>
      <c r="R25" s="51" t="str">
        <f>IF(OR(ISERR(R24/R23-1),R24=""),"",IF($B74=parametros!$I$3,R23/R24-1,R24/R23-1))</f>
        <v/>
      </c>
      <c r="T25" s="51" t="str">
        <f>IF(OR(ISERR(T24/T23-1),T24=""),"",IF($B74=parametros!$I$3,T23/T24-1,T24/T23-1))</f>
        <v/>
      </c>
      <c r="U25" s="51" t="str">
        <f>IF(OR(ISERR(U24/U23-1),U24=""),"",IF($B74=parametros!$I$3,U23/U24-1,U24/U23-1))</f>
        <v/>
      </c>
      <c r="V25" s="51" t="str">
        <f>IF(OR(ISERR(V24/V23-1),V24=""),"",IF($B74=parametros!$I$3,V23/V24-1,V24/V23-1))</f>
        <v/>
      </c>
      <c r="W25" s="51" t="str">
        <f>IF(OR(ISERR(W24/W23-1),W24=""),"",IF($B74=parametros!$I$3,W23/W24-1,W24/W23-1))</f>
        <v/>
      </c>
      <c r="X25" s="51" t="str">
        <f>IF(OR(ISERR(X24/X23-1),X24=""),"",IF($B74=parametros!$I$3,X23/X24-1,X24/X23-1))</f>
        <v/>
      </c>
      <c r="Y25" s="51" t="str">
        <f>IF(OR(ISERR(Y24/Y23-1),Y24=""),"",IF($B74=parametros!$I$3,Y23/Y24-1,Y24/Y23-1))</f>
        <v/>
      </c>
      <c r="Z25" s="51" t="str">
        <f>IF(OR(ISERR(Z24/Z23-1),Z24=""),"",IF($B74=parametros!$I$3,Z23/Z24-1,Z24/Z23-1))</f>
        <v/>
      </c>
      <c r="AA25" s="51" t="str">
        <f>IF(OR(ISERR(AA24/AA23-1),AA24=""),"",IF($B74=parametros!$I$3,AA23/AA24-1,AA24/AA23-1))</f>
        <v/>
      </c>
      <c r="AB25" s="51" t="str">
        <f>IF(OR(ISERR(AB24/AB23-1),AB24=""),"",IF($B74=parametros!$I$3,AB23/AB24-1,AB24/AB23-1))</f>
        <v/>
      </c>
      <c r="AC25" s="51" t="str">
        <f>IF(OR(ISERR(AC24/AC23-1),AC24=""),"",IF($B74=parametros!$I$3,AC23/AC24-1,AC24/AC23-1))</f>
        <v/>
      </c>
      <c r="AD25" s="51" t="str">
        <f>IF(OR(ISERR(AD24/AD23-1),AD24=""),"",IF($B74=parametros!$I$3,AD23/AD24-1,AD24/AD23-1))</f>
        <v/>
      </c>
      <c r="AE25" s="51" t="str">
        <f>IF(OR(ISERR(AE24/AE23-1),AE24=""),"",IF($B74=parametros!$I$3,AE23/AE24-1,AE24/AE23-1))</f>
        <v/>
      </c>
      <c r="AF25" s="51" t="str">
        <f>IF(OR(ISERR(AF24/AF23-1),AF24=""),"",IF($B74=parametros!$I$3,AF23/AF24-1,AF24/AF23-1))</f>
        <v/>
      </c>
      <c r="AG25" s="51" t="str">
        <f>IF(OR(ISERR(AG24/AG23-1),AG24=""),"",IF($B74=parametros!$I$3,AG23/AG24-1,AG24/AG23-1))</f>
        <v/>
      </c>
      <c r="AI25" s="51" t="str">
        <f>IF(OR(ISERR(AI24/AI23-1),AI24=""),"",IF($B74=parametros!$I$3,AI23/AI24-1,AI24/AI23-1))</f>
        <v/>
      </c>
      <c r="AJ25" s="51" t="str">
        <f>IF(OR(ISERR(AJ24/AJ23-1),AJ24=""),"",IF($B74=parametros!$I$3,AJ23/AJ24-1,AJ24/AJ23-1))</f>
        <v/>
      </c>
      <c r="AK25" s="51" t="str">
        <f>IF(OR(ISERR(AK24/AK23-1),AK24=""),"",IF($B74=parametros!$I$3,AK23/AK24-1,AK24/AK23-1))</f>
        <v/>
      </c>
      <c r="AL25" s="51" t="str">
        <f>IF(OR(ISERR(AL24/AL23-1),AL24=""),"",IF($B74=parametros!$I$3,AL23/AL24-1,AL24/AL23-1))</f>
        <v/>
      </c>
      <c r="AM25" s="51" t="str">
        <f>IF(OR(ISERR(AM24/AM23-1),AM24=""),"",IF($B74=parametros!$I$3,AM23/AM24-1,AM24/AM23-1))</f>
        <v/>
      </c>
      <c r="AN25" s="51" t="str">
        <f>IF(OR(ISERR(AN24/AN23-1),AN24=""),"",IF($B74=parametros!$I$3,AN23/AN24-1,AN24/AN23-1))</f>
        <v/>
      </c>
      <c r="AO25" s="51" t="str">
        <f>IF(OR(ISERR(AO24/AO23-1),AO24=""),"",IF($B74=parametros!$I$3,AO23/AO24-1,AO24/AO23-1))</f>
        <v/>
      </c>
      <c r="AP25" s="51" t="str">
        <f>IF(OR(ISERR(AP24/AP23-1),AP24=""),"",IF($B74=parametros!$I$3,AP23/AP24-1,AP24/AP23-1))</f>
        <v/>
      </c>
      <c r="AQ25" s="51" t="str">
        <f>IF(OR(ISERR(AQ24/AQ23-1),AQ24=""),"",IF($B74=parametros!$I$3,AQ23/AQ24-1,AQ24/AQ23-1))</f>
        <v/>
      </c>
      <c r="AR25" s="51" t="str">
        <f>IF(OR(ISERR(AR24/AR23-1),AR24=""),"",IF($B74=parametros!$I$3,AR23/AR24-1,AR24/AR23-1))</f>
        <v/>
      </c>
      <c r="AS25" s="51" t="str">
        <f>IF(OR(ISERR(AS24/AS23-1),AS24=""),"",IF($B74=parametros!$I$3,AS23/AS24-1,AS24/AS23-1))</f>
        <v/>
      </c>
      <c r="AT25" s="51" t="str">
        <f>IF(OR(ISERR(AT24/AT23-1),AT24=""),"",IF($B74=parametros!$I$3,AT23/AT24-1,AT24/AT23-1))</f>
        <v/>
      </c>
      <c r="AU25" s="51" t="str">
        <f>IF(OR(ISERR(AU24/AU23-1),AU24=""),"",IF($B74=parametros!$I$3,AU23/AU24-1,AU24/AU23-1))</f>
        <v/>
      </c>
      <c r="AV25" s="51" t="str">
        <f>IF(OR(ISERR(AV24/AV23-1),AV24=""),"",IF($B74=parametros!$I$3,AV23/AV24-1,AV24/AV23-1))</f>
        <v/>
      </c>
      <c r="AX25" s="51" t="str">
        <f>IF(OR(ISERR(AX24/AX23-1),AX24=""),"",IF($B74=parametros!$I$3,AX23/AX24-1,AX24/AX23-1))</f>
        <v/>
      </c>
      <c r="AY25" s="51" t="str">
        <f>IF(OR(ISERR(AY24/AY23-1),AY24=""),"",IF($B74=parametros!$I$3,AY23/AY24-1,AY24/AY23-1))</f>
        <v/>
      </c>
      <c r="AZ25" s="51" t="str">
        <f>IF(OR(ISERR(AZ24/AZ23-1),AZ24=""),"",IF($B74=parametros!$I$3,AZ23/AZ24-1,AZ24/AZ23-1))</f>
        <v/>
      </c>
      <c r="BA25" s="51" t="str">
        <f>IF(OR(ISERR(BA24/BA23-1),BA24=""),"",IF($B74=parametros!$I$3,BA23/BA24-1,BA24/BA23-1))</f>
        <v/>
      </c>
      <c r="BB25" s="51" t="str">
        <f>IF(OR(ISERR(BB24/BB23-1),BB24=""),"",IF($B74=parametros!$I$3,BB23/BB24-1,BB24/BB23-1))</f>
        <v/>
      </c>
      <c r="BC25" s="51" t="str">
        <f>IF(OR(ISERR(BC24/BC23-1),BC24=""),"",IF($B74=parametros!$I$3,BC23/BC24-1,BC24/BC23-1))</f>
        <v/>
      </c>
      <c r="BD25" s="51" t="str">
        <f>IF(OR(ISERR(BD24/BD23-1),BD24=""),"",IF($B74=parametros!$I$3,BD23/BD24-1,BD24/BD23-1))</f>
        <v/>
      </c>
      <c r="BE25" s="51" t="str">
        <f>IF(OR(ISERR(BE24/BE23-1),BE24=""),"",IF($B74=parametros!$I$3,BE23/BE24-1,BE24/BE23-1))</f>
        <v/>
      </c>
      <c r="BF25" s="51" t="str">
        <f>IF(OR(ISERR(BF24/BF23-1),BF24=""),"",IF($B74=parametros!$I$3,BF23/BF24-1,BF24/BF23-1))</f>
        <v/>
      </c>
      <c r="BG25" s="51" t="str">
        <f>IF(OR(ISERR(BG24/BG23-1),BG24=""),"",IF($B74=parametros!$I$3,BG23/BG24-1,BG24/BG23-1))</f>
        <v/>
      </c>
      <c r="BH25" s="51" t="str">
        <f>IF(OR(ISERR(BH24/BH23-1),BH24=""),"",IF($B74=parametros!$I$3,BH23/BH24-1,BH24/BH23-1))</f>
        <v/>
      </c>
      <c r="BI25" s="51" t="str">
        <f>IF(OR(ISERR(BI24/BI23-1),BI24=""),"",IF($B74=parametros!$I$3,BI23/BI24-1,BI24/BI23-1))</f>
        <v/>
      </c>
      <c r="BJ25" s="51" t="str">
        <f>IF(OR(ISERR(BJ24/BJ23-1),BJ24=""),"",IF($B74=parametros!$I$3,BJ23/BJ24-1,BJ24/BJ23-1))</f>
        <v/>
      </c>
      <c r="BK25" s="51" t="str">
        <f>IF(OR(ISERR(BK24/BK23-1),BK24=""),"",IF($B74=parametros!$I$3,BK23/BK24-1,BK24/BK23-1))</f>
        <v/>
      </c>
      <c r="BM25" s="51" t="str">
        <f>IF(OR(ISERR(BM24/BM23-1),BM24=""),"",IF($B74=parametros!$I$3,BM23/BM24-1,BM24/BM23-1))</f>
        <v/>
      </c>
      <c r="BN25" s="51" t="str">
        <f>IF(OR(ISERR(BN24/BN23-1),BN24=""),"",IF($B74=parametros!$I$3,BN23/BN24-1,BN24/BN23-1))</f>
        <v/>
      </c>
      <c r="BO25" s="51" t="str">
        <f>IF(OR(ISERR(BO24/BO23-1),BO24=""),"",IF($B74=parametros!$I$3,BO23/BO24-1,BO24/BO23-1))</f>
        <v/>
      </c>
      <c r="BP25" s="51" t="str">
        <f>IF(OR(ISERR(BP24/BP23-1),BP24=""),"",IF($B74=parametros!$I$3,BP23/BP24-1,BP24/BP23-1))</f>
        <v/>
      </c>
      <c r="BQ25" s="51" t="str">
        <f>IF(OR(ISERR(BQ24/BQ23-1),BQ24=""),"",IF($B74=parametros!$I$3,BQ23/BQ24-1,BQ24/BQ23-1))</f>
        <v/>
      </c>
      <c r="BR25" s="51" t="str">
        <f>IF(OR(ISERR(BR24/BR23-1),BR24=""),"",IF($B74=parametros!$I$3,BR23/BR24-1,BR24/BR23-1))</f>
        <v/>
      </c>
      <c r="BS25" s="51" t="str">
        <f>IF(OR(ISERR(BS24/BS23-1),BS24=""),"",IF($B74=parametros!$I$3,BS23/BS24-1,BS24/BS23-1))</f>
        <v/>
      </c>
      <c r="BT25" s="51" t="str">
        <f>IF(OR(ISERR(BT24/BT23-1),BT24=""),"",IF($B74=parametros!$I$3,BT23/BT24-1,BT24/BT23-1))</f>
        <v/>
      </c>
      <c r="BU25" s="51" t="str">
        <f>IF(OR(ISERR(BU24/BU23-1),BU24=""),"",IF($B74=parametros!$I$3,BU23/BU24-1,BU24/BU23-1))</f>
        <v/>
      </c>
      <c r="BV25" s="51" t="str">
        <f>IF(OR(ISERR(BV24/BV23-1),BV24=""),"",IF($B74=parametros!$I$3,BV23/BV24-1,BV24/BV23-1))</f>
        <v/>
      </c>
      <c r="BW25" s="51" t="str">
        <f>IF(OR(ISERR(BW24/BW23-1),BW24=""),"",IF($B74=parametros!$I$3,BW23/BW24-1,BW24/BW23-1))</f>
        <v/>
      </c>
      <c r="BX25" s="51" t="str">
        <f>IF(OR(ISERR(BX24/BX23-1),BX24=""),"",IF($B74=parametros!$I$3,BX23/BX24-1,BX24/BX23-1))</f>
        <v/>
      </c>
      <c r="BY25" s="51" t="str">
        <f>IF(OR(ISERR(BY24/BY23-1),BY24=""),"",IF($B74=parametros!$I$3,BY23/BY24-1,BY24/BY23-1))</f>
        <v/>
      </c>
      <c r="BZ25" s="51" t="str">
        <f>IF(OR(ISERR(BZ24/BZ23-1),BZ24=""),"",IF($B74=parametros!$I$3,BZ23/BZ24-1,BZ24/BZ23-1))</f>
        <v/>
      </c>
    </row>
    <row r="26" spans="1:78" ht="4.95" customHeight="1" x14ac:dyDescent="0.4"/>
    <row r="27" spans="1:78" ht="22.05" customHeight="1" thickBot="1" x14ac:dyDescent="0.45">
      <c r="B27" s="104">
        <f>5</f>
        <v>5</v>
      </c>
      <c r="C27" s="33" t="s">
        <v>68</v>
      </c>
      <c r="D27" s="41" t="s">
        <v>44</v>
      </c>
      <c r="E27" s="34" t="s">
        <v>47</v>
      </c>
      <c r="F27" s="34" t="s">
        <v>48</v>
      </c>
      <c r="G27" s="34" t="s">
        <v>49</v>
      </c>
      <c r="H27" s="34" t="s">
        <v>50</v>
      </c>
      <c r="I27" s="34" t="s">
        <v>51</v>
      </c>
      <c r="J27" s="34" t="s">
        <v>52</v>
      </c>
      <c r="K27" s="34" t="s">
        <v>53</v>
      </c>
      <c r="L27" s="34" t="s">
        <v>54</v>
      </c>
      <c r="M27" s="34" t="s">
        <v>55</v>
      </c>
      <c r="N27" s="34" t="s">
        <v>56</v>
      </c>
      <c r="O27" s="34" t="s">
        <v>57</v>
      </c>
      <c r="P27" s="34" t="s">
        <v>58</v>
      </c>
      <c r="Q27" s="34" t="s">
        <v>59</v>
      </c>
      <c r="R27" s="35" t="s">
        <v>60</v>
      </c>
      <c r="T27" s="34" t="s">
        <v>47</v>
      </c>
      <c r="U27" s="34" t="s">
        <v>48</v>
      </c>
      <c r="V27" s="34" t="s">
        <v>49</v>
      </c>
      <c r="W27" s="34" t="s">
        <v>50</v>
      </c>
      <c r="X27" s="34" t="s">
        <v>51</v>
      </c>
      <c r="Y27" s="34" t="s">
        <v>52</v>
      </c>
      <c r="Z27" s="34" t="s">
        <v>53</v>
      </c>
      <c r="AA27" s="34" t="s">
        <v>54</v>
      </c>
      <c r="AB27" s="34" t="s">
        <v>55</v>
      </c>
      <c r="AC27" s="34" t="s">
        <v>56</v>
      </c>
      <c r="AD27" s="34" t="s">
        <v>57</v>
      </c>
      <c r="AE27" s="34" t="s">
        <v>58</v>
      </c>
      <c r="AF27" s="34" t="s">
        <v>59</v>
      </c>
      <c r="AG27" s="35" t="s">
        <v>60</v>
      </c>
      <c r="AI27" s="34" t="s">
        <v>47</v>
      </c>
      <c r="AJ27" s="34" t="s">
        <v>48</v>
      </c>
      <c r="AK27" s="34" t="s">
        <v>49</v>
      </c>
      <c r="AL27" s="34" t="s">
        <v>50</v>
      </c>
      <c r="AM27" s="34" t="s">
        <v>51</v>
      </c>
      <c r="AN27" s="34" t="s">
        <v>52</v>
      </c>
      <c r="AO27" s="34" t="s">
        <v>53</v>
      </c>
      <c r="AP27" s="34" t="s">
        <v>54</v>
      </c>
      <c r="AQ27" s="34" t="s">
        <v>55</v>
      </c>
      <c r="AR27" s="34" t="s">
        <v>56</v>
      </c>
      <c r="AS27" s="34" t="s">
        <v>57</v>
      </c>
      <c r="AT27" s="34" t="s">
        <v>58</v>
      </c>
      <c r="AU27" s="34" t="s">
        <v>59</v>
      </c>
      <c r="AV27" s="35" t="s">
        <v>60</v>
      </c>
      <c r="AX27" s="34" t="s">
        <v>47</v>
      </c>
      <c r="AY27" s="34" t="s">
        <v>48</v>
      </c>
      <c r="AZ27" s="34" t="s">
        <v>49</v>
      </c>
      <c r="BA27" s="34" t="s">
        <v>50</v>
      </c>
      <c r="BB27" s="34" t="s">
        <v>51</v>
      </c>
      <c r="BC27" s="34" t="s">
        <v>52</v>
      </c>
      <c r="BD27" s="34" t="s">
        <v>53</v>
      </c>
      <c r="BE27" s="34" t="s">
        <v>54</v>
      </c>
      <c r="BF27" s="34" t="s">
        <v>55</v>
      </c>
      <c r="BG27" s="34" t="s">
        <v>56</v>
      </c>
      <c r="BH27" s="34" t="s">
        <v>57</v>
      </c>
      <c r="BI27" s="34" t="s">
        <v>58</v>
      </c>
      <c r="BJ27" s="34" t="s">
        <v>59</v>
      </c>
      <c r="BK27" s="35" t="s">
        <v>60</v>
      </c>
      <c r="BM27" s="34" t="s">
        <v>47</v>
      </c>
      <c r="BN27" s="34" t="s">
        <v>48</v>
      </c>
      <c r="BO27" s="34" t="s">
        <v>49</v>
      </c>
      <c r="BP27" s="34" t="s">
        <v>50</v>
      </c>
      <c r="BQ27" s="34" t="s">
        <v>51</v>
      </c>
      <c r="BR27" s="34" t="s">
        <v>52</v>
      </c>
      <c r="BS27" s="34" t="s">
        <v>53</v>
      </c>
      <c r="BT27" s="34" t="s">
        <v>54</v>
      </c>
      <c r="BU27" s="34" t="s">
        <v>55</v>
      </c>
      <c r="BV27" s="34" t="s">
        <v>56</v>
      </c>
      <c r="BW27" s="34" t="s">
        <v>57</v>
      </c>
      <c r="BX27" s="34" t="s">
        <v>58</v>
      </c>
      <c r="BY27" s="34" t="s">
        <v>59</v>
      </c>
      <c r="BZ27" s="35" t="s">
        <v>60</v>
      </c>
    </row>
    <row r="28" spans="1:78" ht="22.05" customHeight="1" thickBot="1" x14ac:dyDescent="0.45">
      <c r="A28" s="104" t="str">
        <f>_xlfn.CONCAT(D28,B27)</f>
        <v>Planejado5</v>
      </c>
      <c r="C28" s="248" t="str">
        <f>C63</f>
        <v xml:space="preserve">: </v>
      </c>
      <c r="D28" s="37" t="s">
        <v>61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45">
        <f>SUMIF(E94:P94,"=1",E28:P28)</f>
        <v>0</v>
      </c>
      <c r="R28" s="46">
        <f>SUM(E28:P28)</f>
        <v>0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  <c r="AF28" s="45">
        <f>SUMIF(T94:AE94,"=1",T28:AE28)</f>
        <v>0</v>
      </c>
      <c r="AG28" s="46">
        <f>SUM(T28:AE28)</f>
        <v>0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5">
        <f>SUMIF(AI94:AT94,"=1",AI28:AT28)</f>
        <v>0</v>
      </c>
      <c r="AV28" s="46">
        <f>SUM(AI28:AT28)</f>
        <v>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4"/>
      <c r="BJ28" s="45">
        <f>SUMIF(AX94:BI94,"=1",AX28:BI28)</f>
        <v>0</v>
      </c>
      <c r="BK28" s="46">
        <f>SUM(AX28:BI28)</f>
        <v>0</v>
      </c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45">
        <f>SUMIF(BM94:BX94,"=1",BM28:BX28)</f>
        <v>0</v>
      </c>
      <c r="BZ28" s="46">
        <f>SUM(BM28:BX28)</f>
        <v>0</v>
      </c>
    </row>
    <row r="29" spans="1:78" ht="22.05" customHeight="1" thickBot="1" x14ac:dyDescent="0.45">
      <c r="A29" s="104" t="str">
        <f>_xlfn.CONCAT(D29,B27)</f>
        <v>Realizado5</v>
      </c>
      <c r="C29" s="249"/>
      <c r="D29" s="38" t="s">
        <v>62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45">
        <f>SUMIF(E94:P94,"=1",E29:P29)</f>
        <v>0</v>
      </c>
      <c r="R29" s="46">
        <f>SUM(E29:P29)</f>
        <v>0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9"/>
      <c r="AF29" s="45">
        <f>SUMIF(T94:AE94,"=1",T29:AE29)</f>
        <v>0</v>
      </c>
      <c r="AG29" s="46">
        <f>SUM(T29:AE29)</f>
        <v>0</v>
      </c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  <c r="AU29" s="45">
        <f>SUMIF(AI94:AT94,"=1",AI29:AT29)</f>
        <v>0</v>
      </c>
      <c r="AV29" s="46">
        <f>SUM(AI29:AT29)</f>
        <v>0</v>
      </c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9"/>
      <c r="BJ29" s="45">
        <f>SUMIF(AX94:BI94,"=1",AX29:BI29)</f>
        <v>0</v>
      </c>
      <c r="BK29" s="46">
        <f>SUM(AX29:BI29)</f>
        <v>0</v>
      </c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9"/>
      <c r="BY29" s="45">
        <f>SUMIF(BM94:BX94,"=1",BM29:BX29)</f>
        <v>0</v>
      </c>
      <c r="BZ29" s="46">
        <f>SUM(BM29:BX29)</f>
        <v>0</v>
      </c>
    </row>
    <row r="30" spans="1:78" ht="22.05" customHeight="1" thickBot="1" x14ac:dyDescent="0.45">
      <c r="C30" s="249"/>
      <c r="D30" s="36" t="s">
        <v>63</v>
      </c>
      <c r="E30" s="51" t="str">
        <f>IF(OR(ISERR(E29/E28-1),E29=""),"",IF($B79=parametros!$I$3,E28/E29-1,E29/E28-1))</f>
        <v/>
      </c>
      <c r="F30" s="51" t="str">
        <f>IF(OR(ISERR(F29/F28-1),F29=""),"",IF($B79=parametros!$I$3,F28/F29-1,F29/F28-1))</f>
        <v/>
      </c>
      <c r="G30" s="51" t="str">
        <f>IF(OR(ISERR(G29/G28-1),G29=""),"",IF($B79=parametros!$I$3,G28/G29-1,G29/G28-1))</f>
        <v/>
      </c>
      <c r="H30" s="51" t="str">
        <f>IF(OR(ISERR(H29/H28-1),H29=""),"",IF($B79=parametros!$I$3,H28/H29-1,H29/H28-1))</f>
        <v/>
      </c>
      <c r="I30" s="51" t="str">
        <f>IF(OR(ISERR(I29/I28-1),I29=""),"",IF($B79=parametros!$I$3,I28/I29-1,I29/I28-1))</f>
        <v/>
      </c>
      <c r="J30" s="51" t="str">
        <f>IF(OR(ISERR(J29/J28-1),J29=""),"",IF($B79=parametros!$I$3,J28/J29-1,J29/J28-1))</f>
        <v/>
      </c>
      <c r="K30" s="51" t="str">
        <f>IF(OR(ISERR(K29/K28-1),K29=""),"",IF($B79=parametros!$I$3,K28/K29-1,K29/K28-1))</f>
        <v/>
      </c>
      <c r="L30" s="51" t="str">
        <f>IF(OR(ISERR(L29/L28-1),L29=""),"",IF($B79=parametros!$I$3,L28/L29-1,L29/L28-1))</f>
        <v/>
      </c>
      <c r="M30" s="51" t="str">
        <f>IF(OR(ISERR(M29/M28-1),M29=""),"",IF($B79=parametros!$I$3,M28/M29-1,M29/M28-1))</f>
        <v/>
      </c>
      <c r="N30" s="51" t="str">
        <f>IF(OR(ISERR(N29/N28-1),N29=""),"",IF($B79=parametros!$I$3,N28/N29-1,N29/N28-1))</f>
        <v/>
      </c>
      <c r="O30" s="51" t="str">
        <f>IF(OR(ISERR(O29/O28-1),O29=""),"",IF($B79=parametros!$I$3,O28/O29-1,O29/O28-1))</f>
        <v/>
      </c>
      <c r="P30" s="51" t="str">
        <f>IF(OR(ISERR(P29/P28-1),P29=""),"",IF($B79=parametros!$I$3,P28/P29-1,P29/P28-1))</f>
        <v/>
      </c>
      <c r="Q30" s="51" t="str">
        <f>IF(OR(ISERR(Q29/Q28-1),Q29=""),"",IF($B79=parametros!$I$3,Q28/Q29-1,Q29/Q28-1))</f>
        <v/>
      </c>
      <c r="R30" s="51" t="str">
        <f>IF(OR(ISERR(R29/R28-1),R29=""),"",IF($B79=parametros!$I$3,R28/R29-1,R29/R28-1))</f>
        <v/>
      </c>
      <c r="T30" s="51" t="str">
        <f>IF(OR(ISERR(T29/T28-1),T29=""),"",IF($B79=parametros!$I$3,T28/T29-1,T29/T28-1))</f>
        <v/>
      </c>
      <c r="U30" s="51" t="str">
        <f>IF(OR(ISERR(U29/U28-1),U29=""),"",IF($B79=parametros!$I$3,U28/U29-1,U29/U28-1))</f>
        <v/>
      </c>
      <c r="V30" s="51" t="str">
        <f>IF(OR(ISERR(V29/V28-1),V29=""),"",IF($B79=parametros!$I$3,V28/V29-1,V29/V28-1))</f>
        <v/>
      </c>
      <c r="W30" s="51" t="str">
        <f>IF(OR(ISERR(W29/W28-1),W29=""),"",IF($B79=parametros!$I$3,W28/W29-1,W29/W28-1))</f>
        <v/>
      </c>
      <c r="X30" s="51" t="str">
        <f>IF(OR(ISERR(X29/X28-1),X29=""),"",IF($B79=parametros!$I$3,X28/X29-1,X29/X28-1))</f>
        <v/>
      </c>
      <c r="Y30" s="51" t="str">
        <f>IF(OR(ISERR(Y29/Y28-1),Y29=""),"",IF($B79=parametros!$I$3,Y28/Y29-1,Y29/Y28-1))</f>
        <v/>
      </c>
      <c r="Z30" s="51" t="str">
        <f>IF(OR(ISERR(Z29/Z28-1),Z29=""),"",IF($B79=parametros!$I$3,Z28/Z29-1,Z29/Z28-1))</f>
        <v/>
      </c>
      <c r="AA30" s="51" t="str">
        <f>IF(OR(ISERR(AA29/AA28-1),AA29=""),"",IF($B79=parametros!$I$3,AA28/AA29-1,AA29/AA28-1))</f>
        <v/>
      </c>
      <c r="AB30" s="51" t="str">
        <f>IF(OR(ISERR(AB29/AB28-1),AB29=""),"",IF($B79=parametros!$I$3,AB28/AB29-1,AB29/AB28-1))</f>
        <v/>
      </c>
      <c r="AC30" s="51" t="str">
        <f>IF(OR(ISERR(AC29/AC28-1),AC29=""),"",IF($B79=parametros!$I$3,AC28/AC29-1,AC29/AC28-1))</f>
        <v/>
      </c>
      <c r="AD30" s="51" t="str">
        <f>IF(OR(ISERR(AD29/AD28-1),AD29=""),"",IF($B79=parametros!$I$3,AD28/AD29-1,AD29/AD28-1))</f>
        <v/>
      </c>
      <c r="AE30" s="51" t="str">
        <f>IF(OR(ISERR(AE29/AE28-1),AE29=""),"",IF($B79=parametros!$I$3,AE28/AE29-1,AE29/AE28-1))</f>
        <v/>
      </c>
      <c r="AF30" s="51" t="str">
        <f>IF(OR(ISERR(AF29/AF28-1),AF29=""),"",IF($B79=parametros!$I$3,AF28/AF29-1,AF29/AF28-1))</f>
        <v/>
      </c>
      <c r="AG30" s="51" t="str">
        <f>IF(OR(ISERR(AG29/AG28-1),AG29=""),"",IF($B79=parametros!$I$3,AG28/AG29-1,AG29/AG28-1))</f>
        <v/>
      </c>
      <c r="AI30" s="51" t="str">
        <f>IF(OR(ISERR(AI29/AI28-1),AI29=""),"",IF($B79=parametros!$I$3,AI28/AI29-1,AI29/AI28-1))</f>
        <v/>
      </c>
      <c r="AJ30" s="51" t="str">
        <f>IF(OR(ISERR(AJ29/AJ28-1),AJ29=""),"",IF($B79=parametros!$I$3,AJ28/AJ29-1,AJ29/AJ28-1))</f>
        <v/>
      </c>
      <c r="AK30" s="51" t="str">
        <f>IF(OR(ISERR(AK29/AK28-1),AK29=""),"",IF($B79=parametros!$I$3,AK28/AK29-1,AK29/AK28-1))</f>
        <v/>
      </c>
      <c r="AL30" s="51" t="str">
        <f>IF(OR(ISERR(AL29/AL28-1),AL29=""),"",IF($B79=parametros!$I$3,AL28/AL29-1,AL29/AL28-1))</f>
        <v/>
      </c>
      <c r="AM30" s="51" t="str">
        <f>IF(OR(ISERR(AM29/AM28-1),AM29=""),"",IF($B79=parametros!$I$3,AM28/AM29-1,AM29/AM28-1))</f>
        <v/>
      </c>
      <c r="AN30" s="51" t="str">
        <f>IF(OR(ISERR(AN29/AN28-1),AN29=""),"",IF($B79=parametros!$I$3,AN28/AN29-1,AN29/AN28-1))</f>
        <v/>
      </c>
      <c r="AO30" s="51" t="str">
        <f>IF(OR(ISERR(AO29/AO28-1),AO29=""),"",IF($B79=parametros!$I$3,AO28/AO29-1,AO29/AO28-1))</f>
        <v/>
      </c>
      <c r="AP30" s="51" t="str">
        <f>IF(OR(ISERR(AP29/AP28-1),AP29=""),"",IF($B79=parametros!$I$3,AP28/AP29-1,AP29/AP28-1))</f>
        <v/>
      </c>
      <c r="AQ30" s="51" t="str">
        <f>IF(OR(ISERR(AQ29/AQ28-1),AQ29=""),"",IF($B79=parametros!$I$3,AQ28/AQ29-1,AQ29/AQ28-1))</f>
        <v/>
      </c>
      <c r="AR30" s="51" t="str">
        <f>IF(OR(ISERR(AR29/AR28-1),AR29=""),"",IF($B79=parametros!$I$3,AR28/AR29-1,AR29/AR28-1))</f>
        <v/>
      </c>
      <c r="AS30" s="51" t="str">
        <f>IF(OR(ISERR(AS29/AS28-1),AS29=""),"",IF($B79=parametros!$I$3,AS28/AS29-1,AS29/AS28-1))</f>
        <v/>
      </c>
      <c r="AT30" s="51" t="str">
        <f>IF(OR(ISERR(AT29/AT28-1),AT29=""),"",IF($B79=parametros!$I$3,AT28/AT29-1,AT29/AT28-1))</f>
        <v/>
      </c>
      <c r="AU30" s="51" t="str">
        <f>IF(OR(ISERR(AU29/AU28-1),AU29=""),"",IF($B79=parametros!$I$3,AU28/AU29-1,AU29/AU28-1))</f>
        <v/>
      </c>
      <c r="AV30" s="51" t="str">
        <f>IF(OR(ISERR(AV29/AV28-1),AV29=""),"",IF($B79=parametros!$I$3,AV28/AV29-1,AV29/AV28-1))</f>
        <v/>
      </c>
      <c r="AX30" s="51" t="str">
        <f>IF(OR(ISERR(AX29/AX28-1),AX29=""),"",IF($B79=parametros!$I$3,AX28/AX29-1,AX29/AX28-1))</f>
        <v/>
      </c>
      <c r="AY30" s="51" t="str">
        <f>IF(OR(ISERR(AY29/AY28-1),AY29=""),"",IF($B79=parametros!$I$3,AY28/AY29-1,AY29/AY28-1))</f>
        <v/>
      </c>
      <c r="AZ30" s="51" t="str">
        <f>IF(OR(ISERR(AZ29/AZ28-1),AZ29=""),"",IF($B79=parametros!$I$3,AZ28/AZ29-1,AZ29/AZ28-1))</f>
        <v/>
      </c>
      <c r="BA30" s="51" t="str">
        <f>IF(OR(ISERR(BA29/BA28-1),BA29=""),"",IF($B79=parametros!$I$3,BA28/BA29-1,BA29/BA28-1))</f>
        <v/>
      </c>
      <c r="BB30" s="51" t="str">
        <f>IF(OR(ISERR(BB29/BB28-1),BB29=""),"",IF($B79=parametros!$I$3,BB28/BB29-1,BB29/BB28-1))</f>
        <v/>
      </c>
      <c r="BC30" s="51" t="str">
        <f>IF(OR(ISERR(BC29/BC28-1),BC29=""),"",IF($B79=parametros!$I$3,BC28/BC29-1,BC29/BC28-1))</f>
        <v/>
      </c>
      <c r="BD30" s="51" t="str">
        <f>IF(OR(ISERR(BD29/BD28-1),BD29=""),"",IF($B79=parametros!$I$3,BD28/BD29-1,BD29/BD28-1))</f>
        <v/>
      </c>
      <c r="BE30" s="51" t="str">
        <f>IF(OR(ISERR(BE29/BE28-1),BE29=""),"",IF($B79=parametros!$I$3,BE28/BE29-1,BE29/BE28-1))</f>
        <v/>
      </c>
      <c r="BF30" s="51" t="str">
        <f>IF(OR(ISERR(BF29/BF28-1),BF29=""),"",IF($B79=parametros!$I$3,BF28/BF29-1,BF29/BF28-1))</f>
        <v/>
      </c>
      <c r="BG30" s="51" t="str">
        <f>IF(OR(ISERR(BG29/BG28-1),BG29=""),"",IF($B79=parametros!$I$3,BG28/BG29-1,BG29/BG28-1))</f>
        <v/>
      </c>
      <c r="BH30" s="51" t="str">
        <f>IF(OR(ISERR(BH29/BH28-1),BH29=""),"",IF($B79=parametros!$I$3,BH28/BH29-1,BH29/BH28-1))</f>
        <v/>
      </c>
      <c r="BI30" s="51" t="str">
        <f>IF(OR(ISERR(BI29/BI28-1),BI29=""),"",IF($B79=parametros!$I$3,BI28/BI29-1,BI29/BI28-1))</f>
        <v/>
      </c>
      <c r="BJ30" s="51" t="str">
        <f>IF(OR(ISERR(BJ29/BJ28-1),BJ29=""),"",IF($B79=parametros!$I$3,BJ28/BJ29-1,BJ29/BJ28-1))</f>
        <v/>
      </c>
      <c r="BK30" s="51" t="str">
        <f>IF(OR(ISERR(BK29/BK28-1),BK29=""),"",IF($B79=parametros!$I$3,BK28/BK29-1,BK29/BK28-1))</f>
        <v/>
      </c>
      <c r="BM30" s="51" t="str">
        <f>IF(OR(ISERR(BM29/BM28-1),BM29=""),"",IF($B79=parametros!$I$3,BM28/BM29-1,BM29/BM28-1))</f>
        <v/>
      </c>
      <c r="BN30" s="51" t="str">
        <f>IF(OR(ISERR(BN29/BN28-1),BN29=""),"",IF($B79=parametros!$I$3,BN28/BN29-1,BN29/BN28-1))</f>
        <v/>
      </c>
      <c r="BO30" s="51" t="str">
        <f>IF(OR(ISERR(BO29/BO28-1),BO29=""),"",IF($B79=parametros!$I$3,BO28/BO29-1,BO29/BO28-1))</f>
        <v/>
      </c>
      <c r="BP30" s="51" t="str">
        <f>IF(OR(ISERR(BP29/BP28-1),BP29=""),"",IF($B79=parametros!$I$3,BP28/BP29-1,BP29/BP28-1))</f>
        <v/>
      </c>
      <c r="BQ30" s="51" t="str">
        <f>IF(OR(ISERR(BQ29/BQ28-1),BQ29=""),"",IF($B79=parametros!$I$3,BQ28/BQ29-1,BQ29/BQ28-1))</f>
        <v/>
      </c>
      <c r="BR30" s="51" t="str">
        <f>IF(OR(ISERR(BR29/BR28-1),BR29=""),"",IF($B79=parametros!$I$3,BR28/BR29-1,BR29/BR28-1))</f>
        <v/>
      </c>
      <c r="BS30" s="51" t="str">
        <f>IF(OR(ISERR(BS29/BS28-1),BS29=""),"",IF($B79=parametros!$I$3,BS28/BS29-1,BS29/BS28-1))</f>
        <v/>
      </c>
      <c r="BT30" s="51" t="str">
        <f>IF(OR(ISERR(BT29/BT28-1),BT29=""),"",IF($B79=parametros!$I$3,BT28/BT29-1,BT29/BT28-1))</f>
        <v/>
      </c>
      <c r="BU30" s="51" t="str">
        <f>IF(OR(ISERR(BU29/BU28-1),BU29=""),"",IF($B79=parametros!$I$3,BU28/BU29-1,BU29/BU28-1))</f>
        <v/>
      </c>
      <c r="BV30" s="51" t="str">
        <f>IF(OR(ISERR(BV29/BV28-1),BV29=""),"",IF($B79=parametros!$I$3,BV28/BV29-1,BV29/BV28-1))</f>
        <v/>
      </c>
      <c r="BW30" s="51" t="str">
        <f>IF(OR(ISERR(BW29/BW28-1),BW29=""),"",IF($B79=parametros!$I$3,BW28/BW29-1,BW29/BW28-1))</f>
        <v/>
      </c>
      <c r="BX30" s="51" t="str">
        <f>IF(OR(ISERR(BX29/BX28-1),BX29=""),"",IF($B79=parametros!$I$3,BX28/BX29-1,BX29/BX28-1))</f>
        <v/>
      </c>
      <c r="BY30" s="51" t="str">
        <f>IF(OR(ISERR(BY29/BY28-1),BY29=""),"",IF($B79=parametros!$I$3,BY28/BY29-1,BY29/BY28-1))</f>
        <v/>
      </c>
      <c r="BZ30" s="51" t="str">
        <f>IF(OR(ISERR(BZ29/BZ28-1),BZ29=""),"",IF($B79=parametros!$I$3,BZ28/BZ29-1,BZ29/BZ28-1))</f>
        <v/>
      </c>
    </row>
    <row r="31" spans="1:78" ht="4.95" customHeight="1" x14ac:dyDescent="0.4"/>
    <row r="32" spans="1:78" ht="22.05" customHeight="1" thickBot="1" x14ac:dyDescent="0.45">
      <c r="B32" s="104">
        <f>6</f>
        <v>6</v>
      </c>
      <c r="C32" s="33" t="s">
        <v>69</v>
      </c>
      <c r="D32" s="41" t="s">
        <v>44</v>
      </c>
      <c r="E32" s="34" t="s">
        <v>47</v>
      </c>
      <c r="F32" s="34" t="s">
        <v>48</v>
      </c>
      <c r="G32" s="34" t="s">
        <v>49</v>
      </c>
      <c r="H32" s="34" t="s">
        <v>50</v>
      </c>
      <c r="I32" s="34" t="s">
        <v>51</v>
      </c>
      <c r="J32" s="34" t="s">
        <v>52</v>
      </c>
      <c r="K32" s="34" t="s">
        <v>53</v>
      </c>
      <c r="L32" s="34" t="s">
        <v>54</v>
      </c>
      <c r="M32" s="34" t="s">
        <v>55</v>
      </c>
      <c r="N32" s="34" t="s">
        <v>56</v>
      </c>
      <c r="O32" s="34" t="s">
        <v>57</v>
      </c>
      <c r="P32" s="34" t="s">
        <v>58</v>
      </c>
      <c r="Q32" s="34" t="s">
        <v>59</v>
      </c>
      <c r="R32" s="35" t="s">
        <v>60</v>
      </c>
      <c r="T32" s="34" t="s">
        <v>47</v>
      </c>
      <c r="U32" s="34" t="s">
        <v>48</v>
      </c>
      <c r="V32" s="34" t="s">
        <v>49</v>
      </c>
      <c r="W32" s="34" t="s">
        <v>50</v>
      </c>
      <c r="X32" s="34" t="s">
        <v>51</v>
      </c>
      <c r="Y32" s="34" t="s">
        <v>52</v>
      </c>
      <c r="Z32" s="34" t="s">
        <v>53</v>
      </c>
      <c r="AA32" s="34" t="s">
        <v>54</v>
      </c>
      <c r="AB32" s="34" t="s">
        <v>55</v>
      </c>
      <c r="AC32" s="34" t="s">
        <v>56</v>
      </c>
      <c r="AD32" s="34" t="s">
        <v>57</v>
      </c>
      <c r="AE32" s="34" t="s">
        <v>58</v>
      </c>
      <c r="AF32" s="34" t="s">
        <v>59</v>
      </c>
      <c r="AG32" s="35" t="s">
        <v>60</v>
      </c>
      <c r="AI32" s="34" t="s">
        <v>47</v>
      </c>
      <c r="AJ32" s="34" t="s">
        <v>48</v>
      </c>
      <c r="AK32" s="34" t="s">
        <v>49</v>
      </c>
      <c r="AL32" s="34" t="s">
        <v>50</v>
      </c>
      <c r="AM32" s="34" t="s">
        <v>51</v>
      </c>
      <c r="AN32" s="34" t="s">
        <v>52</v>
      </c>
      <c r="AO32" s="34" t="s">
        <v>53</v>
      </c>
      <c r="AP32" s="34" t="s">
        <v>54</v>
      </c>
      <c r="AQ32" s="34" t="s">
        <v>55</v>
      </c>
      <c r="AR32" s="34" t="s">
        <v>56</v>
      </c>
      <c r="AS32" s="34" t="s">
        <v>57</v>
      </c>
      <c r="AT32" s="34" t="s">
        <v>58</v>
      </c>
      <c r="AU32" s="34" t="s">
        <v>59</v>
      </c>
      <c r="AV32" s="35" t="s">
        <v>60</v>
      </c>
      <c r="AX32" s="34" t="s">
        <v>47</v>
      </c>
      <c r="AY32" s="34" t="s">
        <v>48</v>
      </c>
      <c r="AZ32" s="34" t="s">
        <v>49</v>
      </c>
      <c r="BA32" s="34" t="s">
        <v>50</v>
      </c>
      <c r="BB32" s="34" t="s">
        <v>51</v>
      </c>
      <c r="BC32" s="34" t="s">
        <v>52</v>
      </c>
      <c r="BD32" s="34" t="s">
        <v>53</v>
      </c>
      <c r="BE32" s="34" t="s">
        <v>54</v>
      </c>
      <c r="BF32" s="34" t="s">
        <v>55</v>
      </c>
      <c r="BG32" s="34" t="s">
        <v>56</v>
      </c>
      <c r="BH32" s="34" t="s">
        <v>57</v>
      </c>
      <c r="BI32" s="34" t="s">
        <v>58</v>
      </c>
      <c r="BJ32" s="34" t="s">
        <v>59</v>
      </c>
      <c r="BK32" s="35" t="s">
        <v>60</v>
      </c>
      <c r="BM32" s="34" t="s">
        <v>47</v>
      </c>
      <c r="BN32" s="34" t="s">
        <v>48</v>
      </c>
      <c r="BO32" s="34" t="s">
        <v>49</v>
      </c>
      <c r="BP32" s="34" t="s">
        <v>50</v>
      </c>
      <c r="BQ32" s="34" t="s">
        <v>51</v>
      </c>
      <c r="BR32" s="34" t="s">
        <v>52</v>
      </c>
      <c r="BS32" s="34" t="s">
        <v>53</v>
      </c>
      <c r="BT32" s="34" t="s">
        <v>54</v>
      </c>
      <c r="BU32" s="34" t="s">
        <v>55</v>
      </c>
      <c r="BV32" s="34" t="s">
        <v>56</v>
      </c>
      <c r="BW32" s="34" t="s">
        <v>57</v>
      </c>
      <c r="BX32" s="34" t="s">
        <v>58</v>
      </c>
      <c r="BY32" s="34" t="s">
        <v>59</v>
      </c>
      <c r="BZ32" s="35" t="s">
        <v>60</v>
      </c>
    </row>
    <row r="33" spans="1:78" ht="22.05" customHeight="1" thickBot="1" x14ac:dyDescent="0.45">
      <c r="A33" s="104" t="str">
        <f>_xlfn.CONCAT(D33,B32)</f>
        <v>Planejado6</v>
      </c>
      <c r="C33" s="248" t="str">
        <f>C64</f>
        <v xml:space="preserve">: </v>
      </c>
      <c r="D33" s="37" t="s">
        <v>61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45">
        <f>SUMIF(E96:P96,"=1",E33:P33)</f>
        <v>0</v>
      </c>
      <c r="R33" s="46">
        <f>SUM(E33:P33)</f>
        <v>0</v>
      </c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4"/>
      <c r="AF33" s="45">
        <f>SUMIF(T96:AE96,"=1",T33:AE33)</f>
        <v>0</v>
      </c>
      <c r="AG33" s="46">
        <f>SUM(T33:AE33)</f>
        <v>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4"/>
      <c r="AU33" s="45">
        <f>SUMIF(AI96:AT96,"=1",AI33:AT33)</f>
        <v>0</v>
      </c>
      <c r="AV33" s="46">
        <f>SUM(AI33:AT33)</f>
        <v>0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4"/>
      <c r="BJ33" s="45">
        <f>SUMIF(AX96:BI96,"=1",AX33:BI33)</f>
        <v>0</v>
      </c>
      <c r="BK33" s="46">
        <f>SUM(AX33:BI33)</f>
        <v>0</v>
      </c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4"/>
      <c r="BY33" s="45">
        <f>SUMIF(BM96:BX96,"=1",BM33:BX33)</f>
        <v>0</v>
      </c>
      <c r="BZ33" s="46">
        <f>SUM(BM33:BX33)</f>
        <v>0</v>
      </c>
    </row>
    <row r="34" spans="1:78" ht="22.05" customHeight="1" thickBot="1" x14ac:dyDescent="0.45">
      <c r="A34" s="104" t="str">
        <f>_xlfn.CONCAT(D34,B32)</f>
        <v>Realizado6</v>
      </c>
      <c r="C34" s="249"/>
      <c r="D34" s="38" t="s">
        <v>62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5">
        <f>SUMIF(E96:P96,"=1",E34:P34)</f>
        <v>0</v>
      </c>
      <c r="R34" s="46">
        <f>SUM(E34:P34)</f>
        <v>0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9"/>
      <c r="AF34" s="45">
        <f>SUMIF(T96:AE96,"=1",T34:AE34)</f>
        <v>0</v>
      </c>
      <c r="AG34" s="46">
        <f>SUM(T34:AE34)</f>
        <v>0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9"/>
      <c r="AU34" s="45">
        <f>SUMIF(AI96:AT96,"=1",AI34:AT34)</f>
        <v>0</v>
      </c>
      <c r="AV34" s="46">
        <f>SUM(AI34:AT34)</f>
        <v>0</v>
      </c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9"/>
      <c r="BJ34" s="45">
        <f>SUMIF(AX96:BI96,"=1",AX34:BI34)</f>
        <v>0</v>
      </c>
      <c r="BK34" s="46">
        <f>SUM(AX34:BI34)</f>
        <v>0</v>
      </c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9"/>
      <c r="BY34" s="45">
        <f>SUMIF(BM96:BX96,"=1",BM34:BX34)</f>
        <v>0</v>
      </c>
      <c r="BZ34" s="46">
        <f>SUM(BM34:BX34)</f>
        <v>0</v>
      </c>
    </row>
    <row r="35" spans="1:78" ht="22.05" customHeight="1" thickBot="1" x14ac:dyDescent="0.45">
      <c r="C35" s="249"/>
      <c r="D35" s="36" t="s">
        <v>63</v>
      </c>
      <c r="E35" s="51" t="str">
        <f>IF(OR(ISERR(E34/E33-1),E34=""),"",IF($B84=parametros!$I$3,E33/E34-1,E34/E33-1))</f>
        <v/>
      </c>
      <c r="F35" s="51" t="str">
        <f>IF(OR(ISERR(F34/F33-1),F34=""),"",IF($B84=parametros!$I$3,F33/F34-1,F34/F33-1))</f>
        <v/>
      </c>
      <c r="G35" s="51" t="str">
        <f>IF(OR(ISERR(G34/G33-1),G34=""),"",IF($B84=parametros!$I$3,G33/G34-1,G34/G33-1))</f>
        <v/>
      </c>
      <c r="H35" s="51" t="str">
        <f>IF(OR(ISERR(H34/H33-1),H34=""),"",IF($B84=parametros!$I$3,H33/H34-1,H34/H33-1))</f>
        <v/>
      </c>
      <c r="I35" s="51" t="str">
        <f>IF(OR(ISERR(I34/I33-1),I34=""),"",IF($B84=parametros!$I$3,I33/I34-1,I34/I33-1))</f>
        <v/>
      </c>
      <c r="J35" s="51" t="str">
        <f>IF(OR(ISERR(J34/J33-1),J34=""),"",IF($B84=parametros!$I$3,J33/J34-1,J34/J33-1))</f>
        <v/>
      </c>
      <c r="K35" s="51" t="str">
        <f>IF(OR(ISERR(K34/K33-1),K34=""),"",IF($B84=parametros!$I$3,K33/K34-1,K34/K33-1))</f>
        <v/>
      </c>
      <c r="L35" s="51" t="str">
        <f>IF(OR(ISERR(L34/L33-1),L34=""),"",IF($B84=parametros!$I$3,L33/L34-1,L34/L33-1))</f>
        <v/>
      </c>
      <c r="M35" s="51" t="str">
        <f>IF(OR(ISERR(M34/M33-1),M34=""),"",IF($B84=parametros!$I$3,M33/M34-1,M34/M33-1))</f>
        <v/>
      </c>
      <c r="N35" s="51" t="str">
        <f>IF(OR(ISERR(N34/N33-1),N34=""),"",IF($B84=parametros!$I$3,N33/N34-1,N34/N33-1))</f>
        <v/>
      </c>
      <c r="O35" s="51" t="str">
        <f>IF(OR(ISERR(O34/O33-1),O34=""),"",IF($B84=parametros!$I$3,O33/O34-1,O34/O33-1))</f>
        <v/>
      </c>
      <c r="P35" s="51" t="str">
        <f>IF(OR(ISERR(P34/P33-1),P34=""),"",IF($B84=parametros!$I$3,P33/P34-1,P34/P33-1))</f>
        <v/>
      </c>
      <c r="Q35" s="51" t="str">
        <f>IF(OR(ISERR(Q34/Q33-1),Q34=""),"",IF($B85=parametros!$I$3,Q33/Q34-1,Q34/Q33-1))</f>
        <v/>
      </c>
      <c r="R35" s="51" t="str">
        <f>IF(OR(ISERR(R34/R33-1),R34=""),"",IF($B85=parametros!$I$3,R33/R34-1,R34/R33-1))</f>
        <v/>
      </c>
      <c r="T35" s="51" t="str">
        <f>IF(OR(ISERR(T34/T33-1),T34=""),"",IF($B85=parametros!$I$3,T33/T34-1,T34/T33-1))</f>
        <v/>
      </c>
      <c r="U35" s="51" t="str">
        <f>IF(OR(ISERR(U34/U33-1),U34=""),"",IF($B85=parametros!$I$3,U33/U34-1,U34/U33-1))</f>
        <v/>
      </c>
      <c r="V35" s="51" t="str">
        <f>IF(OR(ISERR(V34/V33-1),V34=""),"",IF($B85=parametros!$I$3,V33/V34-1,V34/V33-1))</f>
        <v/>
      </c>
      <c r="W35" s="51" t="str">
        <f>IF(OR(ISERR(W34/W33-1),W34=""),"",IF($B85=parametros!$I$3,W33/W34-1,W34/W33-1))</f>
        <v/>
      </c>
      <c r="X35" s="51" t="str">
        <f>IF(OR(ISERR(X34/X33-1),X34=""),"",IF($B85=parametros!$I$3,X33/X34-1,X34/X33-1))</f>
        <v/>
      </c>
      <c r="Y35" s="51" t="str">
        <f>IF(OR(ISERR(Y34/Y33-1),Y34=""),"",IF($B85=parametros!$I$3,Y33/Y34-1,Y34/Y33-1))</f>
        <v/>
      </c>
      <c r="Z35" s="51" t="str">
        <f>IF(OR(ISERR(Z34/Z33-1),Z34=""),"",IF($B85=parametros!$I$3,Z33/Z34-1,Z34/Z33-1))</f>
        <v/>
      </c>
      <c r="AA35" s="51" t="str">
        <f>IF(OR(ISERR(AA34/AA33-1),AA34=""),"",IF($B85=parametros!$I$3,AA33/AA34-1,AA34/AA33-1))</f>
        <v/>
      </c>
      <c r="AB35" s="51" t="str">
        <f>IF(OR(ISERR(AB34/AB33-1),AB34=""),"",IF($B85=parametros!$I$3,AB33/AB34-1,AB34/AB33-1))</f>
        <v/>
      </c>
      <c r="AC35" s="51" t="str">
        <f>IF(OR(ISERR(AC34/AC33-1),AC34=""),"",IF($B85=parametros!$I$3,AC33/AC34-1,AC34/AC33-1))</f>
        <v/>
      </c>
      <c r="AD35" s="51" t="str">
        <f>IF(OR(ISERR(AD34/AD33-1),AD34=""),"",IF($B85=parametros!$I$3,AD33/AD34-1,AD34/AD33-1))</f>
        <v/>
      </c>
      <c r="AE35" s="51" t="str">
        <f>IF(OR(ISERR(AE34/AE33-1),AE34=""),"",IF($B85=parametros!$I$3,AE33/AE34-1,AE34/AE33-1))</f>
        <v/>
      </c>
      <c r="AF35" s="51" t="str">
        <f>IF(OR(ISERR(AF34/AF33-1),AF34=""),"",IF($B85=parametros!$I$3,AF33/AF34-1,AF34/AF33-1))</f>
        <v/>
      </c>
      <c r="AG35" s="51" t="str">
        <f>IF(OR(ISERR(AG34/AG33-1),AG34=""),"",IF($B85=parametros!$I$3,AG33/AG34-1,AG34/AG33-1))</f>
        <v/>
      </c>
      <c r="AI35" s="51" t="str">
        <f>IF(OR(ISERR(AI34/AI33-1),AI34=""),"",IF($B85=parametros!$I$3,AI33/AI34-1,AI34/AI33-1))</f>
        <v/>
      </c>
      <c r="AJ35" s="51" t="str">
        <f>IF(OR(ISERR(AJ34/AJ33-1),AJ34=""),"",IF($B85=parametros!$I$3,AJ33/AJ34-1,AJ34/AJ33-1))</f>
        <v/>
      </c>
      <c r="AK35" s="51" t="str">
        <f>IF(OR(ISERR(AK34/AK33-1),AK34=""),"",IF($B85=parametros!$I$3,AK33/AK34-1,AK34/AK33-1))</f>
        <v/>
      </c>
      <c r="AL35" s="51" t="str">
        <f>IF(OR(ISERR(AL34/AL33-1),AL34=""),"",IF($B85=parametros!$I$3,AL33/AL34-1,AL34/AL33-1))</f>
        <v/>
      </c>
      <c r="AM35" s="51" t="str">
        <f>IF(OR(ISERR(AM34/AM33-1),AM34=""),"",IF($B85=parametros!$I$3,AM33/AM34-1,AM34/AM33-1))</f>
        <v/>
      </c>
      <c r="AN35" s="51" t="str">
        <f>IF(OR(ISERR(AN34/AN33-1),AN34=""),"",IF($B85=parametros!$I$3,AN33/AN34-1,AN34/AN33-1))</f>
        <v/>
      </c>
      <c r="AO35" s="51" t="str">
        <f>IF(OR(ISERR(AO34/AO33-1),AO34=""),"",IF($B85=parametros!$I$3,AO33/AO34-1,AO34/AO33-1))</f>
        <v/>
      </c>
      <c r="AP35" s="51" t="str">
        <f>IF(OR(ISERR(AP34/AP33-1),AP34=""),"",IF($B85=parametros!$I$3,AP33/AP34-1,AP34/AP33-1))</f>
        <v/>
      </c>
      <c r="AQ35" s="51" t="str">
        <f>IF(OR(ISERR(AQ34/AQ33-1),AQ34=""),"",IF($B85=parametros!$I$3,AQ33/AQ34-1,AQ34/AQ33-1))</f>
        <v/>
      </c>
      <c r="AR35" s="51" t="str">
        <f>IF(OR(ISERR(AR34/AR33-1),AR34=""),"",IF($B85=parametros!$I$3,AR33/AR34-1,AR34/AR33-1))</f>
        <v/>
      </c>
      <c r="AS35" s="51" t="str">
        <f>IF(OR(ISERR(AS34/AS33-1),AS34=""),"",IF($B85=parametros!$I$3,AS33/AS34-1,AS34/AS33-1))</f>
        <v/>
      </c>
      <c r="AT35" s="51" t="str">
        <f>IF(OR(ISERR(AT34/AT33-1),AT34=""),"",IF($B85=parametros!$I$3,AT33/AT34-1,AT34/AT33-1))</f>
        <v/>
      </c>
      <c r="AU35" s="51" t="str">
        <f>IF(OR(ISERR(AU34/AU33-1),AU34=""),"",IF($B85=parametros!$I$3,AU33/AU34-1,AU34/AU33-1))</f>
        <v/>
      </c>
      <c r="AV35" s="51" t="str">
        <f>IF(OR(ISERR(AV34/AV33-1),AV34=""),"",IF($B85=parametros!$I$3,AV33/AV34-1,AV34/AV33-1))</f>
        <v/>
      </c>
      <c r="AX35" s="51" t="str">
        <f>IF(OR(ISERR(AX34/AX33-1),AX34=""),"",IF($B85=parametros!$I$3,AX33/AX34-1,AX34/AX33-1))</f>
        <v/>
      </c>
      <c r="AY35" s="51" t="str">
        <f>IF(OR(ISERR(AY34/AY33-1),AY34=""),"",IF($B85=parametros!$I$3,AY33/AY34-1,AY34/AY33-1))</f>
        <v/>
      </c>
      <c r="AZ35" s="51" t="str">
        <f>IF(OR(ISERR(AZ34/AZ33-1),AZ34=""),"",IF($B85=parametros!$I$3,AZ33/AZ34-1,AZ34/AZ33-1))</f>
        <v/>
      </c>
      <c r="BA35" s="51" t="str">
        <f>IF(OR(ISERR(BA34/BA33-1),BA34=""),"",IF($B85=parametros!$I$3,BA33/BA34-1,BA34/BA33-1))</f>
        <v/>
      </c>
      <c r="BB35" s="51" t="str">
        <f>IF(OR(ISERR(BB34/BB33-1),BB34=""),"",IF($B85=parametros!$I$3,BB33/BB34-1,BB34/BB33-1))</f>
        <v/>
      </c>
      <c r="BC35" s="51" t="str">
        <f>IF(OR(ISERR(BC34/BC33-1),BC34=""),"",IF($B85=parametros!$I$3,BC33/BC34-1,BC34/BC33-1))</f>
        <v/>
      </c>
      <c r="BD35" s="51" t="str">
        <f>IF(OR(ISERR(BD34/BD33-1),BD34=""),"",IF($B85=parametros!$I$3,BD33/BD34-1,BD34/BD33-1))</f>
        <v/>
      </c>
      <c r="BE35" s="51" t="str">
        <f>IF(OR(ISERR(BE34/BE33-1),BE34=""),"",IF($B85=parametros!$I$3,BE33/BE34-1,BE34/BE33-1))</f>
        <v/>
      </c>
      <c r="BF35" s="51" t="str">
        <f>IF(OR(ISERR(BF34/BF33-1),BF34=""),"",IF($B85=parametros!$I$3,BF33/BF34-1,BF34/BF33-1))</f>
        <v/>
      </c>
      <c r="BG35" s="51" t="str">
        <f>IF(OR(ISERR(BG34/BG33-1),BG34=""),"",IF($B85=parametros!$I$3,BG33/BG34-1,BG34/BG33-1))</f>
        <v/>
      </c>
      <c r="BH35" s="51" t="str">
        <f>IF(OR(ISERR(BH34/BH33-1),BH34=""),"",IF($B85=parametros!$I$3,BH33/BH34-1,BH34/BH33-1))</f>
        <v/>
      </c>
      <c r="BI35" s="51" t="str">
        <f>IF(OR(ISERR(BI34/BI33-1),BI34=""),"",IF($B85=parametros!$I$3,BI33/BI34-1,BI34/BI33-1))</f>
        <v/>
      </c>
      <c r="BJ35" s="51" t="str">
        <f>IF(OR(ISERR(BJ34/BJ33-1),BJ34=""),"",IF($B85=parametros!$I$3,BJ33/BJ34-1,BJ34/BJ33-1))</f>
        <v/>
      </c>
      <c r="BK35" s="51" t="str">
        <f>IF(OR(ISERR(BK34/BK33-1),BK34=""),"",IF($B85=parametros!$I$3,BK33/BK34-1,BK34/BK33-1))</f>
        <v/>
      </c>
      <c r="BM35" s="51" t="str">
        <f>IF(OR(ISERR(BM34/BM33-1),BM34=""),"",IF($B85=parametros!$I$3,BM33/BM34-1,BM34/BM33-1))</f>
        <v/>
      </c>
      <c r="BN35" s="51" t="str">
        <f>IF(OR(ISERR(BN34/BN33-1),BN34=""),"",IF($B85=parametros!$I$3,BN33/BN34-1,BN34/BN33-1))</f>
        <v/>
      </c>
      <c r="BO35" s="51" t="str">
        <f>IF(OR(ISERR(BO34/BO33-1),BO34=""),"",IF($B85=parametros!$I$3,BO33/BO34-1,BO34/BO33-1))</f>
        <v/>
      </c>
      <c r="BP35" s="51" t="str">
        <f>IF(OR(ISERR(BP34/BP33-1),BP34=""),"",IF($B85=parametros!$I$3,BP33/BP34-1,BP34/BP33-1))</f>
        <v/>
      </c>
      <c r="BQ35" s="51" t="str">
        <f>IF(OR(ISERR(BQ34/BQ33-1),BQ34=""),"",IF($B85=parametros!$I$3,BQ33/BQ34-1,BQ34/BQ33-1))</f>
        <v/>
      </c>
      <c r="BR35" s="51" t="str">
        <f>IF(OR(ISERR(BR34/BR33-1),BR34=""),"",IF($B85=parametros!$I$3,BR33/BR34-1,BR34/BR33-1))</f>
        <v/>
      </c>
      <c r="BS35" s="51" t="str">
        <f>IF(OR(ISERR(BS34/BS33-1),BS34=""),"",IF($B85=parametros!$I$3,BS33/BS34-1,BS34/BS33-1))</f>
        <v/>
      </c>
      <c r="BT35" s="51" t="str">
        <f>IF(OR(ISERR(BT34/BT33-1),BT34=""),"",IF($B85=parametros!$I$3,BT33/BT34-1,BT34/BT33-1))</f>
        <v/>
      </c>
      <c r="BU35" s="51" t="str">
        <f>IF(OR(ISERR(BU34/BU33-1),BU34=""),"",IF($B85=parametros!$I$3,BU33/BU34-1,BU34/BU33-1))</f>
        <v/>
      </c>
      <c r="BV35" s="51" t="str">
        <f>IF(OR(ISERR(BV34/BV33-1),BV34=""),"",IF($B85=parametros!$I$3,BV33/BV34-1,BV34/BV33-1))</f>
        <v/>
      </c>
      <c r="BW35" s="51" t="str">
        <f>IF(OR(ISERR(BW34/BW33-1),BW34=""),"",IF($B85=parametros!$I$3,BW33/BW34-1,BW34/BW33-1))</f>
        <v/>
      </c>
      <c r="BX35" s="51" t="str">
        <f>IF(OR(ISERR(BX34/BX33-1),BX34=""),"",IF($B85=parametros!$I$3,BX33/BX34-1,BX34/BX33-1))</f>
        <v/>
      </c>
      <c r="BY35" s="51" t="str">
        <f>IF(OR(ISERR(BY34/BY33-1),BY34=""),"",IF($B85=parametros!$I$3,BY33/BY34-1,BY34/BY33-1))</f>
        <v/>
      </c>
      <c r="BZ35" s="51" t="str">
        <f>IF(OR(ISERR(BZ34/BZ33-1),BZ34=""),"",IF($B85=parametros!$I$3,BZ33/BZ34-1,BZ34/BZ33-1))</f>
        <v/>
      </c>
    </row>
    <row r="36" spans="1:78" ht="4.95" customHeight="1" x14ac:dyDescent="0.4"/>
    <row r="37" spans="1:78" ht="22.05" customHeight="1" thickBot="1" x14ac:dyDescent="0.45">
      <c r="B37" s="104">
        <f>7</f>
        <v>7</v>
      </c>
      <c r="C37" s="33" t="s">
        <v>70</v>
      </c>
      <c r="D37" s="41" t="s">
        <v>44</v>
      </c>
      <c r="E37" s="34" t="s">
        <v>47</v>
      </c>
      <c r="F37" s="34" t="s">
        <v>48</v>
      </c>
      <c r="G37" s="34" t="s">
        <v>49</v>
      </c>
      <c r="H37" s="34" t="s">
        <v>50</v>
      </c>
      <c r="I37" s="34" t="s">
        <v>51</v>
      </c>
      <c r="J37" s="34" t="s">
        <v>52</v>
      </c>
      <c r="K37" s="34" t="s">
        <v>53</v>
      </c>
      <c r="L37" s="34" t="s">
        <v>54</v>
      </c>
      <c r="M37" s="34" t="s">
        <v>55</v>
      </c>
      <c r="N37" s="34" t="s">
        <v>56</v>
      </c>
      <c r="O37" s="34" t="s">
        <v>57</v>
      </c>
      <c r="P37" s="34" t="s">
        <v>58</v>
      </c>
      <c r="Q37" s="34" t="s">
        <v>59</v>
      </c>
      <c r="R37" s="35" t="s">
        <v>60</v>
      </c>
      <c r="T37" s="34" t="s">
        <v>47</v>
      </c>
      <c r="U37" s="34" t="s">
        <v>48</v>
      </c>
      <c r="V37" s="34" t="s">
        <v>49</v>
      </c>
      <c r="W37" s="34" t="s">
        <v>50</v>
      </c>
      <c r="X37" s="34" t="s">
        <v>51</v>
      </c>
      <c r="Y37" s="34" t="s">
        <v>52</v>
      </c>
      <c r="Z37" s="34" t="s">
        <v>53</v>
      </c>
      <c r="AA37" s="34" t="s">
        <v>54</v>
      </c>
      <c r="AB37" s="34" t="s">
        <v>55</v>
      </c>
      <c r="AC37" s="34" t="s">
        <v>56</v>
      </c>
      <c r="AD37" s="34" t="s">
        <v>57</v>
      </c>
      <c r="AE37" s="34" t="s">
        <v>58</v>
      </c>
      <c r="AF37" s="34" t="s">
        <v>59</v>
      </c>
      <c r="AG37" s="35" t="s">
        <v>60</v>
      </c>
      <c r="AI37" s="34" t="s">
        <v>47</v>
      </c>
      <c r="AJ37" s="34" t="s">
        <v>48</v>
      </c>
      <c r="AK37" s="34" t="s">
        <v>49</v>
      </c>
      <c r="AL37" s="34" t="s">
        <v>50</v>
      </c>
      <c r="AM37" s="34" t="s">
        <v>51</v>
      </c>
      <c r="AN37" s="34" t="s">
        <v>52</v>
      </c>
      <c r="AO37" s="34" t="s">
        <v>53</v>
      </c>
      <c r="AP37" s="34" t="s">
        <v>54</v>
      </c>
      <c r="AQ37" s="34" t="s">
        <v>55</v>
      </c>
      <c r="AR37" s="34" t="s">
        <v>56</v>
      </c>
      <c r="AS37" s="34" t="s">
        <v>57</v>
      </c>
      <c r="AT37" s="34" t="s">
        <v>58</v>
      </c>
      <c r="AU37" s="34" t="s">
        <v>59</v>
      </c>
      <c r="AV37" s="35" t="s">
        <v>60</v>
      </c>
      <c r="AX37" s="34" t="s">
        <v>47</v>
      </c>
      <c r="AY37" s="34" t="s">
        <v>48</v>
      </c>
      <c r="AZ37" s="34" t="s">
        <v>49</v>
      </c>
      <c r="BA37" s="34" t="s">
        <v>50</v>
      </c>
      <c r="BB37" s="34" t="s">
        <v>51</v>
      </c>
      <c r="BC37" s="34" t="s">
        <v>52</v>
      </c>
      <c r="BD37" s="34" t="s">
        <v>53</v>
      </c>
      <c r="BE37" s="34" t="s">
        <v>54</v>
      </c>
      <c r="BF37" s="34" t="s">
        <v>55</v>
      </c>
      <c r="BG37" s="34" t="s">
        <v>56</v>
      </c>
      <c r="BH37" s="34" t="s">
        <v>57</v>
      </c>
      <c r="BI37" s="34" t="s">
        <v>58</v>
      </c>
      <c r="BJ37" s="34" t="s">
        <v>59</v>
      </c>
      <c r="BK37" s="35" t="s">
        <v>60</v>
      </c>
      <c r="BM37" s="34" t="s">
        <v>47</v>
      </c>
      <c r="BN37" s="34" t="s">
        <v>48</v>
      </c>
      <c r="BO37" s="34" t="s">
        <v>49</v>
      </c>
      <c r="BP37" s="34" t="s">
        <v>50</v>
      </c>
      <c r="BQ37" s="34" t="s">
        <v>51</v>
      </c>
      <c r="BR37" s="34" t="s">
        <v>52</v>
      </c>
      <c r="BS37" s="34" t="s">
        <v>53</v>
      </c>
      <c r="BT37" s="34" t="s">
        <v>54</v>
      </c>
      <c r="BU37" s="34" t="s">
        <v>55</v>
      </c>
      <c r="BV37" s="34" t="s">
        <v>56</v>
      </c>
      <c r="BW37" s="34" t="s">
        <v>57</v>
      </c>
      <c r="BX37" s="34" t="s">
        <v>58</v>
      </c>
      <c r="BY37" s="34" t="s">
        <v>59</v>
      </c>
      <c r="BZ37" s="35" t="s">
        <v>60</v>
      </c>
    </row>
    <row r="38" spans="1:78" ht="22.05" customHeight="1" thickBot="1" x14ac:dyDescent="0.45">
      <c r="A38" s="104" t="str">
        <f>_xlfn.CONCAT(D38,B37)</f>
        <v>Planejado7</v>
      </c>
      <c r="C38" s="248" t="str">
        <f>C65</f>
        <v xml:space="preserve">: </v>
      </c>
      <c r="D38" s="37" t="s">
        <v>61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  <c r="Q38" s="45">
        <f>SUMIF(E98:P98,"=1",E38:P38)</f>
        <v>0</v>
      </c>
      <c r="R38" s="46">
        <f>SUM(E38:P38)</f>
        <v>0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4"/>
      <c r="AF38" s="45">
        <f>SUMIF(T98:AE98,"=1",T38:AE38)</f>
        <v>0</v>
      </c>
      <c r="AG38" s="46">
        <f>SUM(T38:AE38)</f>
        <v>0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4"/>
      <c r="AU38" s="45">
        <f>SUMIF(AI98:AT98,"=1",AI38:AT38)</f>
        <v>0</v>
      </c>
      <c r="AV38" s="46">
        <f>SUM(AI38:AT38)</f>
        <v>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4"/>
      <c r="BJ38" s="45">
        <f>SUMIF(AX98:BI98,"=1",AX38:BI38)</f>
        <v>0</v>
      </c>
      <c r="BK38" s="46">
        <f>SUM(AX38:BI38)</f>
        <v>0</v>
      </c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4"/>
      <c r="BY38" s="45">
        <f>SUMIF(BM98:BX98,"=1",BM38:BX38)</f>
        <v>0</v>
      </c>
      <c r="BZ38" s="46">
        <f>SUM(BM38:BX38)</f>
        <v>0</v>
      </c>
    </row>
    <row r="39" spans="1:78" ht="22.05" customHeight="1" thickBot="1" x14ac:dyDescent="0.45">
      <c r="A39" s="104" t="str">
        <f>_xlfn.CONCAT(D39,B37)</f>
        <v>Realizado7</v>
      </c>
      <c r="C39" s="249"/>
      <c r="D39" s="38" t="s">
        <v>62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5">
        <f>SUMIF(E98:P98,"=1",E39:P39)</f>
        <v>0</v>
      </c>
      <c r="R39" s="46">
        <f>SUM(E39:P39)</f>
        <v>0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9"/>
      <c r="AF39" s="45">
        <f>SUMIF(T98:AE98,"=1",T39:AE39)</f>
        <v>0</v>
      </c>
      <c r="AG39" s="46">
        <f>SUM(T39:AE39)</f>
        <v>0</v>
      </c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5">
        <f>SUMIF(AI98:AT98,"=1",AI39:AT39)</f>
        <v>0</v>
      </c>
      <c r="AV39" s="46">
        <f>SUM(AI39:AT39)</f>
        <v>0</v>
      </c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9"/>
      <c r="BJ39" s="45">
        <f>SUMIF(AX98:BI98,"=1",AX39:BI39)</f>
        <v>0</v>
      </c>
      <c r="BK39" s="46">
        <f>SUM(AX39:BI39)</f>
        <v>0</v>
      </c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9"/>
      <c r="BY39" s="45">
        <f>SUMIF(BM98:BX98,"=1",BM39:BX39)</f>
        <v>0</v>
      </c>
      <c r="BZ39" s="46">
        <f>SUM(BM39:BX39)</f>
        <v>0</v>
      </c>
    </row>
    <row r="40" spans="1:78" ht="22.05" customHeight="1" thickBot="1" x14ac:dyDescent="0.45">
      <c r="C40" s="249"/>
      <c r="D40" s="36" t="s">
        <v>63</v>
      </c>
      <c r="E40" s="51" t="str">
        <f>IF(OR(ISERR(E39/E38-1),E39=""),"",IF($B89=parametros!$I$3,E38/E39-1,E39/E38-1))</f>
        <v/>
      </c>
      <c r="F40" s="51" t="str">
        <f>IF(OR(ISERR(F39/F38-1),F39=""),"",IF($B89=parametros!$I$3,F38/F39-1,F39/F38-1))</f>
        <v/>
      </c>
      <c r="G40" s="51" t="str">
        <f>IF(OR(ISERR(G39/G38-1),G39=""),"",IF($B89=parametros!$I$3,G38/G39-1,G39/G38-1))</f>
        <v/>
      </c>
      <c r="H40" s="51" t="str">
        <f>IF(OR(ISERR(H39/H38-1),H39=""),"",IF($B89=parametros!$I$3,H38/H39-1,H39/H38-1))</f>
        <v/>
      </c>
      <c r="I40" s="51" t="str">
        <f>IF(OR(ISERR(I39/I38-1),I39=""),"",IF($B89=parametros!$I$3,I38/I39-1,I39/I38-1))</f>
        <v/>
      </c>
      <c r="J40" s="51" t="str">
        <f>IF(OR(ISERR(J39/J38-1),J39=""),"",IF($B89=parametros!$I$3,J38/J39-1,J39/J38-1))</f>
        <v/>
      </c>
      <c r="K40" s="51" t="str">
        <f>IF(OR(ISERR(K39/K38-1),K39=""),"",IF($B89=parametros!$I$3,K38/K39-1,K39/K38-1))</f>
        <v/>
      </c>
      <c r="L40" s="51" t="str">
        <f>IF(OR(ISERR(L39/L38-1),L39=""),"",IF($B89=parametros!$I$3,L38/L39-1,L39/L38-1))</f>
        <v/>
      </c>
      <c r="M40" s="51" t="str">
        <f>IF(OR(ISERR(M39/M38-1),M39=""),"",IF($B89=parametros!$I$3,M38/M39-1,M39/M38-1))</f>
        <v/>
      </c>
      <c r="N40" s="51" t="str">
        <f>IF(OR(ISERR(N39/N38-1),N39=""),"",IF($B89=parametros!$I$3,N38/N39-1,N39/N38-1))</f>
        <v/>
      </c>
      <c r="O40" s="51" t="str">
        <f>IF(OR(ISERR(O39/O38-1),O39=""),"",IF($B89=parametros!$I$3,O38/O39-1,O39/O38-1))</f>
        <v/>
      </c>
      <c r="P40" s="51" t="str">
        <f>IF(OR(ISERR(P39/P38-1),P39=""),"",IF($B89=parametros!$I$3,P38/P39-1,P39/P38-1))</f>
        <v/>
      </c>
      <c r="Q40" s="51" t="str">
        <f>IF(OR(ISERR(Q39/Q38-1),Q39=""),"",IF($B90=parametros!$I$3,Q38/Q39-1,Q39/Q38-1))</f>
        <v/>
      </c>
      <c r="R40" s="51" t="str">
        <f>IF(OR(ISERR(R39/R38-1),R39=""),"",IF($B90=parametros!$I$3,R38/R39-1,R39/R38-1))</f>
        <v/>
      </c>
      <c r="T40" s="51" t="str">
        <f>IF(OR(ISERR(T39/T38-1),T39=""),"",IF($B90=parametros!$I$3,T38/T39-1,T39/T38-1))</f>
        <v/>
      </c>
      <c r="U40" s="51" t="str">
        <f>IF(OR(ISERR(U39/U38-1),U39=""),"",IF($B90=parametros!$I$3,U38/U39-1,U39/U38-1))</f>
        <v/>
      </c>
      <c r="V40" s="51" t="str">
        <f>IF(OR(ISERR(V39/V38-1),V39=""),"",IF($B90=parametros!$I$3,V38/V39-1,V39/V38-1))</f>
        <v/>
      </c>
      <c r="W40" s="51" t="str">
        <f>IF(OR(ISERR(W39/W38-1),W39=""),"",IF($B90=parametros!$I$3,W38/W39-1,W39/W38-1))</f>
        <v/>
      </c>
      <c r="X40" s="51" t="str">
        <f>IF(OR(ISERR(X39/X38-1),X39=""),"",IF($B90=parametros!$I$3,X38/X39-1,X39/X38-1))</f>
        <v/>
      </c>
      <c r="Y40" s="51" t="str">
        <f>IF(OR(ISERR(Y39/Y38-1),Y39=""),"",IF($B90=parametros!$I$3,Y38/Y39-1,Y39/Y38-1))</f>
        <v/>
      </c>
      <c r="Z40" s="51" t="str">
        <f>IF(OR(ISERR(Z39/Z38-1),Z39=""),"",IF($B90=parametros!$I$3,Z38/Z39-1,Z39/Z38-1))</f>
        <v/>
      </c>
      <c r="AA40" s="51" t="str">
        <f>IF(OR(ISERR(AA39/AA38-1),AA39=""),"",IF($B90=parametros!$I$3,AA38/AA39-1,AA39/AA38-1))</f>
        <v/>
      </c>
      <c r="AB40" s="51" t="str">
        <f>IF(OR(ISERR(AB39/AB38-1),AB39=""),"",IF($B90=parametros!$I$3,AB38/AB39-1,AB39/AB38-1))</f>
        <v/>
      </c>
      <c r="AC40" s="51" t="str">
        <f>IF(OR(ISERR(AC39/AC38-1),AC39=""),"",IF($B90=parametros!$I$3,AC38/AC39-1,AC39/AC38-1))</f>
        <v/>
      </c>
      <c r="AD40" s="51" t="str">
        <f>IF(OR(ISERR(AD39/AD38-1),AD39=""),"",IF($B90=parametros!$I$3,AD38/AD39-1,AD39/AD38-1))</f>
        <v/>
      </c>
      <c r="AE40" s="51" t="str">
        <f>IF(OR(ISERR(AE39/AE38-1),AE39=""),"",IF($B90=parametros!$I$3,AE38/AE39-1,AE39/AE38-1))</f>
        <v/>
      </c>
      <c r="AF40" s="51" t="str">
        <f>IF(OR(ISERR(AF39/AF38-1),AF39=""),"",IF($B90=parametros!$I$3,AF38/AF39-1,AF39/AF38-1))</f>
        <v/>
      </c>
      <c r="AG40" s="51" t="str">
        <f>IF(OR(ISERR(AG39/AG38-1),AG39=""),"",IF($B90=parametros!$I$3,AG38/AG39-1,AG39/AG38-1))</f>
        <v/>
      </c>
      <c r="AI40" s="51" t="str">
        <f>IF(OR(ISERR(AI39/AI38-1),AI39=""),"",IF($B90=parametros!$I$3,AI38/AI39-1,AI39/AI38-1))</f>
        <v/>
      </c>
      <c r="AJ40" s="51" t="str">
        <f>IF(OR(ISERR(AJ39/AJ38-1),AJ39=""),"",IF($B90=parametros!$I$3,AJ38/AJ39-1,AJ39/AJ38-1))</f>
        <v/>
      </c>
      <c r="AK40" s="51" t="str">
        <f>IF(OR(ISERR(AK39/AK38-1),AK39=""),"",IF($B90=parametros!$I$3,AK38/AK39-1,AK39/AK38-1))</f>
        <v/>
      </c>
      <c r="AL40" s="51" t="str">
        <f>IF(OR(ISERR(AL39/AL38-1),AL39=""),"",IF($B90=parametros!$I$3,AL38/AL39-1,AL39/AL38-1))</f>
        <v/>
      </c>
      <c r="AM40" s="51" t="str">
        <f>IF(OR(ISERR(AM39/AM38-1),AM39=""),"",IF($B90=parametros!$I$3,AM38/AM39-1,AM39/AM38-1))</f>
        <v/>
      </c>
      <c r="AN40" s="51" t="str">
        <f>IF(OR(ISERR(AN39/AN38-1),AN39=""),"",IF($B90=parametros!$I$3,AN38/AN39-1,AN39/AN38-1))</f>
        <v/>
      </c>
      <c r="AO40" s="51" t="str">
        <f>IF(OR(ISERR(AO39/AO38-1),AO39=""),"",IF($B90=parametros!$I$3,AO38/AO39-1,AO39/AO38-1))</f>
        <v/>
      </c>
      <c r="AP40" s="51" t="str">
        <f>IF(OR(ISERR(AP39/AP38-1),AP39=""),"",IF($B90=parametros!$I$3,AP38/AP39-1,AP39/AP38-1))</f>
        <v/>
      </c>
      <c r="AQ40" s="51" t="str">
        <f>IF(OR(ISERR(AQ39/AQ38-1),AQ39=""),"",IF($B90=parametros!$I$3,AQ38/AQ39-1,AQ39/AQ38-1))</f>
        <v/>
      </c>
      <c r="AR40" s="51" t="str">
        <f>IF(OR(ISERR(AR39/AR38-1),AR39=""),"",IF($B90=parametros!$I$3,AR38/AR39-1,AR39/AR38-1))</f>
        <v/>
      </c>
      <c r="AS40" s="51" t="str">
        <f>IF(OR(ISERR(AS39/AS38-1),AS39=""),"",IF($B90=parametros!$I$3,AS38/AS39-1,AS39/AS38-1))</f>
        <v/>
      </c>
      <c r="AT40" s="51" t="str">
        <f>IF(OR(ISERR(AT39/AT38-1),AT39=""),"",IF($B90=parametros!$I$3,AT38/AT39-1,AT39/AT38-1))</f>
        <v/>
      </c>
      <c r="AU40" s="51" t="str">
        <f>IF(OR(ISERR(AU39/AU38-1),AU39=""),"",IF($B90=parametros!$I$3,AU38/AU39-1,AU39/AU38-1))</f>
        <v/>
      </c>
      <c r="AV40" s="51" t="str">
        <f>IF(OR(ISERR(AV39/AV38-1),AV39=""),"",IF($B90=parametros!$I$3,AV38/AV39-1,AV39/AV38-1))</f>
        <v/>
      </c>
      <c r="AX40" s="51" t="str">
        <f>IF(OR(ISERR(AX39/AX38-1),AX39=""),"",IF($B90=parametros!$I$3,AX38/AX39-1,AX39/AX38-1))</f>
        <v/>
      </c>
      <c r="AY40" s="51" t="str">
        <f>IF(OR(ISERR(AY39/AY38-1),AY39=""),"",IF($B90=parametros!$I$3,AY38/AY39-1,AY39/AY38-1))</f>
        <v/>
      </c>
      <c r="AZ40" s="51" t="str">
        <f>IF(OR(ISERR(AZ39/AZ38-1),AZ39=""),"",IF($B90=parametros!$I$3,AZ38/AZ39-1,AZ39/AZ38-1))</f>
        <v/>
      </c>
      <c r="BA40" s="51" t="str">
        <f>IF(OR(ISERR(BA39/BA38-1),BA39=""),"",IF($B90=parametros!$I$3,BA38/BA39-1,BA39/BA38-1))</f>
        <v/>
      </c>
      <c r="BB40" s="51" t="str">
        <f>IF(OR(ISERR(BB39/BB38-1),BB39=""),"",IF($B90=parametros!$I$3,BB38/BB39-1,BB39/BB38-1))</f>
        <v/>
      </c>
      <c r="BC40" s="51" t="str">
        <f>IF(OR(ISERR(BC39/BC38-1),BC39=""),"",IF($B90=parametros!$I$3,BC38/BC39-1,BC39/BC38-1))</f>
        <v/>
      </c>
      <c r="BD40" s="51" t="str">
        <f>IF(OR(ISERR(BD39/BD38-1),BD39=""),"",IF($B90=parametros!$I$3,BD38/BD39-1,BD39/BD38-1))</f>
        <v/>
      </c>
      <c r="BE40" s="51" t="str">
        <f>IF(OR(ISERR(BE39/BE38-1),BE39=""),"",IF($B90=parametros!$I$3,BE38/BE39-1,BE39/BE38-1))</f>
        <v/>
      </c>
      <c r="BF40" s="51" t="str">
        <f>IF(OR(ISERR(BF39/BF38-1),BF39=""),"",IF($B90=parametros!$I$3,BF38/BF39-1,BF39/BF38-1))</f>
        <v/>
      </c>
      <c r="BG40" s="51" t="str">
        <f>IF(OR(ISERR(BG39/BG38-1),BG39=""),"",IF($B90=parametros!$I$3,BG38/BG39-1,BG39/BG38-1))</f>
        <v/>
      </c>
      <c r="BH40" s="51" t="str">
        <f>IF(OR(ISERR(BH39/BH38-1),BH39=""),"",IF($B90=parametros!$I$3,BH38/BH39-1,BH39/BH38-1))</f>
        <v/>
      </c>
      <c r="BI40" s="51" t="str">
        <f>IF(OR(ISERR(BI39/BI38-1),BI39=""),"",IF($B90=parametros!$I$3,BI38/BI39-1,BI39/BI38-1))</f>
        <v/>
      </c>
      <c r="BJ40" s="51" t="str">
        <f>IF(OR(ISERR(BJ39/BJ38-1),BJ39=""),"",IF($B90=parametros!$I$3,BJ38/BJ39-1,BJ39/BJ38-1))</f>
        <v/>
      </c>
      <c r="BK40" s="51" t="str">
        <f>IF(OR(ISERR(BK39/BK38-1),BK39=""),"",IF($B90=parametros!$I$3,BK38/BK39-1,BK39/BK38-1))</f>
        <v/>
      </c>
      <c r="BM40" s="51" t="str">
        <f>IF(OR(ISERR(BM39/BM38-1),BM39=""),"",IF($B90=parametros!$I$3,BM38/BM39-1,BM39/BM38-1))</f>
        <v/>
      </c>
      <c r="BN40" s="51" t="str">
        <f>IF(OR(ISERR(BN39/BN38-1),BN39=""),"",IF($B90=parametros!$I$3,BN38/BN39-1,BN39/BN38-1))</f>
        <v/>
      </c>
      <c r="BO40" s="51" t="str">
        <f>IF(OR(ISERR(BO39/BO38-1),BO39=""),"",IF($B90=parametros!$I$3,BO38/BO39-1,BO39/BO38-1))</f>
        <v/>
      </c>
      <c r="BP40" s="51" t="str">
        <f>IF(OR(ISERR(BP39/BP38-1),BP39=""),"",IF($B90=parametros!$I$3,BP38/BP39-1,BP39/BP38-1))</f>
        <v/>
      </c>
      <c r="BQ40" s="51" t="str">
        <f>IF(OR(ISERR(BQ39/BQ38-1),BQ39=""),"",IF($B90=parametros!$I$3,BQ38/BQ39-1,BQ39/BQ38-1))</f>
        <v/>
      </c>
      <c r="BR40" s="51" t="str">
        <f>IF(OR(ISERR(BR39/BR38-1),BR39=""),"",IF($B90=parametros!$I$3,BR38/BR39-1,BR39/BR38-1))</f>
        <v/>
      </c>
      <c r="BS40" s="51" t="str">
        <f>IF(OR(ISERR(BS39/BS38-1),BS39=""),"",IF($B90=parametros!$I$3,BS38/BS39-1,BS39/BS38-1))</f>
        <v/>
      </c>
      <c r="BT40" s="51" t="str">
        <f>IF(OR(ISERR(BT39/BT38-1),BT39=""),"",IF($B90=parametros!$I$3,BT38/BT39-1,BT39/BT38-1))</f>
        <v/>
      </c>
      <c r="BU40" s="51" t="str">
        <f>IF(OR(ISERR(BU39/BU38-1),BU39=""),"",IF($B90=parametros!$I$3,BU38/BU39-1,BU39/BU38-1))</f>
        <v/>
      </c>
      <c r="BV40" s="51" t="str">
        <f>IF(OR(ISERR(BV39/BV38-1),BV39=""),"",IF($B90=parametros!$I$3,BV38/BV39-1,BV39/BV38-1))</f>
        <v/>
      </c>
      <c r="BW40" s="51" t="str">
        <f>IF(OR(ISERR(BW39/BW38-1),BW39=""),"",IF($B90=parametros!$I$3,BW38/BW39-1,BW39/BW38-1))</f>
        <v/>
      </c>
      <c r="BX40" s="51" t="str">
        <f>IF(OR(ISERR(BX39/BX38-1),BX39=""),"",IF($B90=parametros!$I$3,BX38/BX39-1,BX39/BX38-1))</f>
        <v/>
      </c>
      <c r="BY40" s="51" t="str">
        <f>IF(OR(ISERR(BY39/BY38-1),BY39=""),"",IF($B90=parametros!$I$3,BY38/BY39-1,BY39/BY38-1))</f>
        <v/>
      </c>
      <c r="BZ40" s="51" t="str">
        <f>IF(OR(ISERR(BZ39/BZ38-1),BZ39=""),"",IF($B90=parametros!$I$3,BZ38/BZ39-1,BZ39/BZ38-1))</f>
        <v/>
      </c>
    </row>
    <row r="41" spans="1:78" ht="4.95" customHeight="1" x14ac:dyDescent="0.4"/>
    <row r="42" spans="1:78" ht="22.05" customHeight="1" thickBot="1" x14ac:dyDescent="0.45">
      <c r="B42" s="104">
        <f>8</f>
        <v>8</v>
      </c>
      <c r="C42" s="33" t="s">
        <v>71</v>
      </c>
      <c r="D42" s="41" t="s">
        <v>44</v>
      </c>
      <c r="E42" s="34" t="s">
        <v>47</v>
      </c>
      <c r="F42" s="34" t="s">
        <v>48</v>
      </c>
      <c r="G42" s="34" t="s">
        <v>49</v>
      </c>
      <c r="H42" s="34" t="s">
        <v>50</v>
      </c>
      <c r="I42" s="34" t="s">
        <v>51</v>
      </c>
      <c r="J42" s="34" t="s">
        <v>52</v>
      </c>
      <c r="K42" s="34" t="s">
        <v>53</v>
      </c>
      <c r="L42" s="34" t="s">
        <v>54</v>
      </c>
      <c r="M42" s="34" t="s">
        <v>55</v>
      </c>
      <c r="N42" s="34" t="s">
        <v>56</v>
      </c>
      <c r="O42" s="34" t="s">
        <v>57</v>
      </c>
      <c r="P42" s="34" t="s">
        <v>58</v>
      </c>
      <c r="Q42" s="34" t="s">
        <v>59</v>
      </c>
      <c r="R42" s="35" t="s">
        <v>60</v>
      </c>
      <c r="T42" s="34" t="s">
        <v>47</v>
      </c>
      <c r="U42" s="34" t="s">
        <v>48</v>
      </c>
      <c r="V42" s="34" t="s">
        <v>49</v>
      </c>
      <c r="W42" s="34" t="s">
        <v>50</v>
      </c>
      <c r="X42" s="34" t="s">
        <v>51</v>
      </c>
      <c r="Y42" s="34" t="s">
        <v>52</v>
      </c>
      <c r="Z42" s="34" t="s">
        <v>53</v>
      </c>
      <c r="AA42" s="34" t="s">
        <v>54</v>
      </c>
      <c r="AB42" s="34" t="s">
        <v>55</v>
      </c>
      <c r="AC42" s="34" t="s">
        <v>56</v>
      </c>
      <c r="AD42" s="34" t="s">
        <v>57</v>
      </c>
      <c r="AE42" s="34" t="s">
        <v>58</v>
      </c>
      <c r="AF42" s="34" t="s">
        <v>59</v>
      </c>
      <c r="AG42" s="35" t="s">
        <v>60</v>
      </c>
      <c r="AI42" s="34" t="s">
        <v>47</v>
      </c>
      <c r="AJ42" s="34" t="s">
        <v>48</v>
      </c>
      <c r="AK42" s="34" t="s">
        <v>49</v>
      </c>
      <c r="AL42" s="34" t="s">
        <v>50</v>
      </c>
      <c r="AM42" s="34" t="s">
        <v>51</v>
      </c>
      <c r="AN42" s="34" t="s">
        <v>52</v>
      </c>
      <c r="AO42" s="34" t="s">
        <v>53</v>
      </c>
      <c r="AP42" s="34" t="s">
        <v>54</v>
      </c>
      <c r="AQ42" s="34" t="s">
        <v>55</v>
      </c>
      <c r="AR42" s="34" t="s">
        <v>56</v>
      </c>
      <c r="AS42" s="34" t="s">
        <v>57</v>
      </c>
      <c r="AT42" s="34" t="s">
        <v>58</v>
      </c>
      <c r="AU42" s="34" t="s">
        <v>59</v>
      </c>
      <c r="AV42" s="35" t="s">
        <v>60</v>
      </c>
      <c r="AX42" s="34" t="s">
        <v>47</v>
      </c>
      <c r="AY42" s="34" t="s">
        <v>48</v>
      </c>
      <c r="AZ42" s="34" t="s">
        <v>49</v>
      </c>
      <c r="BA42" s="34" t="s">
        <v>50</v>
      </c>
      <c r="BB42" s="34" t="s">
        <v>51</v>
      </c>
      <c r="BC42" s="34" t="s">
        <v>52</v>
      </c>
      <c r="BD42" s="34" t="s">
        <v>53</v>
      </c>
      <c r="BE42" s="34" t="s">
        <v>54</v>
      </c>
      <c r="BF42" s="34" t="s">
        <v>55</v>
      </c>
      <c r="BG42" s="34" t="s">
        <v>56</v>
      </c>
      <c r="BH42" s="34" t="s">
        <v>57</v>
      </c>
      <c r="BI42" s="34" t="s">
        <v>58</v>
      </c>
      <c r="BJ42" s="34" t="s">
        <v>59</v>
      </c>
      <c r="BK42" s="35" t="s">
        <v>60</v>
      </c>
      <c r="BM42" s="34" t="s">
        <v>47</v>
      </c>
      <c r="BN42" s="34" t="s">
        <v>48</v>
      </c>
      <c r="BO42" s="34" t="s">
        <v>49</v>
      </c>
      <c r="BP42" s="34" t="s">
        <v>50</v>
      </c>
      <c r="BQ42" s="34" t="s">
        <v>51</v>
      </c>
      <c r="BR42" s="34" t="s">
        <v>52</v>
      </c>
      <c r="BS42" s="34" t="s">
        <v>53</v>
      </c>
      <c r="BT42" s="34" t="s">
        <v>54</v>
      </c>
      <c r="BU42" s="34" t="s">
        <v>55</v>
      </c>
      <c r="BV42" s="34" t="s">
        <v>56</v>
      </c>
      <c r="BW42" s="34" t="s">
        <v>57</v>
      </c>
      <c r="BX42" s="34" t="s">
        <v>58</v>
      </c>
      <c r="BY42" s="34" t="s">
        <v>59</v>
      </c>
      <c r="BZ42" s="35" t="s">
        <v>60</v>
      </c>
    </row>
    <row r="43" spans="1:78" ht="22.05" customHeight="1" thickBot="1" x14ac:dyDescent="0.45">
      <c r="A43" s="104" t="str">
        <f>_xlfn.CONCAT(D43,B42)</f>
        <v>Planejado8</v>
      </c>
      <c r="C43" s="248" t="str">
        <f>C66</f>
        <v xml:space="preserve">: </v>
      </c>
      <c r="D43" s="37" t="s">
        <v>61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s="45">
        <f>SUMIF(E100:P100,"=1",E43:P43)</f>
        <v>0</v>
      </c>
      <c r="R43" s="46">
        <f>SUM(E43:P43)</f>
        <v>0</v>
      </c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4"/>
      <c r="AF43" s="45">
        <f>SUMIF(T100:AE100,"=1",T43:AE43)</f>
        <v>0</v>
      </c>
      <c r="AG43" s="46">
        <f>SUM(T43:AE43)</f>
        <v>0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4"/>
      <c r="AU43" s="45">
        <f>SUMIF(AI100:AT100,"=1",AI43:AT43)</f>
        <v>0</v>
      </c>
      <c r="AV43" s="46">
        <f>SUM(AI43:AT43)</f>
        <v>0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4"/>
      <c r="BJ43" s="45">
        <f>SUMIF(AX100:BI100,"=1",AX43:BI43)</f>
        <v>0</v>
      </c>
      <c r="BK43" s="46">
        <f>SUM(AX43:BI43)</f>
        <v>0</v>
      </c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4"/>
      <c r="BY43" s="45">
        <f>SUMIF(BM100:BX100,"=1",BM43:BX43)</f>
        <v>0</v>
      </c>
      <c r="BZ43" s="46">
        <f>SUM(BM43:BX43)</f>
        <v>0</v>
      </c>
    </row>
    <row r="44" spans="1:78" ht="22.05" customHeight="1" thickBot="1" x14ac:dyDescent="0.45">
      <c r="A44" s="104" t="str">
        <f>_xlfn.CONCAT(D44,B42)</f>
        <v>Realizado8</v>
      </c>
      <c r="C44" s="249"/>
      <c r="D44" s="38" t="s">
        <v>62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9"/>
      <c r="Q44" s="45">
        <f>SUMIF(E100:P100,"=1",E44:P44)</f>
        <v>0</v>
      </c>
      <c r="R44" s="46">
        <f>SUM(E44:P44)</f>
        <v>0</v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9"/>
      <c r="AF44" s="45">
        <f>SUMIF(T100:AE100,"=1",T44:AE44)</f>
        <v>0</v>
      </c>
      <c r="AG44" s="46">
        <f>SUM(T44:AE44)</f>
        <v>0</v>
      </c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9"/>
      <c r="AU44" s="45">
        <f>SUMIF(AI100:AT100,"=1",AI44:AT44)</f>
        <v>0</v>
      </c>
      <c r="AV44" s="46">
        <f>SUM(AI44:AT44)</f>
        <v>0</v>
      </c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9"/>
      <c r="BJ44" s="45">
        <f>SUMIF(AX100:BI100,"=1",AX44:BI44)</f>
        <v>0</v>
      </c>
      <c r="BK44" s="46">
        <f>SUM(AX44:BI44)</f>
        <v>0</v>
      </c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9"/>
      <c r="BY44" s="45">
        <f>SUMIF(BM100:BX100,"=1",BM44:BX44)</f>
        <v>0</v>
      </c>
      <c r="BZ44" s="46">
        <f>SUM(BM44:BX44)</f>
        <v>0</v>
      </c>
    </row>
    <row r="45" spans="1:78" ht="22.05" customHeight="1" thickBot="1" x14ac:dyDescent="0.45">
      <c r="C45" s="249"/>
      <c r="D45" s="36" t="s">
        <v>63</v>
      </c>
      <c r="E45" s="51" t="str">
        <f>IF(OR(ISERR(E44/E43-1),E44=""),"",IF($B94=parametros!$I$3,E43/E44-1,E44/E43-1))</f>
        <v/>
      </c>
      <c r="F45" s="51" t="str">
        <f>IF(OR(ISERR(F44/F43-1),F44=""),"",IF($B94=parametros!$I$3,F43/F44-1,F44/F43-1))</f>
        <v/>
      </c>
      <c r="G45" s="51" t="str">
        <f>IF(OR(ISERR(G44/G43-1),G44=""),"",IF($B94=parametros!$I$3,G43/G44-1,G44/G43-1))</f>
        <v/>
      </c>
      <c r="H45" s="51" t="str">
        <f>IF(OR(ISERR(H44/H43-1),H44=""),"",IF($B94=parametros!$I$3,H43/H44-1,H44/H43-1))</f>
        <v/>
      </c>
      <c r="I45" s="51" t="str">
        <f>IF(OR(ISERR(I44/I43-1),I44=""),"",IF($B94=parametros!$I$3,I43/I44-1,I44/I43-1))</f>
        <v/>
      </c>
      <c r="J45" s="51" t="str">
        <f>IF(OR(ISERR(J44/J43-1),J44=""),"",IF($B94=parametros!$I$3,J43/J44-1,J44/J43-1))</f>
        <v/>
      </c>
      <c r="K45" s="51" t="str">
        <f>IF(OR(ISERR(K44/K43-1),K44=""),"",IF($B94=parametros!$I$3,K43/K44-1,K44/K43-1))</f>
        <v/>
      </c>
      <c r="L45" s="51" t="str">
        <f>IF(OR(ISERR(L44/L43-1),L44=""),"",IF($B94=parametros!$I$3,L43/L44-1,L44/L43-1))</f>
        <v/>
      </c>
      <c r="M45" s="51" t="str">
        <f>IF(OR(ISERR(M44/M43-1),M44=""),"",IF($B94=parametros!$I$3,M43/M44-1,M44/M43-1))</f>
        <v/>
      </c>
      <c r="N45" s="51" t="str">
        <f>IF(OR(ISERR(N44/N43-1),N44=""),"",IF($B94=parametros!$I$3,N43/N44-1,N44/N43-1))</f>
        <v/>
      </c>
      <c r="O45" s="51" t="str">
        <f>IF(OR(ISERR(O44/O43-1),O44=""),"",IF($B94=parametros!$I$3,O43/O44-1,O44/O43-1))</f>
        <v/>
      </c>
      <c r="P45" s="51" t="str">
        <f>IF(OR(ISERR(P44/P43-1),P44=""),"",IF($B94=parametros!$I$3,P43/P44-1,P44/P43-1))</f>
        <v/>
      </c>
      <c r="Q45" s="51" t="str">
        <f>IF(OR(ISERR(Q44/Q43-1),Q44=""),"",IF($B95=parametros!$I$3,Q43/Q44-1,Q44/Q43-1))</f>
        <v/>
      </c>
      <c r="R45" s="51" t="str">
        <f>IF(OR(ISERR(R44/R43-1),R44=""),"",IF($B95=parametros!$I$3,R43/R44-1,R44/R43-1))</f>
        <v/>
      </c>
      <c r="T45" s="51" t="str">
        <f>IF(OR(ISERR(T44/T43-1),T44=""),"",IF($B95=parametros!$I$3,T43/T44-1,T44/T43-1))</f>
        <v/>
      </c>
      <c r="U45" s="51" t="str">
        <f>IF(OR(ISERR(U44/U43-1),U44=""),"",IF($B95=parametros!$I$3,U43/U44-1,U44/U43-1))</f>
        <v/>
      </c>
      <c r="V45" s="51" t="str">
        <f>IF(OR(ISERR(V44/V43-1),V44=""),"",IF($B95=parametros!$I$3,V43/V44-1,V44/V43-1))</f>
        <v/>
      </c>
      <c r="W45" s="51" t="str">
        <f>IF(OR(ISERR(W44/W43-1),W44=""),"",IF($B95=parametros!$I$3,W43/W44-1,W44/W43-1))</f>
        <v/>
      </c>
      <c r="X45" s="51" t="str">
        <f>IF(OR(ISERR(X44/X43-1),X44=""),"",IF($B95=parametros!$I$3,X43/X44-1,X44/X43-1))</f>
        <v/>
      </c>
      <c r="Y45" s="51" t="str">
        <f>IF(OR(ISERR(Y44/Y43-1),Y44=""),"",IF($B95=parametros!$I$3,Y43/Y44-1,Y44/Y43-1))</f>
        <v/>
      </c>
      <c r="Z45" s="51" t="str">
        <f>IF(OR(ISERR(Z44/Z43-1),Z44=""),"",IF($B95=parametros!$I$3,Z43/Z44-1,Z44/Z43-1))</f>
        <v/>
      </c>
      <c r="AA45" s="51" t="str">
        <f>IF(OR(ISERR(AA44/AA43-1),AA44=""),"",IF($B95=parametros!$I$3,AA43/AA44-1,AA44/AA43-1))</f>
        <v/>
      </c>
      <c r="AB45" s="51" t="str">
        <f>IF(OR(ISERR(AB44/AB43-1),AB44=""),"",IF($B95=parametros!$I$3,AB43/AB44-1,AB44/AB43-1))</f>
        <v/>
      </c>
      <c r="AC45" s="51" t="str">
        <f>IF(OR(ISERR(AC44/AC43-1),AC44=""),"",IF($B95=parametros!$I$3,AC43/AC44-1,AC44/AC43-1))</f>
        <v/>
      </c>
      <c r="AD45" s="51" t="str">
        <f>IF(OR(ISERR(AD44/AD43-1),AD44=""),"",IF($B95=parametros!$I$3,AD43/AD44-1,AD44/AD43-1))</f>
        <v/>
      </c>
      <c r="AE45" s="51" t="str">
        <f>IF(OR(ISERR(AE44/AE43-1),AE44=""),"",IF($B95=parametros!$I$3,AE43/AE44-1,AE44/AE43-1))</f>
        <v/>
      </c>
      <c r="AF45" s="51" t="str">
        <f>IF(OR(ISERR(AF44/AF43-1),AF44=""),"",IF($B95=parametros!$I$3,AF43/AF44-1,AF44/AF43-1))</f>
        <v/>
      </c>
      <c r="AG45" s="51" t="str">
        <f>IF(OR(ISERR(AG44/AG43-1),AG44=""),"",IF($B95=parametros!$I$3,AG43/AG44-1,AG44/AG43-1))</f>
        <v/>
      </c>
      <c r="AI45" s="51" t="str">
        <f>IF(OR(ISERR(AI44/AI43-1),AI44=""),"",IF($B95=parametros!$I$3,AI43/AI44-1,AI44/AI43-1))</f>
        <v/>
      </c>
      <c r="AJ45" s="51" t="str">
        <f>IF(OR(ISERR(AJ44/AJ43-1),AJ44=""),"",IF($B95=parametros!$I$3,AJ43/AJ44-1,AJ44/AJ43-1))</f>
        <v/>
      </c>
      <c r="AK45" s="51" t="str">
        <f>IF(OR(ISERR(AK44/AK43-1),AK44=""),"",IF($B95=parametros!$I$3,AK43/AK44-1,AK44/AK43-1))</f>
        <v/>
      </c>
      <c r="AL45" s="51" t="str">
        <f>IF(OR(ISERR(AL44/AL43-1),AL44=""),"",IF($B95=parametros!$I$3,AL43/AL44-1,AL44/AL43-1))</f>
        <v/>
      </c>
      <c r="AM45" s="51" t="str">
        <f>IF(OR(ISERR(AM44/AM43-1),AM44=""),"",IF($B95=parametros!$I$3,AM43/AM44-1,AM44/AM43-1))</f>
        <v/>
      </c>
      <c r="AN45" s="51" t="str">
        <f>IF(OR(ISERR(AN44/AN43-1),AN44=""),"",IF($B95=parametros!$I$3,AN43/AN44-1,AN44/AN43-1))</f>
        <v/>
      </c>
      <c r="AO45" s="51" t="str">
        <f>IF(OR(ISERR(AO44/AO43-1),AO44=""),"",IF($B95=parametros!$I$3,AO43/AO44-1,AO44/AO43-1))</f>
        <v/>
      </c>
      <c r="AP45" s="51" t="str">
        <f>IF(OR(ISERR(AP44/AP43-1),AP44=""),"",IF($B95=parametros!$I$3,AP43/AP44-1,AP44/AP43-1))</f>
        <v/>
      </c>
      <c r="AQ45" s="51" t="str">
        <f>IF(OR(ISERR(AQ44/AQ43-1),AQ44=""),"",IF($B95=parametros!$I$3,AQ43/AQ44-1,AQ44/AQ43-1))</f>
        <v/>
      </c>
      <c r="AR45" s="51" t="str">
        <f>IF(OR(ISERR(AR44/AR43-1),AR44=""),"",IF($B95=parametros!$I$3,AR43/AR44-1,AR44/AR43-1))</f>
        <v/>
      </c>
      <c r="AS45" s="51" t="str">
        <f>IF(OR(ISERR(AS44/AS43-1),AS44=""),"",IF($B95=parametros!$I$3,AS43/AS44-1,AS44/AS43-1))</f>
        <v/>
      </c>
      <c r="AT45" s="51" t="str">
        <f>IF(OR(ISERR(AT44/AT43-1),AT44=""),"",IF($B95=parametros!$I$3,AT43/AT44-1,AT44/AT43-1))</f>
        <v/>
      </c>
      <c r="AU45" s="51" t="str">
        <f>IF(OR(ISERR(AU44/AU43-1),AU44=""),"",IF($B95=parametros!$I$3,AU43/AU44-1,AU44/AU43-1))</f>
        <v/>
      </c>
      <c r="AV45" s="51" t="str">
        <f>IF(OR(ISERR(AV44/AV43-1),AV44=""),"",IF($B95=parametros!$I$3,AV43/AV44-1,AV44/AV43-1))</f>
        <v/>
      </c>
      <c r="AX45" s="51" t="str">
        <f>IF(OR(ISERR(AX44/AX43-1),AX44=""),"",IF($B95=parametros!$I$3,AX43/AX44-1,AX44/AX43-1))</f>
        <v/>
      </c>
      <c r="AY45" s="51" t="str">
        <f>IF(OR(ISERR(AY44/AY43-1),AY44=""),"",IF($B95=parametros!$I$3,AY43/AY44-1,AY44/AY43-1))</f>
        <v/>
      </c>
      <c r="AZ45" s="51" t="str">
        <f>IF(OR(ISERR(AZ44/AZ43-1),AZ44=""),"",IF($B95=parametros!$I$3,AZ43/AZ44-1,AZ44/AZ43-1))</f>
        <v/>
      </c>
      <c r="BA45" s="51" t="str">
        <f>IF(OR(ISERR(BA44/BA43-1),BA44=""),"",IF($B95=parametros!$I$3,BA43/BA44-1,BA44/BA43-1))</f>
        <v/>
      </c>
      <c r="BB45" s="51" t="str">
        <f>IF(OR(ISERR(BB44/BB43-1),BB44=""),"",IF($B95=parametros!$I$3,BB43/BB44-1,BB44/BB43-1))</f>
        <v/>
      </c>
      <c r="BC45" s="51" t="str">
        <f>IF(OR(ISERR(BC44/BC43-1),BC44=""),"",IF($B95=parametros!$I$3,BC43/BC44-1,BC44/BC43-1))</f>
        <v/>
      </c>
      <c r="BD45" s="51" t="str">
        <f>IF(OR(ISERR(BD44/BD43-1),BD44=""),"",IF($B95=parametros!$I$3,BD43/BD44-1,BD44/BD43-1))</f>
        <v/>
      </c>
      <c r="BE45" s="51" t="str">
        <f>IF(OR(ISERR(BE44/BE43-1),BE44=""),"",IF($B95=parametros!$I$3,BE43/BE44-1,BE44/BE43-1))</f>
        <v/>
      </c>
      <c r="BF45" s="51" t="str">
        <f>IF(OR(ISERR(BF44/BF43-1),BF44=""),"",IF($B95=parametros!$I$3,BF43/BF44-1,BF44/BF43-1))</f>
        <v/>
      </c>
      <c r="BG45" s="51" t="str">
        <f>IF(OR(ISERR(BG44/BG43-1),BG44=""),"",IF($B95=parametros!$I$3,BG43/BG44-1,BG44/BG43-1))</f>
        <v/>
      </c>
      <c r="BH45" s="51" t="str">
        <f>IF(OR(ISERR(BH44/BH43-1),BH44=""),"",IF($B95=parametros!$I$3,BH43/BH44-1,BH44/BH43-1))</f>
        <v/>
      </c>
      <c r="BI45" s="51" t="str">
        <f>IF(OR(ISERR(BI44/BI43-1),BI44=""),"",IF($B95=parametros!$I$3,BI43/BI44-1,BI44/BI43-1))</f>
        <v/>
      </c>
      <c r="BJ45" s="51" t="str">
        <f>IF(OR(ISERR(BJ44/BJ43-1),BJ44=""),"",IF($B95=parametros!$I$3,BJ43/BJ44-1,BJ44/BJ43-1))</f>
        <v/>
      </c>
      <c r="BK45" s="51" t="str">
        <f>IF(OR(ISERR(BK44/BK43-1),BK44=""),"",IF($B95=parametros!$I$3,BK43/BK44-1,BK44/BK43-1))</f>
        <v/>
      </c>
      <c r="BM45" s="51" t="str">
        <f>IF(OR(ISERR(BM44/BM43-1),BM44=""),"",IF($B95=parametros!$I$3,BM43/BM44-1,BM44/BM43-1))</f>
        <v/>
      </c>
      <c r="BN45" s="51" t="str">
        <f>IF(OR(ISERR(BN44/BN43-1),BN44=""),"",IF($B95=parametros!$I$3,BN43/BN44-1,BN44/BN43-1))</f>
        <v/>
      </c>
      <c r="BO45" s="51" t="str">
        <f>IF(OR(ISERR(BO44/BO43-1),BO44=""),"",IF($B95=parametros!$I$3,BO43/BO44-1,BO44/BO43-1))</f>
        <v/>
      </c>
      <c r="BP45" s="51" t="str">
        <f>IF(OR(ISERR(BP44/BP43-1),BP44=""),"",IF($B95=parametros!$I$3,BP43/BP44-1,BP44/BP43-1))</f>
        <v/>
      </c>
      <c r="BQ45" s="51" t="str">
        <f>IF(OR(ISERR(BQ44/BQ43-1),BQ44=""),"",IF($B95=parametros!$I$3,BQ43/BQ44-1,BQ44/BQ43-1))</f>
        <v/>
      </c>
      <c r="BR45" s="51" t="str">
        <f>IF(OR(ISERR(BR44/BR43-1),BR44=""),"",IF($B95=parametros!$I$3,BR43/BR44-1,BR44/BR43-1))</f>
        <v/>
      </c>
      <c r="BS45" s="51" t="str">
        <f>IF(OR(ISERR(BS44/BS43-1),BS44=""),"",IF($B95=parametros!$I$3,BS43/BS44-1,BS44/BS43-1))</f>
        <v/>
      </c>
      <c r="BT45" s="51" t="str">
        <f>IF(OR(ISERR(BT44/BT43-1),BT44=""),"",IF($B95=parametros!$I$3,BT43/BT44-1,BT44/BT43-1))</f>
        <v/>
      </c>
      <c r="BU45" s="51" t="str">
        <f>IF(OR(ISERR(BU44/BU43-1),BU44=""),"",IF($B95=parametros!$I$3,BU43/BU44-1,BU44/BU43-1))</f>
        <v/>
      </c>
      <c r="BV45" s="51" t="str">
        <f>IF(OR(ISERR(BV44/BV43-1),BV44=""),"",IF($B95=parametros!$I$3,BV43/BV44-1,BV44/BV43-1))</f>
        <v/>
      </c>
      <c r="BW45" s="51" t="str">
        <f>IF(OR(ISERR(BW44/BW43-1),BW44=""),"",IF($B95=parametros!$I$3,BW43/BW44-1,BW44/BW43-1))</f>
        <v/>
      </c>
      <c r="BX45" s="51" t="str">
        <f>IF(OR(ISERR(BX44/BX43-1),BX44=""),"",IF($B95=parametros!$I$3,BX43/BX44-1,BX44/BX43-1))</f>
        <v/>
      </c>
      <c r="BY45" s="51" t="str">
        <f>IF(OR(ISERR(BY44/BY43-1),BY44=""),"",IF($B95=parametros!$I$3,BY43/BY44-1,BY44/BY43-1))</f>
        <v/>
      </c>
      <c r="BZ45" s="51" t="str">
        <f>IF(OR(ISERR(BZ44/BZ43-1),BZ44=""),"",IF($B95=parametros!$I$3,BZ43/BZ44-1,BZ44/BZ43-1))</f>
        <v/>
      </c>
    </row>
    <row r="57" spans="1:76" s="104" customFormat="1" x14ac:dyDescent="0.4"/>
    <row r="58" spans="1:76" s="104" customFormat="1" x14ac:dyDescent="0.4"/>
    <row r="59" spans="1:76" s="104" customFormat="1" x14ac:dyDescent="0.4">
      <c r="A59" s="104">
        <f>me!G17</f>
        <v>0</v>
      </c>
      <c r="B59" s="104">
        <f>me!H17</f>
        <v>0</v>
      </c>
      <c r="C59" s="104" t="str">
        <f>_xlfn.CONCAT(me!G17,": ",me!H17)</f>
        <v xml:space="preserve">: </v>
      </c>
      <c r="D59" s="104">
        <f>R8</f>
        <v>0</v>
      </c>
      <c r="E59" s="104">
        <f>R9</f>
        <v>0</v>
      </c>
      <c r="F59" s="104" t="str">
        <f t="shared" ref="F59:P59" si="0">IF(F8="","",1)</f>
        <v/>
      </c>
      <c r="G59" s="104" t="str">
        <f t="shared" si="0"/>
        <v/>
      </c>
      <c r="H59" s="104" t="str">
        <f t="shared" si="0"/>
        <v/>
      </c>
      <c r="I59" s="104" t="str">
        <f t="shared" si="0"/>
        <v/>
      </c>
      <c r="J59" s="104" t="str">
        <f t="shared" si="0"/>
        <v/>
      </c>
      <c r="K59" s="104" t="str">
        <f t="shared" si="0"/>
        <v/>
      </c>
      <c r="L59" s="104" t="str">
        <f t="shared" si="0"/>
        <v/>
      </c>
      <c r="M59" s="104" t="str">
        <f t="shared" si="0"/>
        <v/>
      </c>
      <c r="N59" s="104" t="str">
        <f t="shared" si="0"/>
        <v/>
      </c>
      <c r="O59" s="104" t="str">
        <f t="shared" si="0"/>
        <v/>
      </c>
      <c r="P59" s="104" t="str">
        <f t="shared" si="0"/>
        <v/>
      </c>
      <c r="T59" s="104" t="str">
        <f>IF(T8="","",1)</f>
        <v/>
      </c>
      <c r="U59" s="104" t="str">
        <f t="shared" ref="U59:AE59" si="1">IF(U8="","",1)</f>
        <v/>
      </c>
      <c r="V59" s="104" t="str">
        <f t="shared" si="1"/>
        <v/>
      </c>
      <c r="W59" s="104" t="str">
        <f t="shared" si="1"/>
        <v/>
      </c>
      <c r="X59" s="104" t="str">
        <f t="shared" si="1"/>
        <v/>
      </c>
      <c r="Y59" s="104" t="str">
        <f t="shared" si="1"/>
        <v/>
      </c>
      <c r="Z59" s="104" t="str">
        <f t="shared" si="1"/>
        <v/>
      </c>
      <c r="AA59" s="104" t="str">
        <f t="shared" si="1"/>
        <v/>
      </c>
      <c r="AB59" s="104" t="str">
        <f t="shared" si="1"/>
        <v/>
      </c>
      <c r="AC59" s="104" t="str">
        <f t="shared" si="1"/>
        <v/>
      </c>
      <c r="AD59" s="104" t="str">
        <f t="shared" si="1"/>
        <v/>
      </c>
      <c r="AE59" s="104" t="str">
        <f t="shared" si="1"/>
        <v/>
      </c>
      <c r="AI59" s="104" t="str">
        <f>IF(AI8="","",1)</f>
        <v/>
      </c>
      <c r="AJ59" s="104" t="str">
        <f t="shared" ref="AJ59:AT59" si="2">IF(AJ8="","",1)</f>
        <v/>
      </c>
      <c r="AK59" s="104" t="str">
        <f t="shared" si="2"/>
        <v/>
      </c>
      <c r="AL59" s="104" t="str">
        <f t="shared" si="2"/>
        <v/>
      </c>
      <c r="AM59" s="104" t="str">
        <f t="shared" si="2"/>
        <v/>
      </c>
      <c r="AN59" s="104" t="str">
        <f t="shared" si="2"/>
        <v/>
      </c>
      <c r="AO59" s="104" t="str">
        <f t="shared" si="2"/>
        <v/>
      </c>
      <c r="AP59" s="104" t="str">
        <f t="shared" si="2"/>
        <v/>
      </c>
      <c r="AQ59" s="104" t="str">
        <f t="shared" si="2"/>
        <v/>
      </c>
      <c r="AR59" s="104" t="str">
        <f t="shared" si="2"/>
        <v/>
      </c>
      <c r="AS59" s="104" t="str">
        <f t="shared" si="2"/>
        <v/>
      </c>
      <c r="AT59" s="104" t="str">
        <f t="shared" si="2"/>
        <v/>
      </c>
      <c r="AX59" s="104" t="str">
        <f>IF(AX8="","",1)</f>
        <v/>
      </c>
      <c r="AY59" s="104" t="str">
        <f t="shared" ref="AY59:BI59" si="3">IF(AY8="","",1)</f>
        <v/>
      </c>
      <c r="AZ59" s="104" t="str">
        <f t="shared" si="3"/>
        <v/>
      </c>
      <c r="BA59" s="104" t="str">
        <f t="shared" si="3"/>
        <v/>
      </c>
      <c r="BB59" s="104" t="str">
        <f t="shared" si="3"/>
        <v/>
      </c>
      <c r="BC59" s="104" t="str">
        <f t="shared" si="3"/>
        <v/>
      </c>
      <c r="BD59" s="104" t="str">
        <f t="shared" si="3"/>
        <v/>
      </c>
      <c r="BE59" s="104" t="str">
        <f t="shared" si="3"/>
        <v/>
      </c>
      <c r="BF59" s="104" t="str">
        <f t="shared" si="3"/>
        <v/>
      </c>
      <c r="BG59" s="104" t="str">
        <f t="shared" si="3"/>
        <v/>
      </c>
      <c r="BH59" s="104" t="str">
        <f t="shared" si="3"/>
        <v/>
      </c>
      <c r="BI59" s="104" t="str">
        <f t="shared" si="3"/>
        <v/>
      </c>
      <c r="BM59" s="104" t="str">
        <f>IF(BM8="","",1)</f>
        <v/>
      </c>
      <c r="BN59" s="104" t="str">
        <f t="shared" ref="BN59:BX59" si="4">IF(BN8="","",1)</f>
        <v/>
      </c>
      <c r="BO59" s="104" t="str">
        <f t="shared" si="4"/>
        <v/>
      </c>
      <c r="BP59" s="104" t="str">
        <f t="shared" si="4"/>
        <v/>
      </c>
      <c r="BQ59" s="104" t="str">
        <f t="shared" si="4"/>
        <v/>
      </c>
      <c r="BR59" s="104" t="str">
        <f t="shared" si="4"/>
        <v/>
      </c>
      <c r="BS59" s="104" t="str">
        <f t="shared" si="4"/>
        <v/>
      </c>
      <c r="BT59" s="104" t="str">
        <f t="shared" si="4"/>
        <v/>
      </c>
      <c r="BU59" s="104" t="str">
        <f t="shared" si="4"/>
        <v/>
      </c>
      <c r="BV59" s="104" t="str">
        <f t="shared" si="4"/>
        <v/>
      </c>
      <c r="BW59" s="104" t="str">
        <f t="shared" si="4"/>
        <v/>
      </c>
      <c r="BX59" s="104" t="str">
        <f t="shared" si="4"/>
        <v/>
      </c>
    </row>
    <row r="60" spans="1:76" s="104" customFormat="1" x14ac:dyDescent="0.4">
      <c r="A60" s="104">
        <f>me!G18</f>
        <v>0</v>
      </c>
      <c r="B60" s="104">
        <f>me!H18</f>
        <v>0</v>
      </c>
      <c r="C60" s="104" t="str">
        <f>_xlfn.CONCAT(me!G18,": ",me!H18)</f>
        <v xml:space="preserve">: </v>
      </c>
      <c r="D60" s="104">
        <f>R13</f>
        <v>0</v>
      </c>
      <c r="E60" s="104">
        <f>R14</f>
        <v>0</v>
      </c>
      <c r="F60" s="104" t="str">
        <f t="shared" ref="F60:P61" si="5">IF(F9="","",1)</f>
        <v/>
      </c>
      <c r="G60" s="104" t="str">
        <f t="shared" si="5"/>
        <v/>
      </c>
      <c r="H60" s="104" t="str">
        <f t="shared" si="5"/>
        <v/>
      </c>
      <c r="I60" s="104" t="str">
        <f t="shared" si="5"/>
        <v/>
      </c>
      <c r="J60" s="104" t="str">
        <f t="shared" si="5"/>
        <v/>
      </c>
      <c r="K60" s="104" t="str">
        <f t="shared" si="5"/>
        <v/>
      </c>
      <c r="L60" s="104" t="str">
        <f t="shared" si="5"/>
        <v/>
      </c>
      <c r="M60" s="104" t="str">
        <f t="shared" si="5"/>
        <v/>
      </c>
      <c r="N60" s="104" t="str">
        <f t="shared" si="5"/>
        <v/>
      </c>
      <c r="O60" s="104" t="str">
        <f t="shared" si="5"/>
        <v/>
      </c>
      <c r="P60" s="104" t="str">
        <f t="shared" si="5"/>
        <v/>
      </c>
      <c r="T60" s="104" t="str">
        <f t="shared" ref="T60:AE61" si="6">IF(T9="","",1)</f>
        <v/>
      </c>
      <c r="U60" s="104" t="str">
        <f t="shared" si="6"/>
        <v/>
      </c>
      <c r="V60" s="104" t="str">
        <f t="shared" si="6"/>
        <v/>
      </c>
      <c r="W60" s="104" t="str">
        <f t="shared" si="6"/>
        <v/>
      </c>
      <c r="X60" s="104" t="str">
        <f t="shared" si="6"/>
        <v/>
      </c>
      <c r="Y60" s="104" t="str">
        <f t="shared" si="6"/>
        <v/>
      </c>
      <c r="Z60" s="104" t="str">
        <f t="shared" si="6"/>
        <v/>
      </c>
      <c r="AA60" s="104" t="str">
        <f t="shared" si="6"/>
        <v/>
      </c>
      <c r="AB60" s="104" t="str">
        <f t="shared" si="6"/>
        <v/>
      </c>
      <c r="AC60" s="104" t="str">
        <f t="shared" si="6"/>
        <v/>
      </c>
      <c r="AD60" s="104" t="str">
        <f t="shared" si="6"/>
        <v/>
      </c>
      <c r="AE60" s="104" t="str">
        <f t="shared" si="6"/>
        <v/>
      </c>
      <c r="AI60" s="104" t="str">
        <f t="shared" ref="AI60:AT61" si="7">IF(AI9="","",1)</f>
        <v/>
      </c>
      <c r="AJ60" s="104" t="str">
        <f t="shared" si="7"/>
        <v/>
      </c>
      <c r="AK60" s="104" t="str">
        <f t="shared" si="7"/>
        <v/>
      </c>
      <c r="AL60" s="104" t="str">
        <f t="shared" si="7"/>
        <v/>
      </c>
      <c r="AM60" s="104" t="str">
        <f t="shared" si="7"/>
        <v/>
      </c>
      <c r="AN60" s="104" t="str">
        <f t="shared" si="7"/>
        <v/>
      </c>
      <c r="AO60" s="104" t="str">
        <f t="shared" si="7"/>
        <v/>
      </c>
      <c r="AP60" s="104" t="str">
        <f t="shared" si="7"/>
        <v/>
      </c>
      <c r="AQ60" s="104" t="str">
        <f t="shared" si="7"/>
        <v/>
      </c>
      <c r="AR60" s="104" t="str">
        <f t="shared" si="7"/>
        <v/>
      </c>
      <c r="AS60" s="104" t="str">
        <f t="shared" si="7"/>
        <v/>
      </c>
      <c r="AT60" s="104" t="str">
        <f t="shared" si="7"/>
        <v/>
      </c>
      <c r="AX60" s="104" t="str">
        <f t="shared" ref="AX60:BI61" si="8">IF(AX9="","",1)</f>
        <v/>
      </c>
      <c r="AY60" s="104" t="str">
        <f t="shared" si="8"/>
        <v/>
      </c>
      <c r="AZ60" s="104" t="str">
        <f t="shared" si="8"/>
        <v/>
      </c>
      <c r="BA60" s="104" t="str">
        <f t="shared" si="8"/>
        <v/>
      </c>
      <c r="BB60" s="104" t="str">
        <f t="shared" si="8"/>
        <v/>
      </c>
      <c r="BC60" s="104" t="str">
        <f t="shared" si="8"/>
        <v/>
      </c>
      <c r="BD60" s="104" t="str">
        <f t="shared" si="8"/>
        <v/>
      </c>
      <c r="BE60" s="104" t="str">
        <f t="shared" si="8"/>
        <v/>
      </c>
      <c r="BF60" s="104" t="str">
        <f t="shared" si="8"/>
        <v/>
      </c>
      <c r="BG60" s="104" t="str">
        <f t="shared" si="8"/>
        <v/>
      </c>
      <c r="BH60" s="104" t="str">
        <f t="shared" si="8"/>
        <v/>
      </c>
      <c r="BI60" s="104" t="str">
        <f t="shared" si="8"/>
        <v/>
      </c>
      <c r="BM60" s="104" t="str">
        <f t="shared" ref="BM60:BX61" si="9">IF(BM9="","",1)</f>
        <v/>
      </c>
      <c r="BN60" s="104" t="str">
        <f t="shared" si="9"/>
        <v/>
      </c>
      <c r="BO60" s="104" t="str">
        <f t="shared" si="9"/>
        <v/>
      </c>
      <c r="BP60" s="104" t="str">
        <f t="shared" si="9"/>
        <v/>
      </c>
      <c r="BQ60" s="104" t="str">
        <f t="shared" si="9"/>
        <v/>
      </c>
      <c r="BR60" s="104" t="str">
        <f t="shared" si="9"/>
        <v/>
      </c>
      <c r="BS60" s="104" t="str">
        <f t="shared" si="9"/>
        <v/>
      </c>
      <c r="BT60" s="104" t="str">
        <f t="shared" si="9"/>
        <v/>
      </c>
      <c r="BU60" s="104" t="str">
        <f t="shared" si="9"/>
        <v/>
      </c>
      <c r="BV60" s="104" t="str">
        <f t="shared" si="9"/>
        <v/>
      </c>
      <c r="BW60" s="104" t="str">
        <f t="shared" si="9"/>
        <v/>
      </c>
      <c r="BX60" s="104" t="str">
        <f t="shared" si="9"/>
        <v/>
      </c>
    </row>
    <row r="61" spans="1:76" s="104" customFormat="1" x14ac:dyDescent="0.4">
      <c r="A61" s="104">
        <f>me!G19</f>
        <v>0</v>
      </c>
      <c r="B61" s="104">
        <f>me!H19</f>
        <v>0</v>
      </c>
      <c r="C61" s="104" t="str">
        <f>_xlfn.CONCAT(me!G19,": ",me!H19)</f>
        <v xml:space="preserve">: </v>
      </c>
      <c r="D61" s="104">
        <f>R18</f>
        <v>0</v>
      </c>
      <c r="E61" s="104">
        <f>R19</f>
        <v>0</v>
      </c>
      <c r="F61" s="104" t="str">
        <f t="shared" si="5"/>
        <v/>
      </c>
      <c r="G61" s="104" t="str">
        <f t="shared" si="5"/>
        <v/>
      </c>
      <c r="H61" s="104" t="str">
        <f t="shared" si="5"/>
        <v/>
      </c>
      <c r="I61" s="104" t="str">
        <f t="shared" si="5"/>
        <v/>
      </c>
      <c r="J61" s="104" t="str">
        <f t="shared" si="5"/>
        <v/>
      </c>
      <c r="K61" s="104" t="str">
        <f t="shared" si="5"/>
        <v/>
      </c>
      <c r="L61" s="104" t="str">
        <f t="shared" si="5"/>
        <v/>
      </c>
      <c r="M61" s="104" t="str">
        <f t="shared" si="5"/>
        <v/>
      </c>
      <c r="N61" s="104" t="str">
        <f t="shared" si="5"/>
        <v/>
      </c>
      <c r="O61" s="104" t="str">
        <f t="shared" si="5"/>
        <v/>
      </c>
      <c r="P61" s="104" t="str">
        <f t="shared" si="5"/>
        <v/>
      </c>
      <c r="T61" s="104" t="str">
        <f t="shared" si="6"/>
        <v/>
      </c>
      <c r="U61" s="104" t="str">
        <f t="shared" si="6"/>
        <v/>
      </c>
      <c r="V61" s="104" t="str">
        <f t="shared" si="6"/>
        <v/>
      </c>
      <c r="W61" s="104" t="str">
        <f t="shared" si="6"/>
        <v/>
      </c>
      <c r="X61" s="104" t="str">
        <f t="shared" si="6"/>
        <v/>
      </c>
      <c r="Y61" s="104" t="str">
        <f t="shared" si="6"/>
        <v/>
      </c>
      <c r="Z61" s="104" t="str">
        <f t="shared" si="6"/>
        <v/>
      </c>
      <c r="AA61" s="104" t="str">
        <f t="shared" si="6"/>
        <v/>
      </c>
      <c r="AB61" s="104" t="str">
        <f t="shared" si="6"/>
        <v/>
      </c>
      <c r="AC61" s="104" t="str">
        <f t="shared" si="6"/>
        <v/>
      </c>
      <c r="AD61" s="104" t="str">
        <f t="shared" si="6"/>
        <v/>
      </c>
      <c r="AE61" s="104" t="str">
        <f t="shared" si="6"/>
        <v/>
      </c>
      <c r="AI61" s="104" t="str">
        <f t="shared" si="7"/>
        <v/>
      </c>
      <c r="AJ61" s="104" t="str">
        <f t="shared" si="7"/>
        <v/>
      </c>
      <c r="AK61" s="104" t="str">
        <f t="shared" si="7"/>
        <v/>
      </c>
      <c r="AL61" s="104" t="str">
        <f t="shared" si="7"/>
        <v/>
      </c>
      <c r="AM61" s="104" t="str">
        <f t="shared" si="7"/>
        <v/>
      </c>
      <c r="AN61" s="104" t="str">
        <f t="shared" si="7"/>
        <v/>
      </c>
      <c r="AO61" s="104" t="str">
        <f t="shared" si="7"/>
        <v/>
      </c>
      <c r="AP61" s="104" t="str">
        <f t="shared" si="7"/>
        <v/>
      </c>
      <c r="AQ61" s="104" t="str">
        <f t="shared" si="7"/>
        <v/>
      </c>
      <c r="AR61" s="104" t="str">
        <f t="shared" si="7"/>
        <v/>
      </c>
      <c r="AS61" s="104" t="str">
        <f t="shared" si="7"/>
        <v/>
      </c>
      <c r="AT61" s="104" t="str">
        <f t="shared" si="7"/>
        <v/>
      </c>
      <c r="AX61" s="104" t="str">
        <f t="shared" si="8"/>
        <v/>
      </c>
      <c r="AY61" s="104" t="str">
        <f t="shared" si="8"/>
        <v/>
      </c>
      <c r="AZ61" s="104" t="str">
        <f t="shared" si="8"/>
        <v/>
      </c>
      <c r="BA61" s="104" t="str">
        <f t="shared" si="8"/>
        <v/>
      </c>
      <c r="BB61" s="104" t="str">
        <f t="shared" si="8"/>
        <v/>
      </c>
      <c r="BC61" s="104" t="str">
        <f t="shared" si="8"/>
        <v/>
      </c>
      <c r="BD61" s="104" t="str">
        <f t="shared" si="8"/>
        <v/>
      </c>
      <c r="BE61" s="104" t="str">
        <f t="shared" si="8"/>
        <v/>
      </c>
      <c r="BF61" s="104" t="str">
        <f t="shared" si="8"/>
        <v/>
      </c>
      <c r="BG61" s="104" t="str">
        <f t="shared" si="8"/>
        <v/>
      </c>
      <c r="BH61" s="104" t="str">
        <f t="shared" si="8"/>
        <v/>
      </c>
      <c r="BI61" s="104" t="str">
        <f t="shared" si="8"/>
        <v/>
      </c>
      <c r="BM61" s="104" t="str">
        <f t="shared" si="9"/>
        <v/>
      </c>
      <c r="BN61" s="104" t="str">
        <f t="shared" si="9"/>
        <v/>
      </c>
      <c r="BO61" s="104" t="str">
        <f t="shared" si="9"/>
        <v/>
      </c>
      <c r="BP61" s="104" t="str">
        <f t="shared" si="9"/>
        <v/>
      </c>
      <c r="BQ61" s="104" t="str">
        <f t="shared" si="9"/>
        <v/>
      </c>
      <c r="BR61" s="104" t="str">
        <f t="shared" si="9"/>
        <v/>
      </c>
      <c r="BS61" s="104" t="str">
        <f t="shared" si="9"/>
        <v/>
      </c>
      <c r="BT61" s="104" t="str">
        <f t="shared" si="9"/>
        <v/>
      </c>
      <c r="BU61" s="104" t="str">
        <f t="shared" si="9"/>
        <v/>
      </c>
      <c r="BV61" s="104" t="str">
        <f t="shared" si="9"/>
        <v/>
      </c>
      <c r="BW61" s="104" t="str">
        <f t="shared" si="9"/>
        <v/>
      </c>
      <c r="BX61" s="104" t="str">
        <f t="shared" si="9"/>
        <v/>
      </c>
    </row>
    <row r="62" spans="1:76" s="104" customFormat="1" x14ac:dyDescent="0.4">
      <c r="A62" s="104">
        <f>me!G20</f>
        <v>0</v>
      </c>
      <c r="B62" s="104">
        <f>me!H20</f>
        <v>0</v>
      </c>
      <c r="C62" s="104" t="str">
        <f>_xlfn.CONCAT(me!G20,": ",me!H20)</f>
        <v xml:space="preserve">: </v>
      </c>
      <c r="D62" s="104">
        <f>R23</f>
        <v>0</v>
      </c>
      <c r="E62" s="104">
        <f>R24</f>
        <v>0</v>
      </c>
    </row>
    <row r="63" spans="1:76" s="104" customFormat="1" x14ac:dyDescent="0.4">
      <c r="A63" s="104">
        <f>me!G21</f>
        <v>0</v>
      </c>
      <c r="B63" s="104">
        <f>me!H21</f>
        <v>0</v>
      </c>
      <c r="C63" s="104" t="str">
        <f>_xlfn.CONCAT(me!G21,": ",me!H21)</f>
        <v xml:space="preserve">: </v>
      </c>
      <c r="D63" s="104">
        <f>R28</f>
        <v>0</v>
      </c>
      <c r="E63" s="104">
        <f>R29</f>
        <v>0</v>
      </c>
    </row>
    <row r="64" spans="1:76" s="104" customFormat="1" x14ac:dyDescent="0.4">
      <c r="A64" s="104">
        <f>me!G22</f>
        <v>0</v>
      </c>
      <c r="B64" s="104">
        <f>me!H22</f>
        <v>0</v>
      </c>
      <c r="C64" s="104" t="str">
        <f>_xlfn.CONCAT(me!G22,": ",me!H22)</f>
        <v xml:space="preserve">: </v>
      </c>
      <c r="D64" s="104">
        <f>R33</f>
        <v>0</v>
      </c>
      <c r="E64" s="104">
        <f>R34</f>
        <v>0</v>
      </c>
      <c r="F64" s="104" t="str">
        <f t="shared" ref="F64:P64" si="10">IF(F13="","",1)</f>
        <v/>
      </c>
      <c r="G64" s="104" t="str">
        <f t="shared" si="10"/>
        <v/>
      </c>
      <c r="H64" s="104" t="str">
        <f t="shared" si="10"/>
        <v/>
      </c>
      <c r="I64" s="104" t="str">
        <f t="shared" si="10"/>
        <v/>
      </c>
      <c r="J64" s="104" t="str">
        <f t="shared" si="10"/>
        <v/>
      </c>
      <c r="K64" s="104" t="str">
        <f t="shared" si="10"/>
        <v/>
      </c>
      <c r="L64" s="104" t="str">
        <f t="shared" si="10"/>
        <v/>
      </c>
      <c r="M64" s="104" t="str">
        <f t="shared" si="10"/>
        <v/>
      </c>
      <c r="N64" s="104" t="str">
        <f t="shared" si="10"/>
        <v/>
      </c>
      <c r="O64" s="104" t="str">
        <f t="shared" si="10"/>
        <v/>
      </c>
      <c r="P64" s="104" t="str">
        <f t="shared" si="10"/>
        <v/>
      </c>
      <c r="T64" s="104" t="str">
        <f>IF(T13="","",1)</f>
        <v/>
      </c>
      <c r="U64" s="104" t="str">
        <f t="shared" ref="U64:AE64" si="11">IF(U13="","",1)</f>
        <v/>
      </c>
      <c r="V64" s="104" t="str">
        <f t="shared" si="11"/>
        <v/>
      </c>
      <c r="W64" s="104" t="str">
        <f t="shared" si="11"/>
        <v/>
      </c>
      <c r="X64" s="104" t="str">
        <f t="shared" si="11"/>
        <v/>
      </c>
      <c r="Y64" s="104" t="str">
        <f t="shared" si="11"/>
        <v/>
      </c>
      <c r="Z64" s="104" t="str">
        <f t="shared" si="11"/>
        <v/>
      </c>
      <c r="AA64" s="104" t="str">
        <f t="shared" si="11"/>
        <v/>
      </c>
      <c r="AB64" s="104" t="str">
        <f t="shared" si="11"/>
        <v/>
      </c>
      <c r="AC64" s="104" t="str">
        <f t="shared" si="11"/>
        <v/>
      </c>
      <c r="AD64" s="104" t="str">
        <f t="shared" si="11"/>
        <v/>
      </c>
      <c r="AE64" s="104" t="str">
        <f t="shared" si="11"/>
        <v/>
      </c>
      <c r="AI64" s="104" t="str">
        <f>IF(AI13="","",1)</f>
        <v/>
      </c>
      <c r="AJ64" s="104" t="str">
        <f t="shared" ref="AJ64:AT64" si="12">IF(AJ13="","",1)</f>
        <v/>
      </c>
      <c r="AK64" s="104" t="str">
        <f t="shared" si="12"/>
        <v/>
      </c>
      <c r="AL64" s="104" t="str">
        <f t="shared" si="12"/>
        <v/>
      </c>
      <c r="AM64" s="104" t="str">
        <f t="shared" si="12"/>
        <v/>
      </c>
      <c r="AN64" s="104" t="str">
        <f t="shared" si="12"/>
        <v/>
      </c>
      <c r="AO64" s="104" t="str">
        <f t="shared" si="12"/>
        <v/>
      </c>
      <c r="AP64" s="104" t="str">
        <f t="shared" si="12"/>
        <v/>
      </c>
      <c r="AQ64" s="104" t="str">
        <f t="shared" si="12"/>
        <v/>
      </c>
      <c r="AR64" s="104" t="str">
        <f t="shared" si="12"/>
        <v/>
      </c>
      <c r="AS64" s="104" t="str">
        <f t="shared" si="12"/>
        <v/>
      </c>
      <c r="AT64" s="104" t="str">
        <f t="shared" si="12"/>
        <v/>
      </c>
      <c r="AX64" s="104" t="str">
        <f>IF(AX13="","",1)</f>
        <v/>
      </c>
      <c r="AY64" s="104" t="str">
        <f t="shared" ref="AY64:BI64" si="13">IF(AY13="","",1)</f>
        <v/>
      </c>
      <c r="AZ64" s="104" t="str">
        <f t="shared" si="13"/>
        <v/>
      </c>
      <c r="BA64" s="104" t="str">
        <f t="shared" si="13"/>
        <v/>
      </c>
      <c r="BB64" s="104" t="str">
        <f t="shared" si="13"/>
        <v/>
      </c>
      <c r="BC64" s="104" t="str">
        <f t="shared" si="13"/>
        <v/>
      </c>
      <c r="BD64" s="104" t="str">
        <f t="shared" si="13"/>
        <v/>
      </c>
      <c r="BE64" s="104" t="str">
        <f t="shared" si="13"/>
        <v/>
      </c>
      <c r="BF64" s="104" t="str">
        <f t="shared" si="13"/>
        <v/>
      </c>
      <c r="BG64" s="104" t="str">
        <f t="shared" si="13"/>
        <v/>
      </c>
      <c r="BH64" s="104" t="str">
        <f t="shared" si="13"/>
        <v/>
      </c>
      <c r="BI64" s="104" t="str">
        <f t="shared" si="13"/>
        <v/>
      </c>
      <c r="BM64" s="104" t="str">
        <f>IF(BM13="","",1)</f>
        <v/>
      </c>
      <c r="BN64" s="104" t="str">
        <f t="shared" ref="BN64:BX64" si="14">IF(BN13="","",1)</f>
        <v/>
      </c>
      <c r="BO64" s="104" t="str">
        <f t="shared" si="14"/>
        <v/>
      </c>
      <c r="BP64" s="104" t="str">
        <f t="shared" si="14"/>
        <v/>
      </c>
      <c r="BQ64" s="104" t="str">
        <f t="shared" si="14"/>
        <v/>
      </c>
      <c r="BR64" s="104" t="str">
        <f t="shared" si="14"/>
        <v/>
      </c>
      <c r="BS64" s="104" t="str">
        <f t="shared" si="14"/>
        <v/>
      </c>
      <c r="BT64" s="104" t="str">
        <f t="shared" si="14"/>
        <v/>
      </c>
      <c r="BU64" s="104" t="str">
        <f t="shared" si="14"/>
        <v/>
      </c>
      <c r="BV64" s="104" t="str">
        <f t="shared" si="14"/>
        <v/>
      </c>
      <c r="BW64" s="104" t="str">
        <f t="shared" si="14"/>
        <v/>
      </c>
      <c r="BX64" s="104" t="str">
        <f t="shared" si="14"/>
        <v/>
      </c>
    </row>
    <row r="65" spans="1:76" s="104" customFormat="1" x14ac:dyDescent="0.4">
      <c r="A65" s="104">
        <f>me!G23</f>
        <v>0</v>
      </c>
      <c r="B65" s="104">
        <f>me!H23</f>
        <v>0</v>
      </c>
      <c r="C65" s="104" t="str">
        <f>_xlfn.CONCAT(me!G23,": ",me!H23)</f>
        <v xml:space="preserve">: </v>
      </c>
      <c r="D65" s="104">
        <f>R38</f>
        <v>0</v>
      </c>
      <c r="E65" s="104">
        <f>R39</f>
        <v>0</v>
      </c>
      <c r="F65" s="104" t="str">
        <f t="shared" ref="F65:P66" si="15">IF(F14="","",1)</f>
        <v/>
      </c>
      <c r="G65" s="104" t="str">
        <f t="shared" si="15"/>
        <v/>
      </c>
      <c r="H65" s="104" t="str">
        <f t="shared" si="15"/>
        <v/>
      </c>
      <c r="I65" s="104" t="str">
        <f t="shared" si="15"/>
        <v/>
      </c>
      <c r="J65" s="104" t="str">
        <f t="shared" si="15"/>
        <v/>
      </c>
      <c r="K65" s="104" t="str">
        <f t="shared" si="15"/>
        <v/>
      </c>
      <c r="L65" s="104" t="str">
        <f t="shared" si="15"/>
        <v/>
      </c>
      <c r="M65" s="104" t="str">
        <f t="shared" si="15"/>
        <v/>
      </c>
      <c r="N65" s="104" t="str">
        <f t="shared" si="15"/>
        <v/>
      </c>
      <c r="O65" s="104" t="str">
        <f t="shared" si="15"/>
        <v/>
      </c>
      <c r="P65" s="104" t="str">
        <f t="shared" si="15"/>
        <v/>
      </c>
      <c r="T65" s="104" t="str">
        <f t="shared" ref="T65:AE66" si="16">IF(T14="","",1)</f>
        <v/>
      </c>
      <c r="U65" s="104" t="str">
        <f t="shared" si="16"/>
        <v/>
      </c>
      <c r="V65" s="104" t="str">
        <f t="shared" si="16"/>
        <v/>
      </c>
      <c r="W65" s="104" t="str">
        <f t="shared" si="16"/>
        <v/>
      </c>
      <c r="X65" s="104" t="str">
        <f t="shared" si="16"/>
        <v/>
      </c>
      <c r="Y65" s="104" t="str">
        <f t="shared" si="16"/>
        <v/>
      </c>
      <c r="Z65" s="104" t="str">
        <f t="shared" si="16"/>
        <v/>
      </c>
      <c r="AA65" s="104" t="str">
        <f t="shared" si="16"/>
        <v/>
      </c>
      <c r="AB65" s="104" t="str">
        <f t="shared" si="16"/>
        <v/>
      </c>
      <c r="AC65" s="104" t="str">
        <f t="shared" si="16"/>
        <v/>
      </c>
      <c r="AD65" s="104" t="str">
        <f t="shared" si="16"/>
        <v/>
      </c>
      <c r="AE65" s="104" t="str">
        <f t="shared" si="16"/>
        <v/>
      </c>
      <c r="AI65" s="104" t="str">
        <f t="shared" ref="AI65:AT66" si="17">IF(AI14="","",1)</f>
        <v/>
      </c>
      <c r="AJ65" s="104" t="str">
        <f t="shared" si="17"/>
        <v/>
      </c>
      <c r="AK65" s="104" t="str">
        <f t="shared" si="17"/>
        <v/>
      </c>
      <c r="AL65" s="104" t="str">
        <f t="shared" si="17"/>
        <v/>
      </c>
      <c r="AM65" s="104" t="str">
        <f t="shared" si="17"/>
        <v/>
      </c>
      <c r="AN65" s="104" t="str">
        <f t="shared" si="17"/>
        <v/>
      </c>
      <c r="AO65" s="104" t="str">
        <f t="shared" si="17"/>
        <v/>
      </c>
      <c r="AP65" s="104" t="str">
        <f t="shared" si="17"/>
        <v/>
      </c>
      <c r="AQ65" s="104" t="str">
        <f t="shared" si="17"/>
        <v/>
      </c>
      <c r="AR65" s="104" t="str">
        <f t="shared" si="17"/>
        <v/>
      </c>
      <c r="AS65" s="104" t="str">
        <f t="shared" si="17"/>
        <v/>
      </c>
      <c r="AT65" s="104" t="str">
        <f t="shared" si="17"/>
        <v/>
      </c>
      <c r="AX65" s="104" t="str">
        <f t="shared" ref="AX65:BI66" si="18">IF(AX14="","",1)</f>
        <v/>
      </c>
      <c r="AY65" s="104" t="str">
        <f t="shared" si="18"/>
        <v/>
      </c>
      <c r="AZ65" s="104" t="str">
        <f t="shared" si="18"/>
        <v/>
      </c>
      <c r="BA65" s="104" t="str">
        <f t="shared" si="18"/>
        <v/>
      </c>
      <c r="BB65" s="104" t="str">
        <f t="shared" si="18"/>
        <v/>
      </c>
      <c r="BC65" s="104" t="str">
        <f t="shared" si="18"/>
        <v/>
      </c>
      <c r="BD65" s="104" t="str">
        <f t="shared" si="18"/>
        <v/>
      </c>
      <c r="BE65" s="104" t="str">
        <f t="shared" si="18"/>
        <v/>
      </c>
      <c r="BF65" s="104" t="str">
        <f t="shared" si="18"/>
        <v/>
      </c>
      <c r="BG65" s="104" t="str">
        <f t="shared" si="18"/>
        <v/>
      </c>
      <c r="BH65" s="104" t="str">
        <f t="shared" si="18"/>
        <v/>
      </c>
      <c r="BI65" s="104" t="str">
        <f t="shared" si="18"/>
        <v/>
      </c>
      <c r="BM65" s="104" t="str">
        <f t="shared" ref="BM65:BX66" si="19">IF(BM14="","",1)</f>
        <v/>
      </c>
      <c r="BN65" s="104" t="str">
        <f t="shared" si="19"/>
        <v/>
      </c>
      <c r="BO65" s="104" t="str">
        <f t="shared" si="19"/>
        <v/>
      </c>
      <c r="BP65" s="104" t="str">
        <f t="shared" si="19"/>
        <v/>
      </c>
      <c r="BQ65" s="104" t="str">
        <f t="shared" si="19"/>
        <v/>
      </c>
      <c r="BR65" s="104" t="str">
        <f t="shared" si="19"/>
        <v/>
      </c>
      <c r="BS65" s="104" t="str">
        <f t="shared" si="19"/>
        <v/>
      </c>
      <c r="BT65" s="104" t="str">
        <f t="shared" si="19"/>
        <v/>
      </c>
      <c r="BU65" s="104" t="str">
        <f t="shared" si="19"/>
        <v/>
      </c>
      <c r="BV65" s="104" t="str">
        <f t="shared" si="19"/>
        <v/>
      </c>
      <c r="BW65" s="104" t="str">
        <f t="shared" si="19"/>
        <v/>
      </c>
      <c r="BX65" s="104" t="str">
        <f t="shared" si="19"/>
        <v/>
      </c>
    </row>
    <row r="66" spans="1:76" s="104" customFormat="1" x14ac:dyDescent="0.4">
      <c r="A66" s="104">
        <f>me!G24</f>
        <v>0</v>
      </c>
      <c r="B66" s="104">
        <f>me!H24</f>
        <v>0</v>
      </c>
      <c r="C66" s="104" t="str">
        <f>_xlfn.CONCAT(me!G24,": ",me!H24)</f>
        <v xml:space="preserve">: </v>
      </c>
      <c r="D66" s="104">
        <f>R43</f>
        <v>0</v>
      </c>
      <c r="E66" s="104">
        <f>R44</f>
        <v>0</v>
      </c>
      <c r="F66" s="104" t="str">
        <f t="shared" si="15"/>
        <v/>
      </c>
      <c r="G66" s="104" t="str">
        <f t="shared" si="15"/>
        <v/>
      </c>
      <c r="H66" s="104" t="str">
        <f t="shared" si="15"/>
        <v/>
      </c>
      <c r="I66" s="104" t="str">
        <f t="shared" si="15"/>
        <v/>
      </c>
      <c r="J66" s="104" t="str">
        <f t="shared" si="15"/>
        <v/>
      </c>
      <c r="K66" s="104" t="str">
        <f t="shared" si="15"/>
        <v/>
      </c>
      <c r="L66" s="104" t="str">
        <f t="shared" si="15"/>
        <v/>
      </c>
      <c r="M66" s="104" t="str">
        <f t="shared" si="15"/>
        <v/>
      </c>
      <c r="N66" s="104" t="str">
        <f t="shared" si="15"/>
        <v/>
      </c>
      <c r="O66" s="104" t="str">
        <f t="shared" si="15"/>
        <v/>
      </c>
      <c r="P66" s="104" t="str">
        <f t="shared" si="15"/>
        <v/>
      </c>
      <c r="T66" s="104" t="str">
        <f t="shared" si="16"/>
        <v/>
      </c>
      <c r="U66" s="104" t="str">
        <f t="shared" si="16"/>
        <v/>
      </c>
      <c r="V66" s="104" t="str">
        <f t="shared" si="16"/>
        <v/>
      </c>
      <c r="W66" s="104" t="str">
        <f t="shared" si="16"/>
        <v/>
      </c>
      <c r="X66" s="104" t="str">
        <f t="shared" si="16"/>
        <v/>
      </c>
      <c r="Y66" s="104" t="str">
        <f t="shared" si="16"/>
        <v/>
      </c>
      <c r="Z66" s="104" t="str">
        <f t="shared" si="16"/>
        <v/>
      </c>
      <c r="AA66" s="104" t="str">
        <f t="shared" si="16"/>
        <v/>
      </c>
      <c r="AB66" s="104" t="str">
        <f t="shared" si="16"/>
        <v/>
      </c>
      <c r="AC66" s="104" t="str">
        <f t="shared" si="16"/>
        <v/>
      </c>
      <c r="AD66" s="104" t="str">
        <f t="shared" si="16"/>
        <v/>
      </c>
      <c r="AE66" s="104" t="str">
        <f t="shared" si="16"/>
        <v/>
      </c>
      <c r="AI66" s="104" t="str">
        <f t="shared" si="17"/>
        <v/>
      </c>
      <c r="AJ66" s="104" t="str">
        <f t="shared" si="17"/>
        <v/>
      </c>
      <c r="AK66" s="104" t="str">
        <f t="shared" si="17"/>
        <v/>
      </c>
      <c r="AL66" s="104" t="str">
        <f t="shared" si="17"/>
        <v/>
      </c>
      <c r="AM66" s="104" t="str">
        <f t="shared" si="17"/>
        <v/>
      </c>
      <c r="AN66" s="104" t="str">
        <f t="shared" si="17"/>
        <v/>
      </c>
      <c r="AO66" s="104" t="str">
        <f t="shared" si="17"/>
        <v/>
      </c>
      <c r="AP66" s="104" t="str">
        <f t="shared" si="17"/>
        <v/>
      </c>
      <c r="AQ66" s="104" t="str">
        <f t="shared" si="17"/>
        <v/>
      </c>
      <c r="AR66" s="104" t="str">
        <f t="shared" si="17"/>
        <v/>
      </c>
      <c r="AS66" s="104" t="str">
        <f t="shared" si="17"/>
        <v/>
      </c>
      <c r="AT66" s="104" t="str">
        <f t="shared" si="17"/>
        <v/>
      </c>
      <c r="AX66" s="104" t="str">
        <f t="shared" si="18"/>
        <v/>
      </c>
      <c r="AY66" s="104" t="str">
        <f t="shared" si="18"/>
        <v/>
      </c>
      <c r="AZ66" s="104" t="str">
        <f t="shared" si="18"/>
        <v/>
      </c>
      <c r="BA66" s="104" t="str">
        <f t="shared" si="18"/>
        <v/>
      </c>
      <c r="BB66" s="104" t="str">
        <f t="shared" si="18"/>
        <v/>
      </c>
      <c r="BC66" s="104" t="str">
        <f t="shared" si="18"/>
        <v/>
      </c>
      <c r="BD66" s="104" t="str">
        <f t="shared" si="18"/>
        <v/>
      </c>
      <c r="BE66" s="104" t="str">
        <f t="shared" si="18"/>
        <v/>
      </c>
      <c r="BF66" s="104" t="str">
        <f t="shared" si="18"/>
        <v/>
      </c>
      <c r="BG66" s="104" t="str">
        <f t="shared" si="18"/>
        <v/>
      </c>
      <c r="BH66" s="104" t="str">
        <f t="shared" si="18"/>
        <v/>
      </c>
      <c r="BI66" s="104" t="str">
        <f t="shared" si="18"/>
        <v/>
      </c>
      <c r="BM66" s="104" t="str">
        <f t="shared" si="19"/>
        <v/>
      </c>
      <c r="BN66" s="104" t="str">
        <f t="shared" si="19"/>
        <v/>
      </c>
      <c r="BO66" s="104" t="str">
        <f t="shared" si="19"/>
        <v/>
      </c>
      <c r="BP66" s="104" t="str">
        <f t="shared" si="19"/>
        <v/>
      </c>
      <c r="BQ66" s="104" t="str">
        <f t="shared" si="19"/>
        <v/>
      </c>
      <c r="BR66" s="104" t="str">
        <f t="shared" si="19"/>
        <v/>
      </c>
      <c r="BS66" s="104" t="str">
        <f t="shared" si="19"/>
        <v/>
      </c>
      <c r="BT66" s="104" t="str">
        <f t="shared" si="19"/>
        <v/>
      </c>
      <c r="BU66" s="104" t="str">
        <f t="shared" si="19"/>
        <v/>
      </c>
      <c r="BV66" s="104" t="str">
        <f t="shared" si="19"/>
        <v/>
      </c>
      <c r="BW66" s="104" t="str">
        <f t="shared" si="19"/>
        <v/>
      </c>
      <c r="BX66" s="104" t="str">
        <f t="shared" si="19"/>
        <v/>
      </c>
    </row>
    <row r="67" spans="1:76" s="104" customFormat="1" x14ac:dyDescent="0.4">
      <c r="D67" s="104" t="str">
        <f>D6</f>
        <v>Ano 1</v>
      </c>
      <c r="F67" s="104" t="str">
        <f>T6</f>
        <v>Ano 2</v>
      </c>
      <c r="H67" s="104" t="str">
        <f>AI6</f>
        <v>Ano 3</v>
      </c>
      <c r="J67" s="104" t="str">
        <f>AX6</f>
        <v>Ano 4</v>
      </c>
      <c r="L67" s="104" t="str">
        <f>BM6</f>
        <v>Ano 5</v>
      </c>
      <c r="N67" s="104" t="s">
        <v>305</v>
      </c>
    </row>
    <row r="68" spans="1:76" s="104" customFormat="1" x14ac:dyDescent="0.4">
      <c r="D68" s="104" t="s">
        <v>285</v>
      </c>
      <c r="E68" s="104" t="s">
        <v>286</v>
      </c>
      <c r="F68" s="104" t="s">
        <v>289</v>
      </c>
      <c r="G68" s="104" t="s">
        <v>290</v>
      </c>
      <c r="H68" s="104" t="s">
        <v>291</v>
      </c>
      <c r="I68" s="104" t="s">
        <v>292</v>
      </c>
      <c r="J68" s="104" t="s">
        <v>293</v>
      </c>
      <c r="K68" s="104" t="s">
        <v>294</v>
      </c>
      <c r="L68" s="104" t="s">
        <v>287</v>
      </c>
      <c r="M68" s="104" t="s">
        <v>288</v>
      </c>
      <c r="N68" s="104" t="s">
        <v>59</v>
      </c>
      <c r="O68" s="104" t="s">
        <v>60</v>
      </c>
      <c r="P68" s="104" t="s">
        <v>306</v>
      </c>
    </row>
    <row r="69" spans="1:76" s="104" customFormat="1" x14ac:dyDescent="0.4">
      <c r="C69" s="104" t="s">
        <v>271</v>
      </c>
      <c r="D69" s="104">
        <f t="shared" ref="D69:M69" si="20">INDEX($E$6:$BZ$45,MATCH($C69,$A$6:$A$45,0),MATCH(D$68,$E$5:$BZ$5,0))</f>
        <v>0</v>
      </c>
      <c r="E69" s="104">
        <f t="shared" si="20"/>
        <v>0</v>
      </c>
      <c r="F69" s="104">
        <f t="shared" si="20"/>
        <v>0</v>
      </c>
      <c r="G69" s="104">
        <f t="shared" si="20"/>
        <v>0</v>
      </c>
      <c r="H69" s="104">
        <f t="shared" si="20"/>
        <v>0</v>
      </c>
      <c r="I69" s="104">
        <f t="shared" si="20"/>
        <v>0</v>
      </c>
      <c r="J69" s="104">
        <f t="shared" si="20"/>
        <v>0</v>
      </c>
      <c r="K69" s="104">
        <f t="shared" si="20"/>
        <v>0</v>
      </c>
      <c r="L69" s="104">
        <f t="shared" si="20"/>
        <v>0</v>
      </c>
      <c r="M69" s="104">
        <f t="shared" si="20"/>
        <v>0</v>
      </c>
      <c r="N69" s="104">
        <f>AVERAGE(D69,F69,H69,J69,L69)</f>
        <v>0</v>
      </c>
      <c r="O69" s="104">
        <f>AVERAGE(E69,G69,I69,K69,M69)</f>
        <v>0</v>
      </c>
      <c r="P69" s="104">
        <f>IFERROR(N69/O69,0)</f>
        <v>0</v>
      </c>
    </row>
    <row r="70" spans="1:76" s="104" customFormat="1" x14ac:dyDescent="0.4">
      <c r="C70" s="104" t="s">
        <v>272</v>
      </c>
      <c r="D70" s="104">
        <f t="shared" ref="D70:M84" si="21">INDEX($E$6:$BZ$45,MATCH($C70,$A$6:$A$45,0),MATCH(D$68,$E$5:$BZ$5,0))</f>
        <v>0</v>
      </c>
      <c r="E70" s="104">
        <f t="shared" si="21"/>
        <v>0</v>
      </c>
      <c r="F70" s="104">
        <f t="shared" si="21"/>
        <v>0</v>
      </c>
      <c r="G70" s="104">
        <f t="shared" si="21"/>
        <v>0</v>
      </c>
      <c r="H70" s="104">
        <f t="shared" si="21"/>
        <v>0</v>
      </c>
      <c r="I70" s="104">
        <f t="shared" si="21"/>
        <v>0</v>
      </c>
      <c r="J70" s="104">
        <f t="shared" si="21"/>
        <v>0</v>
      </c>
      <c r="K70" s="104">
        <f t="shared" si="21"/>
        <v>0</v>
      </c>
      <c r="L70" s="104">
        <f t="shared" si="21"/>
        <v>0</v>
      </c>
      <c r="M70" s="104">
        <f t="shared" si="21"/>
        <v>0</v>
      </c>
      <c r="N70" s="104">
        <f t="shared" ref="N70:O84" si="22">AVERAGE(D70,F70,H70,J70,L70)</f>
        <v>0</v>
      </c>
      <c r="O70" s="104">
        <f t="shared" si="22"/>
        <v>0</v>
      </c>
      <c r="P70" s="104">
        <f t="shared" ref="P70:P84" si="23">IFERROR(N70/O70,0)</f>
        <v>0</v>
      </c>
    </row>
    <row r="71" spans="1:76" s="104" customFormat="1" x14ac:dyDescent="0.4">
      <c r="C71" s="104" t="s">
        <v>273</v>
      </c>
      <c r="D71" s="104">
        <f t="shared" si="21"/>
        <v>0</v>
      </c>
      <c r="E71" s="104">
        <f t="shared" si="21"/>
        <v>0</v>
      </c>
      <c r="F71" s="104">
        <f t="shared" si="21"/>
        <v>0</v>
      </c>
      <c r="G71" s="104">
        <f t="shared" si="21"/>
        <v>0</v>
      </c>
      <c r="H71" s="104">
        <f t="shared" si="21"/>
        <v>0</v>
      </c>
      <c r="I71" s="104">
        <f t="shared" si="21"/>
        <v>0</v>
      </c>
      <c r="J71" s="104">
        <f t="shared" si="21"/>
        <v>0</v>
      </c>
      <c r="K71" s="104">
        <f t="shared" si="21"/>
        <v>0</v>
      </c>
      <c r="L71" s="104">
        <f t="shared" si="21"/>
        <v>0</v>
      </c>
      <c r="M71" s="104">
        <f t="shared" si="21"/>
        <v>0</v>
      </c>
      <c r="N71" s="104">
        <f t="shared" si="22"/>
        <v>0</v>
      </c>
      <c r="O71" s="104">
        <f t="shared" si="22"/>
        <v>0</v>
      </c>
      <c r="P71" s="104">
        <f t="shared" si="23"/>
        <v>0</v>
      </c>
    </row>
    <row r="72" spans="1:76" s="104" customFormat="1" x14ac:dyDescent="0.4">
      <c r="C72" s="104" t="s">
        <v>274</v>
      </c>
      <c r="D72" s="104">
        <f t="shared" si="21"/>
        <v>0</v>
      </c>
      <c r="E72" s="104">
        <f t="shared" si="21"/>
        <v>0</v>
      </c>
      <c r="F72" s="104">
        <f t="shared" si="21"/>
        <v>0</v>
      </c>
      <c r="G72" s="104">
        <f t="shared" si="21"/>
        <v>0</v>
      </c>
      <c r="H72" s="104">
        <f t="shared" si="21"/>
        <v>0</v>
      </c>
      <c r="I72" s="104">
        <f t="shared" si="21"/>
        <v>0</v>
      </c>
      <c r="J72" s="104">
        <f t="shared" si="21"/>
        <v>0</v>
      </c>
      <c r="K72" s="104">
        <f t="shared" si="21"/>
        <v>0</v>
      </c>
      <c r="L72" s="104">
        <f t="shared" si="21"/>
        <v>0</v>
      </c>
      <c r="M72" s="104">
        <f t="shared" si="21"/>
        <v>0</v>
      </c>
      <c r="N72" s="104">
        <f t="shared" si="22"/>
        <v>0</v>
      </c>
      <c r="O72" s="104">
        <f t="shared" si="22"/>
        <v>0</v>
      </c>
      <c r="P72" s="104">
        <f t="shared" si="23"/>
        <v>0</v>
      </c>
    </row>
    <row r="73" spans="1:76" s="104" customFormat="1" x14ac:dyDescent="0.4">
      <c r="C73" s="104" t="s">
        <v>275</v>
      </c>
      <c r="D73" s="104">
        <f t="shared" si="21"/>
        <v>0</v>
      </c>
      <c r="E73" s="104">
        <f t="shared" si="21"/>
        <v>0</v>
      </c>
      <c r="F73" s="104">
        <f t="shared" si="21"/>
        <v>0</v>
      </c>
      <c r="G73" s="104">
        <f t="shared" si="21"/>
        <v>0</v>
      </c>
      <c r="H73" s="104">
        <f t="shared" si="21"/>
        <v>0</v>
      </c>
      <c r="I73" s="104">
        <f t="shared" si="21"/>
        <v>0</v>
      </c>
      <c r="J73" s="104">
        <f t="shared" si="21"/>
        <v>0</v>
      </c>
      <c r="K73" s="104">
        <f t="shared" si="21"/>
        <v>0</v>
      </c>
      <c r="L73" s="104">
        <f t="shared" si="21"/>
        <v>0</v>
      </c>
      <c r="M73" s="104">
        <f t="shared" si="21"/>
        <v>0</v>
      </c>
      <c r="N73" s="104">
        <f t="shared" si="22"/>
        <v>0</v>
      </c>
      <c r="O73" s="104">
        <f t="shared" si="22"/>
        <v>0</v>
      </c>
      <c r="P73" s="104">
        <f t="shared" si="23"/>
        <v>0</v>
      </c>
    </row>
    <row r="74" spans="1:76" s="104" customFormat="1" x14ac:dyDescent="0.4">
      <c r="C74" s="104" t="s">
        <v>276</v>
      </c>
      <c r="D74" s="104">
        <f t="shared" si="21"/>
        <v>0</v>
      </c>
      <c r="E74" s="104">
        <f t="shared" si="21"/>
        <v>0</v>
      </c>
      <c r="F74" s="104">
        <f t="shared" si="21"/>
        <v>0</v>
      </c>
      <c r="G74" s="104">
        <f t="shared" si="21"/>
        <v>0</v>
      </c>
      <c r="H74" s="104">
        <f t="shared" si="21"/>
        <v>0</v>
      </c>
      <c r="I74" s="104">
        <f t="shared" si="21"/>
        <v>0</v>
      </c>
      <c r="J74" s="104">
        <f t="shared" si="21"/>
        <v>0</v>
      </c>
      <c r="K74" s="104">
        <f t="shared" si="21"/>
        <v>0</v>
      </c>
      <c r="L74" s="104">
        <f t="shared" si="21"/>
        <v>0</v>
      </c>
      <c r="M74" s="104">
        <f t="shared" si="21"/>
        <v>0</v>
      </c>
      <c r="N74" s="104">
        <f t="shared" si="22"/>
        <v>0</v>
      </c>
      <c r="O74" s="104">
        <f t="shared" si="22"/>
        <v>0</v>
      </c>
      <c r="P74" s="104">
        <f t="shared" si="23"/>
        <v>0</v>
      </c>
    </row>
    <row r="75" spans="1:76" s="104" customFormat="1" x14ac:dyDescent="0.4">
      <c r="C75" s="104" t="s">
        <v>277</v>
      </c>
      <c r="D75" s="104">
        <f t="shared" si="21"/>
        <v>0</v>
      </c>
      <c r="E75" s="104">
        <f t="shared" si="21"/>
        <v>0</v>
      </c>
      <c r="F75" s="104">
        <f t="shared" si="21"/>
        <v>0</v>
      </c>
      <c r="G75" s="104">
        <f t="shared" si="21"/>
        <v>0</v>
      </c>
      <c r="H75" s="104">
        <f t="shared" si="21"/>
        <v>0</v>
      </c>
      <c r="I75" s="104">
        <f t="shared" si="21"/>
        <v>0</v>
      </c>
      <c r="J75" s="104">
        <f t="shared" si="21"/>
        <v>0</v>
      </c>
      <c r="K75" s="104">
        <f t="shared" si="21"/>
        <v>0</v>
      </c>
      <c r="L75" s="104">
        <f t="shared" si="21"/>
        <v>0</v>
      </c>
      <c r="M75" s="104">
        <f t="shared" si="21"/>
        <v>0</v>
      </c>
      <c r="N75" s="104">
        <f t="shared" si="22"/>
        <v>0</v>
      </c>
      <c r="O75" s="104">
        <f t="shared" si="22"/>
        <v>0</v>
      </c>
      <c r="P75" s="104">
        <f t="shared" si="23"/>
        <v>0</v>
      </c>
    </row>
    <row r="76" spans="1:76" s="104" customFormat="1" x14ac:dyDescent="0.4">
      <c r="C76" s="104" t="s">
        <v>278</v>
      </c>
      <c r="D76" s="104">
        <f t="shared" si="21"/>
        <v>0</v>
      </c>
      <c r="E76" s="104">
        <f t="shared" si="21"/>
        <v>0</v>
      </c>
      <c r="F76" s="104">
        <f t="shared" si="21"/>
        <v>0</v>
      </c>
      <c r="G76" s="104">
        <f t="shared" si="21"/>
        <v>0</v>
      </c>
      <c r="H76" s="104">
        <f t="shared" si="21"/>
        <v>0</v>
      </c>
      <c r="I76" s="104">
        <f t="shared" si="21"/>
        <v>0</v>
      </c>
      <c r="J76" s="104">
        <f t="shared" si="21"/>
        <v>0</v>
      </c>
      <c r="K76" s="104">
        <f t="shared" si="21"/>
        <v>0</v>
      </c>
      <c r="L76" s="104">
        <f t="shared" si="21"/>
        <v>0</v>
      </c>
      <c r="M76" s="104">
        <f t="shared" si="21"/>
        <v>0</v>
      </c>
      <c r="N76" s="104">
        <f t="shared" si="22"/>
        <v>0</v>
      </c>
      <c r="O76" s="104">
        <f t="shared" si="22"/>
        <v>0</v>
      </c>
      <c r="P76" s="104">
        <f t="shared" si="23"/>
        <v>0</v>
      </c>
    </row>
    <row r="77" spans="1:76" s="104" customFormat="1" x14ac:dyDescent="0.4">
      <c r="C77" s="104" t="s">
        <v>279</v>
      </c>
      <c r="D77" s="104">
        <f t="shared" si="21"/>
        <v>0</v>
      </c>
      <c r="E77" s="104">
        <f t="shared" si="21"/>
        <v>0</v>
      </c>
      <c r="F77" s="104">
        <f t="shared" si="21"/>
        <v>0</v>
      </c>
      <c r="G77" s="104">
        <f t="shared" si="21"/>
        <v>0</v>
      </c>
      <c r="H77" s="104">
        <f t="shared" si="21"/>
        <v>0</v>
      </c>
      <c r="I77" s="104">
        <f t="shared" si="21"/>
        <v>0</v>
      </c>
      <c r="J77" s="104">
        <f t="shared" si="21"/>
        <v>0</v>
      </c>
      <c r="K77" s="104">
        <f t="shared" si="21"/>
        <v>0</v>
      </c>
      <c r="L77" s="104">
        <f t="shared" si="21"/>
        <v>0</v>
      </c>
      <c r="M77" s="104">
        <f t="shared" si="21"/>
        <v>0</v>
      </c>
      <c r="N77" s="104">
        <f t="shared" si="22"/>
        <v>0</v>
      </c>
      <c r="O77" s="104">
        <f t="shared" si="22"/>
        <v>0</v>
      </c>
      <c r="P77" s="104">
        <f t="shared" si="23"/>
        <v>0</v>
      </c>
    </row>
    <row r="78" spans="1:76" s="104" customFormat="1" x14ac:dyDescent="0.4">
      <c r="C78" s="104" t="s">
        <v>280</v>
      </c>
      <c r="D78" s="104">
        <f t="shared" si="21"/>
        <v>0</v>
      </c>
      <c r="E78" s="104">
        <f t="shared" si="21"/>
        <v>0</v>
      </c>
      <c r="F78" s="104">
        <f t="shared" si="21"/>
        <v>0</v>
      </c>
      <c r="G78" s="104">
        <f t="shared" si="21"/>
        <v>0</v>
      </c>
      <c r="H78" s="104">
        <f t="shared" si="21"/>
        <v>0</v>
      </c>
      <c r="I78" s="104">
        <f t="shared" si="21"/>
        <v>0</v>
      </c>
      <c r="J78" s="104">
        <f t="shared" si="21"/>
        <v>0</v>
      </c>
      <c r="K78" s="104">
        <f t="shared" si="21"/>
        <v>0</v>
      </c>
      <c r="L78" s="104">
        <f t="shared" si="21"/>
        <v>0</v>
      </c>
      <c r="M78" s="104">
        <f t="shared" si="21"/>
        <v>0</v>
      </c>
      <c r="N78" s="104">
        <f t="shared" si="22"/>
        <v>0</v>
      </c>
      <c r="O78" s="104">
        <f t="shared" si="22"/>
        <v>0</v>
      </c>
      <c r="P78" s="104">
        <f t="shared" si="23"/>
        <v>0</v>
      </c>
    </row>
    <row r="79" spans="1:76" s="104" customFormat="1" x14ac:dyDescent="0.4">
      <c r="C79" s="104" t="s">
        <v>281</v>
      </c>
      <c r="D79" s="104">
        <f t="shared" si="21"/>
        <v>0</v>
      </c>
      <c r="E79" s="104">
        <f t="shared" si="21"/>
        <v>0</v>
      </c>
      <c r="F79" s="104">
        <f t="shared" si="21"/>
        <v>0</v>
      </c>
      <c r="G79" s="104">
        <f t="shared" si="21"/>
        <v>0</v>
      </c>
      <c r="H79" s="104">
        <f t="shared" si="21"/>
        <v>0</v>
      </c>
      <c r="I79" s="104">
        <f t="shared" si="21"/>
        <v>0</v>
      </c>
      <c r="J79" s="104">
        <f t="shared" si="21"/>
        <v>0</v>
      </c>
      <c r="K79" s="104">
        <f t="shared" si="21"/>
        <v>0</v>
      </c>
      <c r="L79" s="104">
        <f t="shared" si="21"/>
        <v>0</v>
      </c>
      <c r="M79" s="104">
        <f t="shared" si="21"/>
        <v>0</v>
      </c>
      <c r="N79" s="104">
        <f t="shared" si="22"/>
        <v>0</v>
      </c>
      <c r="O79" s="104">
        <f t="shared" si="22"/>
        <v>0</v>
      </c>
      <c r="P79" s="104">
        <f t="shared" si="23"/>
        <v>0</v>
      </c>
    </row>
    <row r="80" spans="1:76" s="104" customFormat="1" x14ac:dyDescent="0.4">
      <c r="C80" s="104" t="s">
        <v>282</v>
      </c>
      <c r="D80" s="104">
        <f t="shared" si="21"/>
        <v>0</v>
      </c>
      <c r="E80" s="104">
        <f t="shared" si="21"/>
        <v>0</v>
      </c>
      <c r="F80" s="104">
        <f t="shared" si="21"/>
        <v>0</v>
      </c>
      <c r="G80" s="104">
        <f t="shared" si="21"/>
        <v>0</v>
      </c>
      <c r="H80" s="104">
        <f t="shared" si="21"/>
        <v>0</v>
      </c>
      <c r="I80" s="104">
        <f t="shared" si="21"/>
        <v>0</v>
      </c>
      <c r="J80" s="104">
        <f t="shared" si="21"/>
        <v>0</v>
      </c>
      <c r="K80" s="104">
        <f t="shared" si="21"/>
        <v>0</v>
      </c>
      <c r="L80" s="104">
        <f t="shared" si="21"/>
        <v>0</v>
      </c>
      <c r="M80" s="104">
        <f t="shared" si="21"/>
        <v>0</v>
      </c>
      <c r="N80" s="104">
        <f t="shared" si="22"/>
        <v>0</v>
      </c>
      <c r="O80" s="104">
        <f t="shared" si="22"/>
        <v>0</v>
      </c>
      <c r="P80" s="104">
        <f t="shared" si="23"/>
        <v>0</v>
      </c>
    </row>
    <row r="81" spans="3:76" s="104" customFormat="1" x14ac:dyDescent="0.4">
      <c r="C81" s="104" t="s">
        <v>283</v>
      </c>
      <c r="D81" s="104">
        <f t="shared" si="21"/>
        <v>0</v>
      </c>
      <c r="E81" s="104">
        <f t="shared" si="21"/>
        <v>0</v>
      </c>
      <c r="F81" s="104">
        <f t="shared" si="21"/>
        <v>0</v>
      </c>
      <c r="G81" s="104">
        <f t="shared" si="21"/>
        <v>0</v>
      </c>
      <c r="H81" s="104">
        <f t="shared" si="21"/>
        <v>0</v>
      </c>
      <c r="I81" s="104">
        <f t="shared" si="21"/>
        <v>0</v>
      </c>
      <c r="J81" s="104">
        <f t="shared" si="21"/>
        <v>0</v>
      </c>
      <c r="K81" s="104">
        <f t="shared" si="21"/>
        <v>0</v>
      </c>
      <c r="L81" s="104">
        <f t="shared" si="21"/>
        <v>0</v>
      </c>
      <c r="M81" s="104">
        <f t="shared" si="21"/>
        <v>0</v>
      </c>
      <c r="N81" s="104">
        <f t="shared" si="22"/>
        <v>0</v>
      </c>
      <c r="O81" s="104">
        <f t="shared" si="22"/>
        <v>0</v>
      </c>
      <c r="P81" s="104">
        <f t="shared" si="23"/>
        <v>0</v>
      </c>
    </row>
    <row r="82" spans="3:76" s="104" customFormat="1" x14ac:dyDescent="0.4">
      <c r="C82" s="104" t="s">
        <v>284</v>
      </c>
      <c r="D82" s="104">
        <f t="shared" si="21"/>
        <v>0</v>
      </c>
      <c r="E82" s="104">
        <f t="shared" si="21"/>
        <v>0</v>
      </c>
      <c r="F82" s="104">
        <f t="shared" si="21"/>
        <v>0</v>
      </c>
      <c r="G82" s="104">
        <f t="shared" si="21"/>
        <v>0</v>
      </c>
      <c r="H82" s="104">
        <f t="shared" si="21"/>
        <v>0</v>
      </c>
      <c r="I82" s="104">
        <f t="shared" si="21"/>
        <v>0</v>
      </c>
      <c r="J82" s="104">
        <f t="shared" si="21"/>
        <v>0</v>
      </c>
      <c r="K82" s="104">
        <f t="shared" si="21"/>
        <v>0</v>
      </c>
      <c r="L82" s="104">
        <f t="shared" si="21"/>
        <v>0</v>
      </c>
      <c r="M82" s="104">
        <f t="shared" si="21"/>
        <v>0</v>
      </c>
      <c r="N82" s="104">
        <f t="shared" si="22"/>
        <v>0</v>
      </c>
      <c r="O82" s="104">
        <f t="shared" si="22"/>
        <v>0</v>
      </c>
      <c r="P82" s="104">
        <f t="shared" si="23"/>
        <v>0</v>
      </c>
    </row>
    <row r="83" spans="3:76" s="104" customFormat="1" x14ac:dyDescent="0.4">
      <c r="C83" s="104" t="s">
        <v>269</v>
      </c>
      <c r="D83" s="104">
        <f t="shared" si="21"/>
        <v>0</v>
      </c>
      <c r="E83" s="104">
        <f t="shared" si="21"/>
        <v>0</v>
      </c>
      <c r="F83" s="104">
        <f t="shared" si="21"/>
        <v>0</v>
      </c>
      <c r="G83" s="104">
        <f t="shared" si="21"/>
        <v>0</v>
      </c>
      <c r="H83" s="104">
        <f t="shared" si="21"/>
        <v>0</v>
      </c>
      <c r="I83" s="104">
        <f t="shared" si="21"/>
        <v>0</v>
      </c>
      <c r="J83" s="104">
        <f t="shared" si="21"/>
        <v>0</v>
      </c>
      <c r="K83" s="104">
        <f t="shared" si="21"/>
        <v>0</v>
      </c>
      <c r="L83" s="104">
        <f t="shared" si="21"/>
        <v>0</v>
      </c>
      <c r="M83" s="104">
        <f t="shared" si="21"/>
        <v>0</v>
      </c>
      <c r="N83" s="104">
        <f t="shared" si="22"/>
        <v>0</v>
      </c>
      <c r="O83" s="104">
        <f t="shared" si="22"/>
        <v>0</v>
      </c>
      <c r="P83" s="104">
        <f t="shared" si="23"/>
        <v>0</v>
      </c>
    </row>
    <row r="84" spans="3:76" s="104" customFormat="1" x14ac:dyDescent="0.4">
      <c r="C84" s="104" t="s">
        <v>270</v>
      </c>
      <c r="D84" s="104">
        <f t="shared" si="21"/>
        <v>0</v>
      </c>
      <c r="E84" s="104">
        <f t="shared" si="21"/>
        <v>0</v>
      </c>
      <c r="F84" s="104">
        <f t="shared" si="21"/>
        <v>0</v>
      </c>
      <c r="G84" s="104">
        <f t="shared" si="21"/>
        <v>0</v>
      </c>
      <c r="H84" s="104">
        <f t="shared" si="21"/>
        <v>0</v>
      </c>
      <c r="I84" s="104">
        <f t="shared" si="21"/>
        <v>0</v>
      </c>
      <c r="J84" s="104">
        <f t="shared" si="21"/>
        <v>0</v>
      </c>
      <c r="K84" s="104">
        <f t="shared" si="21"/>
        <v>0</v>
      </c>
      <c r="L84" s="104">
        <f t="shared" si="21"/>
        <v>0</v>
      </c>
      <c r="M84" s="104">
        <f t="shared" si="21"/>
        <v>0</v>
      </c>
      <c r="N84" s="104">
        <f t="shared" si="22"/>
        <v>0</v>
      </c>
      <c r="O84" s="104">
        <f t="shared" si="22"/>
        <v>0</v>
      </c>
      <c r="P84" s="104">
        <f t="shared" si="23"/>
        <v>0</v>
      </c>
    </row>
    <row r="85" spans="3:76" s="104" customFormat="1" x14ac:dyDescent="0.4">
      <c r="C85" s="104" t="s">
        <v>271</v>
      </c>
      <c r="E85" s="104">
        <f t="shared" ref="E85:P85" si="24">COUNTA(E8)</f>
        <v>0</v>
      </c>
      <c r="F85" s="104">
        <f t="shared" si="24"/>
        <v>0</v>
      </c>
      <c r="G85" s="104">
        <f t="shared" si="24"/>
        <v>0</v>
      </c>
      <c r="H85" s="104">
        <f t="shared" si="24"/>
        <v>0</v>
      </c>
      <c r="I85" s="104">
        <f t="shared" si="24"/>
        <v>0</v>
      </c>
      <c r="J85" s="104">
        <f t="shared" si="24"/>
        <v>0</v>
      </c>
      <c r="K85" s="104">
        <f t="shared" si="24"/>
        <v>0</v>
      </c>
      <c r="L85" s="104">
        <f t="shared" si="24"/>
        <v>0</v>
      </c>
      <c r="M85" s="104">
        <f t="shared" si="24"/>
        <v>0</v>
      </c>
      <c r="N85" s="104">
        <f t="shared" si="24"/>
        <v>0</v>
      </c>
      <c r="O85" s="104">
        <f t="shared" si="24"/>
        <v>0</v>
      </c>
      <c r="P85" s="104">
        <f t="shared" si="24"/>
        <v>0</v>
      </c>
      <c r="T85" s="104">
        <f t="shared" ref="T85:AE85" si="25">COUNTA(T8)</f>
        <v>0</v>
      </c>
      <c r="U85" s="104">
        <f t="shared" si="25"/>
        <v>0</v>
      </c>
      <c r="V85" s="104">
        <f t="shared" si="25"/>
        <v>0</v>
      </c>
      <c r="W85" s="104">
        <f t="shared" si="25"/>
        <v>0</v>
      </c>
      <c r="X85" s="104">
        <f t="shared" si="25"/>
        <v>0</v>
      </c>
      <c r="Y85" s="104">
        <f t="shared" si="25"/>
        <v>0</v>
      </c>
      <c r="Z85" s="104">
        <f t="shared" si="25"/>
        <v>0</v>
      </c>
      <c r="AA85" s="104">
        <f t="shared" si="25"/>
        <v>0</v>
      </c>
      <c r="AB85" s="104">
        <f t="shared" si="25"/>
        <v>0</v>
      </c>
      <c r="AC85" s="104">
        <f t="shared" si="25"/>
        <v>0</v>
      </c>
      <c r="AD85" s="104">
        <f t="shared" si="25"/>
        <v>0</v>
      </c>
      <c r="AE85" s="104">
        <f t="shared" si="25"/>
        <v>0</v>
      </c>
      <c r="AI85" s="104">
        <f t="shared" ref="AI85:AT85" si="26">COUNTA(AI8)</f>
        <v>0</v>
      </c>
      <c r="AJ85" s="104">
        <f t="shared" si="26"/>
        <v>0</v>
      </c>
      <c r="AK85" s="104">
        <f t="shared" si="26"/>
        <v>0</v>
      </c>
      <c r="AL85" s="104">
        <f t="shared" si="26"/>
        <v>0</v>
      </c>
      <c r="AM85" s="104">
        <f t="shared" si="26"/>
        <v>0</v>
      </c>
      <c r="AN85" s="104">
        <f t="shared" si="26"/>
        <v>0</v>
      </c>
      <c r="AO85" s="104">
        <f t="shared" si="26"/>
        <v>0</v>
      </c>
      <c r="AP85" s="104">
        <f t="shared" si="26"/>
        <v>0</v>
      </c>
      <c r="AQ85" s="104">
        <f t="shared" si="26"/>
        <v>0</v>
      </c>
      <c r="AR85" s="104">
        <f t="shared" si="26"/>
        <v>0</v>
      </c>
      <c r="AS85" s="104">
        <f t="shared" si="26"/>
        <v>0</v>
      </c>
      <c r="AT85" s="104">
        <f t="shared" si="26"/>
        <v>0</v>
      </c>
      <c r="AX85" s="104">
        <f t="shared" ref="AX85:BI85" si="27">COUNTA(AX8)</f>
        <v>0</v>
      </c>
      <c r="AY85" s="104">
        <f t="shared" si="27"/>
        <v>0</v>
      </c>
      <c r="AZ85" s="104">
        <f t="shared" si="27"/>
        <v>0</v>
      </c>
      <c r="BA85" s="104">
        <f t="shared" si="27"/>
        <v>0</v>
      </c>
      <c r="BB85" s="104">
        <f t="shared" si="27"/>
        <v>0</v>
      </c>
      <c r="BC85" s="104">
        <f t="shared" si="27"/>
        <v>0</v>
      </c>
      <c r="BD85" s="104">
        <f t="shared" si="27"/>
        <v>0</v>
      </c>
      <c r="BE85" s="104">
        <f t="shared" si="27"/>
        <v>0</v>
      </c>
      <c r="BF85" s="104">
        <f t="shared" si="27"/>
        <v>0</v>
      </c>
      <c r="BG85" s="104">
        <f t="shared" si="27"/>
        <v>0</v>
      </c>
      <c r="BH85" s="104">
        <f t="shared" si="27"/>
        <v>0</v>
      </c>
      <c r="BI85" s="104">
        <f t="shared" si="27"/>
        <v>0</v>
      </c>
      <c r="BM85" s="104">
        <f t="shared" ref="BM85:BX85" si="28">COUNTA(BM8)</f>
        <v>0</v>
      </c>
      <c r="BN85" s="104">
        <f t="shared" si="28"/>
        <v>0</v>
      </c>
      <c r="BO85" s="104">
        <f t="shared" si="28"/>
        <v>0</v>
      </c>
      <c r="BP85" s="104">
        <f t="shared" si="28"/>
        <v>0</v>
      </c>
      <c r="BQ85" s="104">
        <f t="shared" si="28"/>
        <v>0</v>
      </c>
      <c r="BR85" s="104">
        <f t="shared" si="28"/>
        <v>0</v>
      </c>
      <c r="BS85" s="104">
        <f t="shared" si="28"/>
        <v>0</v>
      </c>
      <c r="BT85" s="104">
        <f t="shared" si="28"/>
        <v>0</v>
      </c>
      <c r="BU85" s="104">
        <f t="shared" si="28"/>
        <v>0</v>
      </c>
      <c r="BV85" s="104">
        <f t="shared" si="28"/>
        <v>0</v>
      </c>
      <c r="BW85" s="104">
        <f t="shared" si="28"/>
        <v>0</v>
      </c>
      <c r="BX85" s="104">
        <f t="shared" si="28"/>
        <v>0</v>
      </c>
    </row>
    <row r="86" spans="3:76" s="104" customFormat="1" x14ac:dyDescent="0.4">
      <c r="C86" s="104" t="s">
        <v>272</v>
      </c>
      <c r="E86" s="104">
        <f t="shared" ref="E86:P86" si="29">COUNTA(E9)</f>
        <v>0</v>
      </c>
      <c r="F86" s="104">
        <f t="shared" si="29"/>
        <v>0</v>
      </c>
      <c r="G86" s="104">
        <f t="shared" si="29"/>
        <v>0</v>
      </c>
      <c r="H86" s="104">
        <f t="shared" si="29"/>
        <v>0</v>
      </c>
      <c r="I86" s="104">
        <f t="shared" si="29"/>
        <v>0</v>
      </c>
      <c r="J86" s="104">
        <f t="shared" si="29"/>
        <v>0</v>
      </c>
      <c r="K86" s="104">
        <f t="shared" si="29"/>
        <v>0</v>
      </c>
      <c r="L86" s="104">
        <f t="shared" si="29"/>
        <v>0</v>
      </c>
      <c r="M86" s="104">
        <f t="shared" si="29"/>
        <v>0</v>
      </c>
      <c r="N86" s="104">
        <f t="shared" si="29"/>
        <v>0</v>
      </c>
      <c r="O86" s="104">
        <f t="shared" si="29"/>
        <v>0</v>
      </c>
      <c r="P86" s="104">
        <f t="shared" si="29"/>
        <v>0</v>
      </c>
      <c r="T86" s="104">
        <f t="shared" ref="T86:AE86" si="30">COUNTA(T9)</f>
        <v>0</v>
      </c>
      <c r="U86" s="104">
        <f t="shared" si="30"/>
        <v>0</v>
      </c>
      <c r="V86" s="104">
        <f t="shared" si="30"/>
        <v>0</v>
      </c>
      <c r="W86" s="104">
        <f t="shared" si="30"/>
        <v>0</v>
      </c>
      <c r="X86" s="104">
        <f t="shared" si="30"/>
        <v>0</v>
      </c>
      <c r="Y86" s="104">
        <f t="shared" si="30"/>
        <v>0</v>
      </c>
      <c r="Z86" s="104">
        <f t="shared" si="30"/>
        <v>0</v>
      </c>
      <c r="AA86" s="104">
        <f t="shared" si="30"/>
        <v>0</v>
      </c>
      <c r="AB86" s="104">
        <f t="shared" si="30"/>
        <v>0</v>
      </c>
      <c r="AC86" s="104">
        <f t="shared" si="30"/>
        <v>0</v>
      </c>
      <c r="AD86" s="104">
        <f t="shared" si="30"/>
        <v>0</v>
      </c>
      <c r="AE86" s="104">
        <f t="shared" si="30"/>
        <v>0</v>
      </c>
      <c r="AI86" s="104">
        <f t="shared" ref="AI86:AT86" si="31">COUNTA(AI9)</f>
        <v>0</v>
      </c>
      <c r="AJ86" s="104">
        <f t="shared" si="31"/>
        <v>0</v>
      </c>
      <c r="AK86" s="104">
        <f t="shared" si="31"/>
        <v>0</v>
      </c>
      <c r="AL86" s="104">
        <f t="shared" si="31"/>
        <v>0</v>
      </c>
      <c r="AM86" s="104">
        <f t="shared" si="31"/>
        <v>0</v>
      </c>
      <c r="AN86" s="104">
        <f t="shared" si="31"/>
        <v>0</v>
      </c>
      <c r="AO86" s="104">
        <f t="shared" si="31"/>
        <v>0</v>
      </c>
      <c r="AP86" s="104">
        <f t="shared" si="31"/>
        <v>0</v>
      </c>
      <c r="AQ86" s="104">
        <f t="shared" si="31"/>
        <v>0</v>
      </c>
      <c r="AR86" s="104">
        <f t="shared" si="31"/>
        <v>0</v>
      </c>
      <c r="AS86" s="104">
        <f t="shared" si="31"/>
        <v>0</v>
      </c>
      <c r="AT86" s="104">
        <f t="shared" si="31"/>
        <v>0</v>
      </c>
      <c r="AX86" s="104">
        <f t="shared" ref="AX86:BI86" si="32">COUNTA(AX9)</f>
        <v>0</v>
      </c>
      <c r="AY86" s="104">
        <f t="shared" si="32"/>
        <v>0</v>
      </c>
      <c r="AZ86" s="104">
        <f t="shared" si="32"/>
        <v>0</v>
      </c>
      <c r="BA86" s="104">
        <f t="shared" si="32"/>
        <v>0</v>
      </c>
      <c r="BB86" s="104">
        <f t="shared" si="32"/>
        <v>0</v>
      </c>
      <c r="BC86" s="104">
        <f t="shared" si="32"/>
        <v>0</v>
      </c>
      <c r="BD86" s="104">
        <f t="shared" si="32"/>
        <v>0</v>
      </c>
      <c r="BE86" s="104">
        <f t="shared" si="32"/>
        <v>0</v>
      </c>
      <c r="BF86" s="104">
        <f t="shared" si="32"/>
        <v>0</v>
      </c>
      <c r="BG86" s="104">
        <f t="shared" si="32"/>
        <v>0</v>
      </c>
      <c r="BH86" s="104">
        <f t="shared" si="32"/>
        <v>0</v>
      </c>
      <c r="BI86" s="104">
        <f t="shared" si="32"/>
        <v>0</v>
      </c>
      <c r="BM86" s="104">
        <f t="shared" ref="BM86:BX86" si="33">COUNTA(BM9)</f>
        <v>0</v>
      </c>
      <c r="BN86" s="104">
        <f t="shared" si="33"/>
        <v>0</v>
      </c>
      <c r="BO86" s="104">
        <f t="shared" si="33"/>
        <v>0</v>
      </c>
      <c r="BP86" s="104">
        <f t="shared" si="33"/>
        <v>0</v>
      </c>
      <c r="BQ86" s="104">
        <f t="shared" si="33"/>
        <v>0</v>
      </c>
      <c r="BR86" s="104">
        <f t="shared" si="33"/>
        <v>0</v>
      </c>
      <c r="BS86" s="104">
        <f t="shared" si="33"/>
        <v>0</v>
      </c>
      <c r="BT86" s="104">
        <f t="shared" si="33"/>
        <v>0</v>
      </c>
      <c r="BU86" s="104">
        <f t="shared" si="33"/>
        <v>0</v>
      </c>
      <c r="BV86" s="104">
        <f t="shared" si="33"/>
        <v>0</v>
      </c>
      <c r="BW86" s="104">
        <f t="shared" si="33"/>
        <v>0</v>
      </c>
      <c r="BX86" s="104">
        <f t="shared" si="33"/>
        <v>0</v>
      </c>
    </row>
    <row r="87" spans="3:76" s="104" customFormat="1" x14ac:dyDescent="0.4">
      <c r="C87" s="104" t="s">
        <v>273</v>
      </c>
      <c r="E87" s="104">
        <f t="shared" ref="E87:P87" si="34">COUNTA(E13)</f>
        <v>0</v>
      </c>
      <c r="F87" s="104">
        <f t="shared" si="34"/>
        <v>0</v>
      </c>
      <c r="G87" s="104">
        <f t="shared" si="34"/>
        <v>0</v>
      </c>
      <c r="H87" s="104">
        <f t="shared" si="34"/>
        <v>0</v>
      </c>
      <c r="I87" s="104">
        <f t="shared" si="34"/>
        <v>0</v>
      </c>
      <c r="J87" s="104">
        <f t="shared" si="34"/>
        <v>0</v>
      </c>
      <c r="K87" s="104">
        <f t="shared" si="34"/>
        <v>0</v>
      </c>
      <c r="L87" s="104">
        <f t="shared" si="34"/>
        <v>0</v>
      </c>
      <c r="M87" s="104">
        <f t="shared" si="34"/>
        <v>0</v>
      </c>
      <c r="N87" s="104">
        <f t="shared" si="34"/>
        <v>0</v>
      </c>
      <c r="O87" s="104">
        <f t="shared" si="34"/>
        <v>0</v>
      </c>
      <c r="P87" s="104">
        <f t="shared" si="34"/>
        <v>0</v>
      </c>
      <c r="T87" s="104">
        <f t="shared" ref="T87:AE87" si="35">COUNTA(T13)</f>
        <v>0</v>
      </c>
      <c r="U87" s="104">
        <f t="shared" si="35"/>
        <v>0</v>
      </c>
      <c r="V87" s="104">
        <f t="shared" si="35"/>
        <v>0</v>
      </c>
      <c r="W87" s="104">
        <f t="shared" si="35"/>
        <v>0</v>
      </c>
      <c r="X87" s="104">
        <f t="shared" si="35"/>
        <v>0</v>
      </c>
      <c r="Y87" s="104">
        <f t="shared" si="35"/>
        <v>0</v>
      </c>
      <c r="Z87" s="104">
        <f t="shared" si="35"/>
        <v>0</v>
      </c>
      <c r="AA87" s="104">
        <f t="shared" si="35"/>
        <v>0</v>
      </c>
      <c r="AB87" s="104">
        <f t="shared" si="35"/>
        <v>0</v>
      </c>
      <c r="AC87" s="104">
        <f t="shared" si="35"/>
        <v>0</v>
      </c>
      <c r="AD87" s="104">
        <f t="shared" si="35"/>
        <v>0</v>
      </c>
      <c r="AE87" s="104">
        <f t="shared" si="35"/>
        <v>0</v>
      </c>
      <c r="AI87" s="104">
        <f t="shared" ref="AI87:AT87" si="36">COUNTA(AI13)</f>
        <v>0</v>
      </c>
      <c r="AJ87" s="104">
        <f t="shared" si="36"/>
        <v>0</v>
      </c>
      <c r="AK87" s="104">
        <f t="shared" si="36"/>
        <v>0</v>
      </c>
      <c r="AL87" s="104">
        <f t="shared" si="36"/>
        <v>0</v>
      </c>
      <c r="AM87" s="104">
        <f t="shared" si="36"/>
        <v>0</v>
      </c>
      <c r="AN87" s="104">
        <f t="shared" si="36"/>
        <v>0</v>
      </c>
      <c r="AO87" s="104">
        <f t="shared" si="36"/>
        <v>0</v>
      </c>
      <c r="AP87" s="104">
        <f t="shared" si="36"/>
        <v>0</v>
      </c>
      <c r="AQ87" s="104">
        <f t="shared" si="36"/>
        <v>0</v>
      </c>
      <c r="AR87" s="104">
        <f t="shared" si="36"/>
        <v>0</v>
      </c>
      <c r="AS87" s="104">
        <f t="shared" si="36"/>
        <v>0</v>
      </c>
      <c r="AT87" s="104">
        <f t="shared" si="36"/>
        <v>0</v>
      </c>
      <c r="AX87" s="104">
        <f t="shared" ref="AX87:BI87" si="37">COUNTA(AX13)</f>
        <v>0</v>
      </c>
      <c r="AY87" s="104">
        <f t="shared" si="37"/>
        <v>0</v>
      </c>
      <c r="AZ87" s="104">
        <f t="shared" si="37"/>
        <v>0</v>
      </c>
      <c r="BA87" s="104">
        <f t="shared" si="37"/>
        <v>0</v>
      </c>
      <c r="BB87" s="104">
        <f t="shared" si="37"/>
        <v>0</v>
      </c>
      <c r="BC87" s="104">
        <f t="shared" si="37"/>
        <v>0</v>
      </c>
      <c r="BD87" s="104">
        <f t="shared" si="37"/>
        <v>0</v>
      </c>
      <c r="BE87" s="104">
        <f t="shared" si="37"/>
        <v>0</v>
      </c>
      <c r="BF87" s="104">
        <f t="shared" si="37"/>
        <v>0</v>
      </c>
      <c r="BG87" s="104">
        <f t="shared" si="37"/>
        <v>0</v>
      </c>
      <c r="BH87" s="104">
        <f t="shared" si="37"/>
        <v>0</v>
      </c>
      <c r="BI87" s="104">
        <f t="shared" si="37"/>
        <v>0</v>
      </c>
      <c r="BM87" s="104">
        <f t="shared" ref="BM87:BX87" si="38">COUNTA(BM13)</f>
        <v>0</v>
      </c>
      <c r="BN87" s="104">
        <f t="shared" si="38"/>
        <v>0</v>
      </c>
      <c r="BO87" s="104">
        <f t="shared" si="38"/>
        <v>0</v>
      </c>
      <c r="BP87" s="104">
        <f t="shared" si="38"/>
        <v>0</v>
      </c>
      <c r="BQ87" s="104">
        <f t="shared" si="38"/>
        <v>0</v>
      </c>
      <c r="BR87" s="104">
        <f t="shared" si="38"/>
        <v>0</v>
      </c>
      <c r="BS87" s="104">
        <f t="shared" si="38"/>
        <v>0</v>
      </c>
      <c r="BT87" s="104">
        <f t="shared" si="38"/>
        <v>0</v>
      </c>
      <c r="BU87" s="104">
        <f t="shared" si="38"/>
        <v>0</v>
      </c>
      <c r="BV87" s="104">
        <f t="shared" si="38"/>
        <v>0</v>
      </c>
      <c r="BW87" s="104">
        <f t="shared" si="38"/>
        <v>0</v>
      </c>
      <c r="BX87" s="104">
        <f t="shared" si="38"/>
        <v>0</v>
      </c>
    </row>
    <row r="88" spans="3:76" s="104" customFormat="1" x14ac:dyDescent="0.4">
      <c r="C88" s="104" t="s">
        <v>274</v>
      </c>
      <c r="E88" s="104">
        <f t="shared" ref="E88:P88" si="39">COUNTA(E14)</f>
        <v>0</v>
      </c>
      <c r="F88" s="104">
        <f t="shared" si="39"/>
        <v>0</v>
      </c>
      <c r="G88" s="104">
        <f t="shared" si="39"/>
        <v>0</v>
      </c>
      <c r="H88" s="104">
        <f t="shared" si="39"/>
        <v>0</v>
      </c>
      <c r="I88" s="104">
        <f t="shared" si="39"/>
        <v>0</v>
      </c>
      <c r="J88" s="104">
        <f t="shared" si="39"/>
        <v>0</v>
      </c>
      <c r="K88" s="104">
        <f t="shared" si="39"/>
        <v>0</v>
      </c>
      <c r="L88" s="104">
        <f t="shared" si="39"/>
        <v>0</v>
      </c>
      <c r="M88" s="104">
        <f t="shared" si="39"/>
        <v>0</v>
      </c>
      <c r="N88" s="104">
        <f t="shared" si="39"/>
        <v>0</v>
      </c>
      <c r="O88" s="104">
        <f t="shared" si="39"/>
        <v>0</v>
      </c>
      <c r="P88" s="104">
        <f t="shared" si="39"/>
        <v>0</v>
      </c>
      <c r="T88" s="104">
        <f t="shared" ref="T88:AE88" si="40">COUNTA(T14)</f>
        <v>0</v>
      </c>
      <c r="U88" s="104">
        <f t="shared" si="40"/>
        <v>0</v>
      </c>
      <c r="V88" s="104">
        <f t="shared" si="40"/>
        <v>0</v>
      </c>
      <c r="W88" s="104">
        <f t="shared" si="40"/>
        <v>0</v>
      </c>
      <c r="X88" s="104">
        <f t="shared" si="40"/>
        <v>0</v>
      </c>
      <c r="Y88" s="104">
        <f t="shared" si="40"/>
        <v>0</v>
      </c>
      <c r="Z88" s="104">
        <f t="shared" si="40"/>
        <v>0</v>
      </c>
      <c r="AA88" s="104">
        <f t="shared" si="40"/>
        <v>0</v>
      </c>
      <c r="AB88" s="104">
        <f t="shared" si="40"/>
        <v>0</v>
      </c>
      <c r="AC88" s="104">
        <f t="shared" si="40"/>
        <v>0</v>
      </c>
      <c r="AD88" s="104">
        <f t="shared" si="40"/>
        <v>0</v>
      </c>
      <c r="AE88" s="104">
        <f t="shared" si="40"/>
        <v>0</v>
      </c>
      <c r="AI88" s="104">
        <f t="shared" ref="AI88:AT88" si="41">COUNTA(AI14)</f>
        <v>0</v>
      </c>
      <c r="AJ88" s="104">
        <f t="shared" si="41"/>
        <v>0</v>
      </c>
      <c r="AK88" s="104">
        <f t="shared" si="41"/>
        <v>0</v>
      </c>
      <c r="AL88" s="104">
        <f t="shared" si="41"/>
        <v>0</v>
      </c>
      <c r="AM88" s="104">
        <f t="shared" si="41"/>
        <v>0</v>
      </c>
      <c r="AN88" s="104">
        <f t="shared" si="41"/>
        <v>0</v>
      </c>
      <c r="AO88" s="104">
        <f t="shared" si="41"/>
        <v>0</v>
      </c>
      <c r="AP88" s="104">
        <f t="shared" si="41"/>
        <v>0</v>
      </c>
      <c r="AQ88" s="104">
        <f t="shared" si="41"/>
        <v>0</v>
      </c>
      <c r="AR88" s="104">
        <f t="shared" si="41"/>
        <v>0</v>
      </c>
      <c r="AS88" s="104">
        <f t="shared" si="41"/>
        <v>0</v>
      </c>
      <c r="AT88" s="104">
        <f t="shared" si="41"/>
        <v>0</v>
      </c>
      <c r="AX88" s="104">
        <f t="shared" ref="AX88:BI88" si="42">COUNTA(AX14)</f>
        <v>0</v>
      </c>
      <c r="AY88" s="104">
        <f t="shared" si="42"/>
        <v>0</v>
      </c>
      <c r="AZ88" s="104">
        <f t="shared" si="42"/>
        <v>0</v>
      </c>
      <c r="BA88" s="104">
        <f t="shared" si="42"/>
        <v>0</v>
      </c>
      <c r="BB88" s="104">
        <f t="shared" si="42"/>
        <v>0</v>
      </c>
      <c r="BC88" s="104">
        <f t="shared" si="42"/>
        <v>0</v>
      </c>
      <c r="BD88" s="104">
        <f t="shared" si="42"/>
        <v>0</v>
      </c>
      <c r="BE88" s="104">
        <f t="shared" si="42"/>
        <v>0</v>
      </c>
      <c r="BF88" s="104">
        <f t="shared" si="42"/>
        <v>0</v>
      </c>
      <c r="BG88" s="104">
        <f t="shared" si="42"/>
        <v>0</v>
      </c>
      <c r="BH88" s="104">
        <f t="shared" si="42"/>
        <v>0</v>
      </c>
      <c r="BI88" s="104">
        <f t="shared" si="42"/>
        <v>0</v>
      </c>
      <c r="BM88" s="104">
        <f t="shared" ref="BM88:BX88" si="43">COUNTA(BM14)</f>
        <v>0</v>
      </c>
      <c r="BN88" s="104">
        <f t="shared" si="43"/>
        <v>0</v>
      </c>
      <c r="BO88" s="104">
        <f t="shared" si="43"/>
        <v>0</v>
      </c>
      <c r="BP88" s="104">
        <f t="shared" si="43"/>
        <v>0</v>
      </c>
      <c r="BQ88" s="104">
        <f t="shared" si="43"/>
        <v>0</v>
      </c>
      <c r="BR88" s="104">
        <f t="shared" si="43"/>
        <v>0</v>
      </c>
      <c r="BS88" s="104">
        <f t="shared" si="43"/>
        <v>0</v>
      </c>
      <c r="BT88" s="104">
        <f t="shared" si="43"/>
        <v>0</v>
      </c>
      <c r="BU88" s="104">
        <f t="shared" si="43"/>
        <v>0</v>
      </c>
      <c r="BV88" s="104">
        <f t="shared" si="43"/>
        <v>0</v>
      </c>
      <c r="BW88" s="104">
        <f t="shared" si="43"/>
        <v>0</v>
      </c>
      <c r="BX88" s="104">
        <f t="shared" si="43"/>
        <v>0</v>
      </c>
    </row>
    <row r="89" spans="3:76" s="104" customFormat="1" x14ac:dyDescent="0.4">
      <c r="C89" s="104" t="s">
        <v>275</v>
      </c>
      <c r="E89" s="104">
        <f>COUNTA(E18)</f>
        <v>0</v>
      </c>
      <c r="F89" s="104">
        <f t="shared" ref="F89:P90" si="44">COUNTA(F18)</f>
        <v>0</v>
      </c>
      <c r="G89" s="104">
        <f t="shared" si="44"/>
        <v>0</v>
      </c>
      <c r="H89" s="104">
        <f t="shared" si="44"/>
        <v>0</v>
      </c>
      <c r="I89" s="104">
        <f t="shared" si="44"/>
        <v>0</v>
      </c>
      <c r="J89" s="104">
        <f t="shared" si="44"/>
        <v>0</v>
      </c>
      <c r="K89" s="104">
        <f t="shared" si="44"/>
        <v>0</v>
      </c>
      <c r="L89" s="104">
        <f t="shared" si="44"/>
        <v>0</v>
      </c>
      <c r="M89" s="104">
        <f t="shared" si="44"/>
        <v>0</v>
      </c>
      <c r="N89" s="104">
        <f t="shared" si="44"/>
        <v>0</v>
      </c>
      <c r="O89" s="104">
        <f t="shared" si="44"/>
        <v>0</v>
      </c>
      <c r="P89" s="104">
        <f t="shared" si="44"/>
        <v>0</v>
      </c>
      <c r="T89" s="104">
        <f>COUNTA(T18)</f>
        <v>0</v>
      </c>
      <c r="U89" s="104">
        <f t="shared" ref="U89:AE90" si="45">COUNTA(U18)</f>
        <v>0</v>
      </c>
      <c r="V89" s="104">
        <f t="shared" si="45"/>
        <v>0</v>
      </c>
      <c r="W89" s="104">
        <f t="shared" si="45"/>
        <v>0</v>
      </c>
      <c r="X89" s="104">
        <f t="shared" si="45"/>
        <v>0</v>
      </c>
      <c r="Y89" s="104">
        <f t="shared" si="45"/>
        <v>0</v>
      </c>
      <c r="Z89" s="104">
        <f t="shared" si="45"/>
        <v>0</v>
      </c>
      <c r="AA89" s="104">
        <f t="shared" si="45"/>
        <v>0</v>
      </c>
      <c r="AB89" s="104">
        <f t="shared" si="45"/>
        <v>0</v>
      </c>
      <c r="AC89" s="104">
        <f t="shared" si="45"/>
        <v>0</v>
      </c>
      <c r="AD89" s="104">
        <f t="shared" si="45"/>
        <v>0</v>
      </c>
      <c r="AE89" s="104">
        <f t="shared" si="45"/>
        <v>0</v>
      </c>
      <c r="AI89" s="104">
        <f>COUNTA(AI18)</f>
        <v>0</v>
      </c>
      <c r="AJ89" s="104">
        <f t="shared" ref="AJ89:AT90" si="46">COUNTA(AJ18)</f>
        <v>0</v>
      </c>
      <c r="AK89" s="104">
        <f t="shared" si="46"/>
        <v>0</v>
      </c>
      <c r="AL89" s="104">
        <f t="shared" si="46"/>
        <v>0</v>
      </c>
      <c r="AM89" s="104">
        <f t="shared" si="46"/>
        <v>0</v>
      </c>
      <c r="AN89" s="104">
        <f t="shared" si="46"/>
        <v>0</v>
      </c>
      <c r="AO89" s="104">
        <f t="shared" si="46"/>
        <v>0</v>
      </c>
      <c r="AP89" s="104">
        <f t="shared" si="46"/>
        <v>0</v>
      </c>
      <c r="AQ89" s="104">
        <f t="shared" si="46"/>
        <v>0</v>
      </c>
      <c r="AR89" s="104">
        <f t="shared" si="46"/>
        <v>0</v>
      </c>
      <c r="AS89" s="104">
        <f t="shared" si="46"/>
        <v>0</v>
      </c>
      <c r="AT89" s="104">
        <f t="shared" si="46"/>
        <v>0</v>
      </c>
      <c r="AX89" s="104">
        <f>COUNTA(AX18)</f>
        <v>0</v>
      </c>
      <c r="AY89" s="104">
        <f t="shared" ref="AY89:BI90" si="47">COUNTA(AY18)</f>
        <v>0</v>
      </c>
      <c r="AZ89" s="104">
        <f t="shared" si="47"/>
        <v>0</v>
      </c>
      <c r="BA89" s="104">
        <f t="shared" si="47"/>
        <v>0</v>
      </c>
      <c r="BB89" s="104">
        <f t="shared" si="47"/>
        <v>0</v>
      </c>
      <c r="BC89" s="104">
        <f t="shared" si="47"/>
        <v>0</v>
      </c>
      <c r="BD89" s="104">
        <f t="shared" si="47"/>
        <v>0</v>
      </c>
      <c r="BE89" s="104">
        <f t="shared" si="47"/>
        <v>0</v>
      </c>
      <c r="BF89" s="104">
        <f t="shared" si="47"/>
        <v>0</v>
      </c>
      <c r="BG89" s="104">
        <f t="shared" si="47"/>
        <v>0</v>
      </c>
      <c r="BH89" s="104">
        <f t="shared" si="47"/>
        <v>0</v>
      </c>
      <c r="BI89" s="104">
        <f t="shared" si="47"/>
        <v>0</v>
      </c>
      <c r="BM89" s="104">
        <f>COUNTA(BM18)</f>
        <v>0</v>
      </c>
      <c r="BN89" s="104">
        <f t="shared" ref="BN89:BX90" si="48">COUNTA(BN18)</f>
        <v>0</v>
      </c>
      <c r="BO89" s="104">
        <f t="shared" si="48"/>
        <v>0</v>
      </c>
      <c r="BP89" s="104">
        <f t="shared" si="48"/>
        <v>0</v>
      </c>
      <c r="BQ89" s="104">
        <f t="shared" si="48"/>
        <v>0</v>
      </c>
      <c r="BR89" s="104">
        <f t="shared" si="48"/>
        <v>0</v>
      </c>
      <c r="BS89" s="104">
        <f t="shared" si="48"/>
        <v>0</v>
      </c>
      <c r="BT89" s="104">
        <f t="shared" si="48"/>
        <v>0</v>
      </c>
      <c r="BU89" s="104">
        <f t="shared" si="48"/>
        <v>0</v>
      </c>
      <c r="BV89" s="104">
        <f t="shared" si="48"/>
        <v>0</v>
      </c>
      <c r="BW89" s="104">
        <f t="shared" si="48"/>
        <v>0</v>
      </c>
      <c r="BX89" s="104">
        <f t="shared" si="48"/>
        <v>0</v>
      </c>
    </row>
    <row r="90" spans="3:76" s="104" customFormat="1" x14ac:dyDescent="0.4">
      <c r="C90" s="104" t="s">
        <v>276</v>
      </c>
      <c r="E90" s="104">
        <f>COUNTA(E19)</f>
        <v>0</v>
      </c>
      <c r="F90" s="104">
        <f t="shared" si="44"/>
        <v>0</v>
      </c>
      <c r="G90" s="104">
        <f t="shared" si="44"/>
        <v>0</v>
      </c>
      <c r="H90" s="104">
        <f t="shared" si="44"/>
        <v>0</v>
      </c>
      <c r="I90" s="104">
        <f t="shared" si="44"/>
        <v>0</v>
      </c>
      <c r="J90" s="104">
        <f t="shared" si="44"/>
        <v>0</v>
      </c>
      <c r="K90" s="104">
        <f t="shared" si="44"/>
        <v>0</v>
      </c>
      <c r="L90" s="104">
        <f t="shared" si="44"/>
        <v>0</v>
      </c>
      <c r="M90" s="104">
        <f t="shared" si="44"/>
        <v>0</v>
      </c>
      <c r="N90" s="104">
        <f t="shared" si="44"/>
        <v>0</v>
      </c>
      <c r="O90" s="104">
        <f t="shared" si="44"/>
        <v>0</v>
      </c>
      <c r="P90" s="104">
        <f t="shared" si="44"/>
        <v>0</v>
      </c>
      <c r="T90" s="104">
        <f>COUNTA(T19)</f>
        <v>0</v>
      </c>
      <c r="U90" s="104">
        <f t="shared" si="45"/>
        <v>0</v>
      </c>
      <c r="V90" s="104">
        <f t="shared" si="45"/>
        <v>0</v>
      </c>
      <c r="W90" s="104">
        <f t="shared" si="45"/>
        <v>0</v>
      </c>
      <c r="X90" s="104">
        <f t="shared" si="45"/>
        <v>0</v>
      </c>
      <c r="Y90" s="104">
        <f t="shared" si="45"/>
        <v>0</v>
      </c>
      <c r="Z90" s="104">
        <f t="shared" si="45"/>
        <v>0</v>
      </c>
      <c r="AA90" s="104">
        <f t="shared" si="45"/>
        <v>0</v>
      </c>
      <c r="AB90" s="104">
        <f t="shared" si="45"/>
        <v>0</v>
      </c>
      <c r="AC90" s="104">
        <f t="shared" si="45"/>
        <v>0</v>
      </c>
      <c r="AD90" s="104">
        <f t="shared" si="45"/>
        <v>0</v>
      </c>
      <c r="AE90" s="104">
        <f t="shared" si="45"/>
        <v>0</v>
      </c>
      <c r="AI90" s="104">
        <f>COUNTA(AI19)</f>
        <v>0</v>
      </c>
      <c r="AJ90" s="104">
        <f t="shared" si="46"/>
        <v>0</v>
      </c>
      <c r="AK90" s="104">
        <f t="shared" si="46"/>
        <v>0</v>
      </c>
      <c r="AL90" s="104">
        <f t="shared" si="46"/>
        <v>0</v>
      </c>
      <c r="AM90" s="104">
        <f t="shared" si="46"/>
        <v>0</v>
      </c>
      <c r="AN90" s="104">
        <f t="shared" si="46"/>
        <v>0</v>
      </c>
      <c r="AO90" s="104">
        <f t="shared" si="46"/>
        <v>0</v>
      </c>
      <c r="AP90" s="104">
        <f t="shared" si="46"/>
        <v>0</v>
      </c>
      <c r="AQ90" s="104">
        <f t="shared" si="46"/>
        <v>0</v>
      </c>
      <c r="AR90" s="104">
        <f t="shared" si="46"/>
        <v>0</v>
      </c>
      <c r="AS90" s="104">
        <f t="shared" si="46"/>
        <v>0</v>
      </c>
      <c r="AT90" s="104">
        <f t="shared" si="46"/>
        <v>0</v>
      </c>
      <c r="AX90" s="104">
        <f>COUNTA(AX19)</f>
        <v>0</v>
      </c>
      <c r="AY90" s="104">
        <f t="shared" si="47"/>
        <v>0</v>
      </c>
      <c r="AZ90" s="104">
        <f t="shared" si="47"/>
        <v>0</v>
      </c>
      <c r="BA90" s="104">
        <f t="shared" si="47"/>
        <v>0</v>
      </c>
      <c r="BB90" s="104">
        <f t="shared" si="47"/>
        <v>0</v>
      </c>
      <c r="BC90" s="104">
        <f t="shared" si="47"/>
        <v>0</v>
      </c>
      <c r="BD90" s="104">
        <f t="shared" si="47"/>
        <v>0</v>
      </c>
      <c r="BE90" s="104">
        <f t="shared" si="47"/>
        <v>0</v>
      </c>
      <c r="BF90" s="104">
        <f t="shared" si="47"/>
        <v>0</v>
      </c>
      <c r="BG90" s="104">
        <f t="shared" si="47"/>
        <v>0</v>
      </c>
      <c r="BH90" s="104">
        <f t="shared" si="47"/>
        <v>0</v>
      </c>
      <c r="BI90" s="104">
        <f t="shared" si="47"/>
        <v>0</v>
      </c>
      <c r="BM90" s="104">
        <f>COUNTA(BM19)</f>
        <v>0</v>
      </c>
      <c r="BN90" s="104">
        <f t="shared" si="48"/>
        <v>0</v>
      </c>
      <c r="BO90" s="104">
        <f t="shared" si="48"/>
        <v>0</v>
      </c>
      <c r="BP90" s="104">
        <f t="shared" si="48"/>
        <v>0</v>
      </c>
      <c r="BQ90" s="104">
        <f t="shared" si="48"/>
        <v>0</v>
      </c>
      <c r="BR90" s="104">
        <f t="shared" si="48"/>
        <v>0</v>
      </c>
      <c r="BS90" s="104">
        <f t="shared" si="48"/>
        <v>0</v>
      </c>
      <c r="BT90" s="104">
        <f t="shared" si="48"/>
        <v>0</v>
      </c>
      <c r="BU90" s="104">
        <f t="shared" si="48"/>
        <v>0</v>
      </c>
      <c r="BV90" s="104">
        <f t="shared" si="48"/>
        <v>0</v>
      </c>
      <c r="BW90" s="104">
        <f t="shared" si="48"/>
        <v>0</v>
      </c>
      <c r="BX90" s="104">
        <f t="shared" si="48"/>
        <v>0</v>
      </c>
    </row>
    <row r="91" spans="3:76" s="104" customFormat="1" x14ac:dyDescent="0.4">
      <c r="C91" s="104" t="s">
        <v>277</v>
      </c>
      <c r="E91" s="104">
        <f>COUNTA(E23)</f>
        <v>0</v>
      </c>
      <c r="F91" s="104">
        <f t="shared" ref="F91:P92" si="49">COUNTA(F23)</f>
        <v>0</v>
      </c>
      <c r="G91" s="104">
        <f t="shared" si="49"/>
        <v>0</v>
      </c>
      <c r="H91" s="104">
        <f t="shared" si="49"/>
        <v>0</v>
      </c>
      <c r="I91" s="104">
        <f t="shared" si="49"/>
        <v>0</v>
      </c>
      <c r="J91" s="104">
        <f t="shared" si="49"/>
        <v>0</v>
      </c>
      <c r="K91" s="104">
        <f t="shared" si="49"/>
        <v>0</v>
      </c>
      <c r="L91" s="104">
        <f t="shared" si="49"/>
        <v>0</v>
      </c>
      <c r="M91" s="104">
        <f t="shared" si="49"/>
        <v>0</v>
      </c>
      <c r="N91" s="104">
        <f t="shared" si="49"/>
        <v>0</v>
      </c>
      <c r="O91" s="104">
        <f t="shared" si="49"/>
        <v>0</v>
      </c>
      <c r="P91" s="104">
        <f t="shared" si="49"/>
        <v>0</v>
      </c>
      <c r="T91" s="104">
        <f>COUNTA(T23)</f>
        <v>0</v>
      </c>
      <c r="U91" s="104">
        <f t="shared" ref="U91:AE92" si="50">COUNTA(U23)</f>
        <v>0</v>
      </c>
      <c r="V91" s="104">
        <f t="shared" si="50"/>
        <v>0</v>
      </c>
      <c r="W91" s="104">
        <f t="shared" si="50"/>
        <v>0</v>
      </c>
      <c r="X91" s="104">
        <f t="shared" si="50"/>
        <v>0</v>
      </c>
      <c r="Y91" s="104">
        <f t="shared" si="50"/>
        <v>0</v>
      </c>
      <c r="Z91" s="104">
        <f t="shared" si="50"/>
        <v>0</v>
      </c>
      <c r="AA91" s="104">
        <f t="shared" si="50"/>
        <v>0</v>
      </c>
      <c r="AB91" s="104">
        <f t="shared" si="50"/>
        <v>0</v>
      </c>
      <c r="AC91" s="104">
        <f t="shared" si="50"/>
        <v>0</v>
      </c>
      <c r="AD91" s="104">
        <f t="shared" si="50"/>
        <v>0</v>
      </c>
      <c r="AE91" s="104">
        <f t="shared" si="50"/>
        <v>0</v>
      </c>
      <c r="AI91" s="104">
        <f>COUNTA(AI23)</f>
        <v>0</v>
      </c>
      <c r="AJ91" s="104">
        <f t="shared" ref="AJ91:AT92" si="51">COUNTA(AJ23)</f>
        <v>0</v>
      </c>
      <c r="AK91" s="104">
        <f t="shared" si="51"/>
        <v>0</v>
      </c>
      <c r="AL91" s="104">
        <f t="shared" si="51"/>
        <v>0</v>
      </c>
      <c r="AM91" s="104">
        <f t="shared" si="51"/>
        <v>0</v>
      </c>
      <c r="AN91" s="104">
        <f t="shared" si="51"/>
        <v>0</v>
      </c>
      <c r="AO91" s="104">
        <f t="shared" si="51"/>
        <v>0</v>
      </c>
      <c r="AP91" s="104">
        <f t="shared" si="51"/>
        <v>0</v>
      </c>
      <c r="AQ91" s="104">
        <f t="shared" si="51"/>
        <v>0</v>
      </c>
      <c r="AR91" s="104">
        <f t="shared" si="51"/>
        <v>0</v>
      </c>
      <c r="AS91" s="104">
        <f t="shared" si="51"/>
        <v>0</v>
      </c>
      <c r="AT91" s="104">
        <f t="shared" si="51"/>
        <v>0</v>
      </c>
      <c r="AX91" s="104">
        <f>COUNTA(AX23)</f>
        <v>0</v>
      </c>
      <c r="AY91" s="104">
        <f t="shared" ref="AY91:BI92" si="52">COUNTA(AY23)</f>
        <v>0</v>
      </c>
      <c r="AZ91" s="104">
        <f t="shared" si="52"/>
        <v>0</v>
      </c>
      <c r="BA91" s="104">
        <f t="shared" si="52"/>
        <v>0</v>
      </c>
      <c r="BB91" s="104">
        <f t="shared" si="52"/>
        <v>0</v>
      </c>
      <c r="BC91" s="104">
        <f t="shared" si="52"/>
        <v>0</v>
      </c>
      <c r="BD91" s="104">
        <f t="shared" si="52"/>
        <v>0</v>
      </c>
      <c r="BE91" s="104">
        <f t="shared" si="52"/>
        <v>0</v>
      </c>
      <c r="BF91" s="104">
        <f t="shared" si="52"/>
        <v>0</v>
      </c>
      <c r="BG91" s="104">
        <f t="shared" si="52"/>
        <v>0</v>
      </c>
      <c r="BH91" s="104">
        <f t="shared" si="52"/>
        <v>0</v>
      </c>
      <c r="BI91" s="104">
        <f t="shared" si="52"/>
        <v>0</v>
      </c>
      <c r="BM91" s="104">
        <f>COUNTA(BM23)</f>
        <v>0</v>
      </c>
      <c r="BN91" s="104">
        <f t="shared" ref="BN91:BX92" si="53">COUNTA(BN23)</f>
        <v>0</v>
      </c>
      <c r="BO91" s="104">
        <f t="shared" si="53"/>
        <v>0</v>
      </c>
      <c r="BP91" s="104">
        <f t="shared" si="53"/>
        <v>0</v>
      </c>
      <c r="BQ91" s="104">
        <f t="shared" si="53"/>
        <v>0</v>
      </c>
      <c r="BR91" s="104">
        <f t="shared" si="53"/>
        <v>0</v>
      </c>
      <c r="BS91" s="104">
        <f t="shared" si="53"/>
        <v>0</v>
      </c>
      <c r="BT91" s="104">
        <f t="shared" si="53"/>
        <v>0</v>
      </c>
      <c r="BU91" s="104">
        <f t="shared" si="53"/>
        <v>0</v>
      </c>
      <c r="BV91" s="104">
        <f t="shared" si="53"/>
        <v>0</v>
      </c>
      <c r="BW91" s="104">
        <f t="shared" si="53"/>
        <v>0</v>
      </c>
      <c r="BX91" s="104">
        <f t="shared" si="53"/>
        <v>0</v>
      </c>
    </row>
    <row r="92" spans="3:76" s="104" customFormat="1" x14ac:dyDescent="0.4">
      <c r="C92" s="104" t="s">
        <v>278</v>
      </c>
      <c r="E92" s="104">
        <f>COUNTA(E24)</f>
        <v>0</v>
      </c>
      <c r="F92" s="104">
        <f t="shared" si="49"/>
        <v>0</v>
      </c>
      <c r="G92" s="104">
        <f t="shared" si="49"/>
        <v>0</v>
      </c>
      <c r="H92" s="104">
        <f t="shared" si="49"/>
        <v>0</v>
      </c>
      <c r="I92" s="104">
        <f t="shared" si="49"/>
        <v>0</v>
      </c>
      <c r="J92" s="104">
        <f t="shared" si="49"/>
        <v>0</v>
      </c>
      <c r="K92" s="104">
        <f t="shared" si="49"/>
        <v>0</v>
      </c>
      <c r="L92" s="104">
        <f t="shared" si="49"/>
        <v>0</v>
      </c>
      <c r="M92" s="104">
        <f t="shared" si="49"/>
        <v>0</v>
      </c>
      <c r="N92" s="104">
        <f t="shared" si="49"/>
        <v>0</v>
      </c>
      <c r="O92" s="104">
        <f t="shared" si="49"/>
        <v>0</v>
      </c>
      <c r="P92" s="104">
        <f t="shared" si="49"/>
        <v>0</v>
      </c>
      <c r="T92" s="104">
        <f>COUNTA(T24)</f>
        <v>0</v>
      </c>
      <c r="U92" s="104">
        <f t="shared" si="50"/>
        <v>0</v>
      </c>
      <c r="V92" s="104">
        <f t="shared" si="50"/>
        <v>0</v>
      </c>
      <c r="W92" s="104">
        <f t="shared" si="50"/>
        <v>0</v>
      </c>
      <c r="X92" s="104">
        <f t="shared" si="50"/>
        <v>0</v>
      </c>
      <c r="Y92" s="104">
        <f t="shared" si="50"/>
        <v>0</v>
      </c>
      <c r="Z92" s="104">
        <f t="shared" si="50"/>
        <v>0</v>
      </c>
      <c r="AA92" s="104">
        <f t="shared" si="50"/>
        <v>0</v>
      </c>
      <c r="AB92" s="104">
        <f t="shared" si="50"/>
        <v>0</v>
      </c>
      <c r="AC92" s="104">
        <f t="shared" si="50"/>
        <v>0</v>
      </c>
      <c r="AD92" s="104">
        <f t="shared" si="50"/>
        <v>0</v>
      </c>
      <c r="AE92" s="104">
        <f t="shared" si="50"/>
        <v>0</v>
      </c>
      <c r="AI92" s="104">
        <f>COUNTA(AI24)</f>
        <v>0</v>
      </c>
      <c r="AJ92" s="104">
        <f t="shared" si="51"/>
        <v>0</v>
      </c>
      <c r="AK92" s="104">
        <f t="shared" si="51"/>
        <v>0</v>
      </c>
      <c r="AL92" s="104">
        <f t="shared" si="51"/>
        <v>0</v>
      </c>
      <c r="AM92" s="104">
        <f t="shared" si="51"/>
        <v>0</v>
      </c>
      <c r="AN92" s="104">
        <f t="shared" si="51"/>
        <v>0</v>
      </c>
      <c r="AO92" s="104">
        <f t="shared" si="51"/>
        <v>0</v>
      </c>
      <c r="AP92" s="104">
        <f t="shared" si="51"/>
        <v>0</v>
      </c>
      <c r="AQ92" s="104">
        <f t="shared" si="51"/>
        <v>0</v>
      </c>
      <c r="AR92" s="104">
        <f t="shared" si="51"/>
        <v>0</v>
      </c>
      <c r="AS92" s="104">
        <f t="shared" si="51"/>
        <v>0</v>
      </c>
      <c r="AT92" s="104">
        <f t="shared" si="51"/>
        <v>0</v>
      </c>
      <c r="AX92" s="104">
        <f>COUNTA(AX24)</f>
        <v>0</v>
      </c>
      <c r="AY92" s="104">
        <f t="shared" si="52"/>
        <v>0</v>
      </c>
      <c r="AZ92" s="104">
        <f t="shared" si="52"/>
        <v>0</v>
      </c>
      <c r="BA92" s="104">
        <f t="shared" si="52"/>
        <v>0</v>
      </c>
      <c r="BB92" s="104">
        <f t="shared" si="52"/>
        <v>0</v>
      </c>
      <c r="BC92" s="104">
        <f t="shared" si="52"/>
        <v>0</v>
      </c>
      <c r="BD92" s="104">
        <f t="shared" si="52"/>
        <v>0</v>
      </c>
      <c r="BE92" s="104">
        <f t="shared" si="52"/>
        <v>0</v>
      </c>
      <c r="BF92" s="104">
        <f t="shared" si="52"/>
        <v>0</v>
      </c>
      <c r="BG92" s="104">
        <f t="shared" si="52"/>
        <v>0</v>
      </c>
      <c r="BH92" s="104">
        <f t="shared" si="52"/>
        <v>0</v>
      </c>
      <c r="BI92" s="104">
        <f t="shared" si="52"/>
        <v>0</v>
      </c>
      <c r="BM92" s="104">
        <f>COUNTA(BM24)</f>
        <v>0</v>
      </c>
      <c r="BN92" s="104">
        <f t="shared" si="53"/>
        <v>0</v>
      </c>
      <c r="BO92" s="104">
        <f t="shared" si="53"/>
        <v>0</v>
      </c>
      <c r="BP92" s="104">
        <f t="shared" si="53"/>
        <v>0</v>
      </c>
      <c r="BQ92" s="104">
        <f t="shared" si="53"/>
        <v>0</v>
      </c>
      <c r="BR92" s="104">
        <f t="shared" si="53"/>
        <v>0</v>
      </c>
      <c r="BS92" s="104">
        <f t="shared" si="53"/>
        <v>0</v>
      </c>
      <c r="BT92" s="104">
        <f t="shared" si="53"/>
        <v>0</v>
      </c>
      <c r="BU92" s="104">
        <f t="shared" si="53"/>
        <v>0</v>
      </c>
      <c r="BV92" s="104">
        <f t="shared" si="53"/>
        <v>0</v>
      </c>
      <c r="BW92" s="104">
        <f t="shared" si="53"/>
        <v>0</v>
      </c>
      <c r="BX92" s="104">
        <f t="shared" si="53"/>
        <v>0</v>
      </c>
    </row>
    <row r="93" spans="3:76" s="104" customFormat="1" x14ac:dyDescent="0.4">
      <c r="C93" s="104" t="s">
        <v>279</v>
      </c>
      <c r="E93" s="104">
        <f>COUNTA(E28)</f>
        <v>0</v>
      </c>
      <c r="F93" s="104">
        <f t="shared" ref="F93:P94" si="54">COUNTA(F28)</f>
        <v>0</v>
      </c>
      <c r="G93" s="104">
        <f t="shared" si="54"/>
        <v>0</v>
      </c>
      <c r="H93" s="104">
        <f t="shared" si="54"/>
        <v>0</v>
      </c>
      <c r="I93" s="104">
        <f t="shared" si="54"/>
        <v>0</v>
      </c>
      <c r="J93" s="104">
        <f t="shared" si="54"/>
        <v>0</v>
      </c>
      <c r="K93" s="104">
        <f t="shared" si="54"/>
        <v>0</v>
      </c>
      <c r="L93" s="104">
        <f t="shared" si="54"/>
        <v>0</v>
      </c>
      <c r="M93" s="104">
        <f t="shared" si="54"/>
        <v>0</v>
      </c>
      <c r="N93" s="104">
        <f t="shared" si="54"/>
        <v>0</v>
      </c>
      <c r="O93" s="104">
        <f t="shared" si="54"/>
        <v>0</v>
      </c>
      <c r="P93" s="104">
        <f t="shared" si="54"/>
        <v>0</v>
      </c>
      <c r="T93" s="104">
        <f>COUNTA(T28)</f>
        <v>0</v>
      </c>
      <c r="U93" s="104">
        <f t="shared" ref="U93:AE94" si="55">COUNTA(U28)</f>
        <v>0</v>
      </c>
      <c r="V93" s="104">
        <f t="shared" si="55"/>
        <v>0</v>
      </c>
      <c r="W93" s="104">
        <f t="shared" si="55"/>
        <v>0</v>
      </c>
      <c r="X93" s="104">
        <f t="shared" si="55"/>
        <v>0</v>
      </c>
      <c r="Y93" s="104">
        <f t="shared" si="55"/>
        <v>0</v>
      </c>
      <c r="Z93" s="104">
        <f t="shared" si="55"/>
        <v>0</v>
      </c>
      <c r="AA93" s="104">
        <f t="shared" si="55"/>
        <v>0</v>
      </c>
      <c r="AB93" s="104">
        <f t="shared" si="55"/>
        <v>0</v>
      </c>
      <c r="AC93" s="104">
        <f t="shared" si="55"/>
        <v>0</v>
      </c>
      <c r="AD93" s="104">
        <f t="shared" si="55"/>
        <v>0</v>
      </c>
      <c r="AE93" s="104">
        <f t="shared" si="55"/>
        <v>0</v>
      </c>
      <c r="AI93" s="104">
        <f>COUNTA(AI28)</f>
        <v>0</v>
      </c>
      <c r="AJ93" s="104">
        <f t="shared" ref="AJ93:AT94" si="56">COUNTA(AJ28)</f>
        <v>0</v>
      </c>
      <c r="AK93" s="104">
        <f t="shared" si="56"/>
        <v>0</v>
      </c>
      <c r="AL93" s="104">
        <f t="shared" si="56"/>
        <v>0</v>
      </c>
      <c r="AM93" s="104">
        <f t="shared" si="56"/>
        <v>0</v>
      </c>
      <c r="AN93" s="104">
        <f t="shared" si="56"/>
        <v>0</v>
      </c>
      <c r="AO93" s="104">
        <f t="shared" si="56"/>
        <v>0</v>
      </c>
      <c r="AP93" s="104">
        <f t="shared" si="56"/>
        <v>0</v>
      </c>
      <c r="AQ93" s="104">
        <f t="shared" si="56"/>
        <v>0</v>
      </c>
      <c r="AR93" s="104">
        <f t="shared" si="56"/>
        <v>0</v>
      </c>
      <c r="AS93" s="104">
        <f t="shared" si="56"/>
        <v>0</v>
      </c>
      <c r="AT93" s="104">
        <f t="shared" si="56"/>
        <v>0</v>
      </c>
      <c r="AX93" s="104">
        <f>COUNTA(AX28)</f>
        <v>0</v>
      </c>
      <c r="AY93" s="104">
        <f t="shared" ref="AY93:BI94" si="57">COUNTA(AY28)</f>
        <v>0</v>
      </c>
      <c r="AZ93" s="104">
        <f t="shared" si="57"/>
        <v>0</v>
      </c>
      <c r="BA93" s="104">
        <f t="shared" si="57"/>
        <v>0</v>
      </c>
      <c r="BB93" s="104">
        <f t="shared" si="57"/>
        <v>0</v>
      </c>
      <c r="BC93" s="104">
        <f t="shared" si="57"/>
        <v>0</v>
      </c>
      <c r="BD93" s="104">
        <f t="shared" si="57"/>
        <v>0</v>
      </c>
      <c r="BE93" s="104">
        <f t="shared" si="57"/>
        <v>0</v>
      </c>
      <c r="BF93" s="104">
        <f t="shared" si="57"/>
        <v>0</v>
      </c>
      <c r="BG93" s="104">
        <f t="shared" si="57"/>
        <v>0</v>
      </c>
      <c r="BH93" s="104">
        <f t="shared" si="57"/>
        <v>0</v>
      </c>
      <c r="BI93" s="104">
        <f t="shared" si="57"/>
        <v>0</v>
      </c>
      <c r="BM93" s="104">
        <f>COUNTA(BM28)</f>
        <v>0</v>
      </c>
      <c r="BN93" s="104">
        <f t="shared" ref="BN93:BX94" si="58">COUNTA(BN28)</f>
        <v>0</v>
      </c>
      <c r="BO93" s="104">
        <f t="shared" si="58"/>
        <v>0</v>
      </c>
      <c r="BP93" s="104">
        <f t="shared" si="58"/>
        <v>0</v>
      </c>
      <c r="BQ93" s="104">
        <f t="shared" si="58"/>
        <v>0</v>
      </c>
      <c r="BR93" s="104">
        <f t="shared" si="58"/>
        <v>0</v>
      </c>
      <c r="BS93" s="104">
        <f t="shared" si="58"/>
        <v>0</v>
      </c>
      <c r="BT93" s="104">
        <f t="shared" si="58"/>
        <v>0</v>
      </c>
      <c r="BU93" s="104">
        <f t="shared" si="58"/>
        <v>0</v>
      </c>
      <c r="BV93" s="104">
        <f t="shared" si="58"/>
        <v>0</v>
      </c>
      <c r="BW93" s="104">
        <f t="shared" si="58"/>
        <v>0</v>
      </c>
      <c r="BX93" s="104">
        <f t="shared" si="58"/>
        <v>0</v>
      </c>
    </row>
    <row r="94" spans="3:76" s="104" customFormat="1" x14ac:dyDescent="0.4">
      <c r="C94" s="104" t="s">
        <v>280</v>
      </c>
      <c r="E94" s="104">
        <f>COUNTA(E29)</f>
        <v>0</v>
      </c>
      <c r="F94" s="104">
        <f t="shared" si="54"/>
        <v>0</v>
      </c>
      <c r="G94" s="104">
        <f t="shared" si="54"/>
        <v>0</v>
      </c>
      <c r="H94" s="104">
        <f t="shared" si="54"/>
        <v>0</v>
      </c>
      <c r="I94" s="104">
        <f t="shared" si="54"/>
        <v>0</v>
      </c>
      <c r="J94" s="104">
        <f t="shared" si="54"/>
        <v>0</v>
      </c>
      <c r="K94" s="104">
        <f t="shared" si="54"/>
        <v>0</v>
      </c>
      <c r="L94" s="104">
        <f t="shared" si="54"/>
        <v>0</v>
      </c>
      <c r="M94" s="104">
        <f t="shared" si="54"/>
        <v>0</v>
      </c>
      <c r="N94" s="104">
        <f t="shared" si="54"/>
        <v>0</v>
      </c>
      <c r="O94" s="104">
        <f t="shared" si="54"/>
        <v>0</v>
      </c>
      <c r="P94" s="104">
        <f t="shared" si="54"/>
        <v>0</v>
      </c>
      <c r="T94" s="104">
        <f>COUNTA(T29)</f>
        <v>0</v>
      </c>
      <c r="U94" s="104">
        <f t="shared" si="55"/>
        <v>0</v>
      </c>
      <c r="V94" s="104">
        <f t="shared" si="55"/>
        <v>0</v>
      </c>
      <c r="W94" s="104">
        <f t="shared" si="55"/>
        <v>0</v>
      </c>
      <c r="X94" s="104">
        <f t="shared" si="55"/>
        <v>0</v>
      </c>
      <c r="Y94" s="104">
        <f t="shared" si="55"/>
        <v>0</v>
      </c>
      <c r="Z94" s="104">
        <f t="shared" si="55"/>
        <v>0</v>
      </c>
      <c r="AA94" s="104">
        <f t="shared" si="55"/>
        <v>0</v>
      </c>
      <c r="AB94" s="104">
        <f t="shared" si="55"/>
        <v>0</v>
      </c>
      <c r="AC94" s="104">
        <f t="shared" si="55"/>
        <v>0</v>
      </c>
      <c r="AD94" s="104">
        <f t="shared" si="55"/>
        <v>0</v>
      </c>
      <c r="AE94" s="104">
        <f t="shared" si="55"/>
        <v>0</v>
      </c>
      <c r="AI94" s="104">
        <f>COUNTA(AI29)</f>
        <v>0</v>
      </c>
      <c r="AJ94" s="104">
        <f t="shared" si="56"/>
        <v>0</v>
      </c>
      <c r="AK94" s="104">
        <f t="shared" si="56"/>
        <v>0</v>
      </c>
      <c r="AL94" s="104">
        <f t="shared" si="56"/>
        <v>0</v>
      </c>
      <c r="AM94" s="104">
        <f t="shared" si="56"/>
        <v>0</v>
      </c>
      <c r="AN94" s="104">
        <f t="shared" si="56"/>
        <v>0</v>
      </c>
      <c r="AO94" s="104">
        <f t="shared" si="56"/>
        <v>0</v>
      </c>
      <c r="AP94" s="104">
        <f t="shared" si="56"/>
        <v>0</v>
      </c>
      <c r="AQ94" s="104">
        <f t="shared" si="56"/>
        <v>0</v>
      </c>
      <c r="AR94" s="104">
        <f t="shared" si="56"/>
        <v>0</v>
      </c>
      <c r="AS94" s="104">
        <f t="shared" si="56"/>
        <v>0</v>
      </c>
      <c r="AT94" s="104">
        <f t="shared" si="56"/>
        <v>0</v>
      </c>
      <c r="AX94" s="104">
        <f>COUNTA(AX29)</f>
        <v>0</v>
      </c>
      <c r="AY94" s="104">
        <f t="shared" si="57"/>
        <v>0</v>
      </c>
      <c r="AZ94" s="104">
        <f t="shared" si="57"/>
        <v>0</v>
      </c>
      <c r="BA94" s="104">
        <f t="shared" si="57"/>
        <v>0</v>
      </c>
      <c r="BB94" s="104">
        <f t="shared" si="57"/>
        <v>0</v>
      </c>
      <c r="BC94" s="104">
        <f t="shared" si="57"/>
        <v>0</v>
      </c>
      <c r="BD94" s="104">
        <f t="shared" si="57"/>
        <v>0</v>
      </c>
      <c r="BE94" s="104">
        <f t="shared" si="57"/>
        <v>0</v>
      </c>
      <c r="BF94" s="104">
        <f t="shared" si="57"/>
        <v>0</v>
      </c>
      <c r="BG94" s="104">
        <f t="shared" si="57"/>
        <v>0</v>
      </c>
      <c r="BH94" s="104">
        <f t="shared" si="57"/>
        <v>0</v>
      </c>
      <c r="BI94" s="104">
        <f t="shared" si="57"/>
        <v>0</v>
      </c>
      <c r="BM94" s="104">
        <f>COUNTA(BM29)</f>
        <v>0</v>
      </c>
      <c r="BN94" s="104">
        <f t="shared" si="58"/>
        <v>0</v>
      </c>
      <c r="BO94" s="104">
        <f t="shared" si="58"/>
        <v>0</v>
      </c>
      <c r="BP94" s="104">
        <f t="shared" si="58"/>
        <v>0</v>
      </c>
      <c r="BQ94" s="104">
        <f t="shared" si="58"/>
        <v>0</v>
      </c>
      <c r="BR94" s="104">
        <f t="shared" si="58"/>
        <v>0</v>
      </c>
      <c r="BS94" s="104">
        <f t="shared" si="58"/>
        <v>0</v>
      </c>
      <c r="BT94" s="104">
        <f t="shared" si="58"/>
        <v>0</v>
      </c>
      <c r="BU94" s="104">
        <f t="shared" si="58"/>
        <v>0</v>
      </c>
      <c r="BV94" s="104">
        <f t="shared" si="58"/>
        <v>0</v>
      </c>
      <c r="BW94" s="104">
        <f t="shared" si="58"/>
        <v>0</v>
      </c>
      <c r="BX94" s="104">
        <f t="shared" si="58"/>
        <v>0</v>
      </c>
    </row>
    <row r="95" spans="3:76" s="104" customFormat="1" x14ac:dyDescent="0.4">
      <c r="C95" s="104" t="s">
        <v>281</v>
      </c>
      <c r="E95" s="104">
        <f>COUNTA(E33)</f>
        <v>0</v>
      </c>
      <c r="F95" s="104">
        <f t="shared" ref="F95:P96" si="59">COUNTA(F33)</f>
        <v>0</v>
      </c>
      <c r="G95" s="104">
        <f t="shared" si="59"/>
        <v>0</v>
      </c>
      <c r="H95" s="104">
        <f t="shared" si="59"/>
        <v>0</v>
      </c>
      <c r="I95" s="104">
        <f t="shared" si="59"/>
        <v>0</v>
      </c>
      <c r="J95" s="104">
        <f t="shared" si="59"/>
        <v>0</v>
      </c>
      <c r="K95" s="104">
        <f t="shared" si="59"/>
        <v>0</v>
      </c>
      <c r="L95" s="104">
        <f t="shared" si="59"/>
        <v>0</v>
      </c>
      <c r="M95" s="104">
        <f t="shared" si="59"/>
        <v>0</v>
      </c>
      <c r="N95" s="104">
        <f t="shared" si="59"/>
        <v>0</v>
      </c>
      <c r="O95" s="104">
        <f t="shared" si="59"/>
        <v>0</v>
      </c>
      <c r="P95" s="104">
        <f t="shared" si="59"/>
        <v>0</v>
      </c>
      <c r="T95" s="104">
        <f>COUNTA(T33)</f>
        <v>0</v>
      </c>
      <c r="U95" s="104">
        <f t="shared" ref="U95:AE96" si="60">COUNTA(U33)</f>
        <v>0</v>
      </c>
      <c r="V95" s="104">
        <f t="shared" si="60"/>
        <v>0</v>
      </c>
      <c r="W95" s="104">
        <f t="shared" si="60"/>
        <v>0</v>
      </c>
      <c r="X95" s="104">
        <f t="shared" si="60"/>
        <v>0</v>
      </c>
      <c r="Y95" s="104">
        <f t="shared" si="60"/>
        <v>0</v>
      </c>
      <c r="Z95" s="104">
        <f t="shared" si="60"/>
        <v>0</v>
      </c>
      <c r="AA95" s="104">
        <f t="shared" si="60"/>
        <v>0</v>
      </c>
      <c r="AB95" s="104">
        <f t="shared" si="60"/>
        <v>0</v>
      </c>
      <c r="AC95" s="104">
        <f t="shared" si="60"/>
        <v>0</v>
      </c>
      <c r="AD95" s="104">
        <f t="shared" si="60"/>
        <v>0</v>
      </c>
      <c r="AE95" s="104">
        <f t="shared" si="60"/>
        <v>0</v>
      </c>
      <c r="AI95" s="104">
        <f>COUNTA(AI33)</f>
        <v>0</v>
      </c>
      <c r="AJ95" s="104">
        <f t="shared" ref="AJ95:AT96" si="61">COUNTA(AJ33)</f>
        <v>0</v>
      </c>
      <c r="AK95" s="104">
        <f t="shared" si="61"/>
        <v>0</v>
      </c>
      <c r="AL95" s="104">
        <f t="shared" si="61"/>
        <v>0</v>
      </c>
      <c r="AM95" s="104">
        <f t="shared" si="61"/>
        <v>0</v>
      </c>
      <c r="AN95" s="104">
        <f t="shared" si="61"/>
        <v>0</v>
      </c>
      <c r="AO95" s="104">
        <f t="shared" si="61"/>
        <v>0</v>
      </c>
      <c r="AP95" s="104">
        <f t="shared" si="61"/>
        <v>0</v>
      </c>
      <c r="AQ95" s="104">
        <f t="shared" si="61"/>
        <v>0</v>
      </c>
      <c r="AR95" s="104">
        <f t="shared" si="61"/>
        <v>0</v>
      </c>
      <c r="AS95" s="104">
        <f t="shared" si="61"/>
        <v>0</v>
      </c>
      <c r="AT95" s="104">
        <f t="shared" si="61"/>
        <v>0</v>
      </c>
      <c r="AX95" s="104">
        <f>COUNTA(AX33)</f>
        <v>0</v>
      </c>
      <c r="AY95" s="104">
        <f t="shared" ref="AY95:BI96" si="62">COUNTA(AY33)</f>
        <v>0</v>
      </c>
      <c r="AZ95" s="104">
        <f t="shared" si="62"/>
        <v>0</v>
      </c>
      <c r="BA95" s="104">
        <f t="shared" si="62"/>
        <v>0</v>
      </c>
      <c r="BB95" s="104">
        <f t="shared" si="62"/>
        <v>0</v>
      </c>
      <c r="BC95" s="104">
        <f t="shared" si="62"/>
        <v>0</v>
      </c>
      <c r="BD95" s="104">
        <f t="shared" si="62"/>
        <v>0</v>
      </c>
      <c r="BE95" s="104">
        <f t="shared" si="62"/>
        <v>0</v>
      </c>
      <c r="BF95" s="104">
        <f t="shared" si="62"/>
        <v>0</v>
      </c>
      <c r="BG95" s="104">
        <f t="shared" si="62"/>
        <v>0</v>
      </c>
      <c r="BH95" s="104">
        <f t="shared" si="62"/>
        <v>0</v>
      </c>
      <c r="BI95" s="104">
        <f t="shared" si="62"/>
        <v>0</v>
      </c>
      <c r="BM95" s="104">
        <f>COUNTA(BM33)</f>
        <v>0</v>
      </c>
      <c r="BN95" s="104">
        <f t="shared" ref="BN95:BX96" si="63">COUNTA(BN33)</f>
        <v>0</v>
      </c>
      <c r="BO95" s="104">
        <f t="shared" si="63"/>
        <v>0</v>
      </c>
      <c r="BP95" s="104">
        <f t="shared" si="63"/>
        <v>0</v>
      </c>
      <c r="BQ95" s="104">
        <f t="shared" si="63"/>
        <v>0</v>
      </c>
      <c r="BR95" s="104">
        <f t="shared" si="63"/>
        <v>0</v>
      </c>
      <c r="BS95" s="104">
        <f t="shared" si="63"/>
        <v>0</v>
      </c>
      <c r="BT95" s="104">
        <f t="shared" si="63"/>
        <v>0</v>
      </c>
      <c r="BU95" s="104">
        <f t="shared" si="63"/>
        <v>0</v>
      </c>
      <c r="BV95" s="104">
        <f t="shared" si="63"/>
        <v>0</v>
      </c>
      <c r="BW95" s="104">
        <f t="shared" si="63"/>
        <v>0</v>
      </c>
      <c r="BX95" s="104">
        <f t="shared" si="63"/>
        <v>0</v>
      </c>
    </row>
    <row r="96" spans="3:76" s="104" customFormat="1" x14ac:dyDescent="0.4">
      <c r="C96" s="104" t="s">
        <v>282</v>
      </c>
      <c r="E96" s="104">
        <f>COUNTA(E34)</f>
        <v>0</v>
      </c>
      <c r="F96" s="104">
        <f t="shared" si="59"/>
        <v>0</v>
      </c>
      <c r="G96" s="104">
        <f t="shared" si="59"/>
        <v>0</v>
      </c>
      <c r="H96" s="104">
        <f t="shared" si="59"/>
        <v>0</v>
      </c>
      <c r="I96" s="104">
        <f t="shared" si="59"/>
        <v>0</v>
      </c>
      <c r="J96" s="104">
        <f t="shared" si="59"/>
        <v>0</v>
      </c>
      <c r="K96" s="104">
        <f t="shared" si="59"/>
        <v>0</v>
      </c>
      <c r="L96" s="104">
        <f t="shared" si="59"/>
        <v>0</v>
      </c>
      <c r="M96" s="104">
        <f t="shared" si="59"/>
        <v>0</v>
      </c>
      <c r="N96" s="104">
        <f t="shared" si="59"/>
        <v>0</v>
      </c>
      <c r="O96" s="104">
        <f t="shared" si="59"/>
        <v>0</v>
      </c>
      <c r="P96" s="104">
        <f t="shared" si="59"/>
        <v>0</v>
      </c>
      <c r="T96" s="104">
        <f>COUNTA(T34)</f>
        <v>0</v>
      </c>
      <c r="U96" s="104">
        <f t="shared" si="60"/>
        <v>0</v>
      </c>
      <c r="V96" s="104">
        <f t="shared" si="60"/>
        <v>0</v>
      </c>
      <c r="W96" s="104">
        <f t="shared" si="60"/>
        <v>0</v>
      </c>
      <c r="X96" s="104">
        <f t="shared" si="60"/>
        <v>0</v>
      </c>
      <c r="Y96" s="104">
        <f t="shared" si="60"/>
        <v>0</v>
      </c>
      <c r="Z96" s="104">
        <f t="shared" si="60"/>
        <v>0</v>
      </c>
      <c r="AA96" s="104">
        <f t="shared" si="60"/>
        <v>0</v>
      </c>
      <c r="AB96" s="104">
        <f t="shared" si="60"/>
        <v>0</v>
      </c>
      <c r="AC96" s="104">
        <f t="shared" si="60"/>
        <v>0</v>
      </c>
      <c r="AD96" s="104">
        <f t="shared" si="60"/>
        <v>0</v>
      </c>
      <c r="AE96" s="104">
        <f t="shared" si="60"/>
        <v>0</v>
      </c>
      <c r="AI96" s="104">
        <f>COUNTA(AI34)</f>
        <v>0</v>
      </c>
      <c r="AJ96" s="104">
        <f t="shared" si="61"/>
        <v>0</v>
      </c>
      <c r="AK96" s="104">
        <f t="shared" si="61"/>
        <v>0</v>
      </c>
      <c r="AL96" s="104">
        <f t="shared" si="61"/>
        <v>0</v>
      </c>
      <c r="AM96" s="104">
        <f t="shared" si="61"/>
        <v>0</v>
      </c>
      <c r="AN96" s="104">
        <f t="shared" si="61"/>
        <v>0</v>
      </c>
      <c r="AO96" s="104">
        <f t="shared" si="61"/>
        <v>0</v>
      </c>
      <c r="AP96" s="104">
        <f t="shared" si="61"/>
        <v>0</v>
      </c>
      <c r="AQ96" s="104">
        <f t="shared" si="61"/>
        <v>0</v>
      </c>
      <c r="AR96" s="104">
        <f t="shared" si="61"/>
        <v>0</v>
      </c>
      <c r="AS96" s="104">
        <f t="shared" si="61"/>
        <v>0</v>
      </c>
      <c r="AT96" s="104">
        <f t="shared" si="61"/>
        <v>0</v>
      </c>
      <c r="AX96" s="104">
        <f>COUNTA(AX34)</f>
        <v>0</v>
      </c>
      <c r="AY96" s="104">
        <f t="shared" si="62"/>
        <v>0</v>
      </c>
      <c r="AZ96" s="104">
        <f t="shared" si="62"/>
        <v>0</v>
      </c>
      <c r="BA96" s="104">
        <f t="shared" si="62"/>
        <v>0</v>
      </c>
      <c r="BB96" s="104">
        <f t="shared" si="62"/>
        <v>0</v>
      </c>
      <c r="BC96" s="104">
        <f t="shared" si="62"/>
        <v>0</v>
      </c>
      <c r="BD96" s="104">
        <f t="shared" si="62"/>
        <v>0</v>
      </c>
      <c r="BE96" s="104">
        <f t="shared" si="62"/>
        <v>0</v>
      </c>
      <c r="BF96" s="104">
        <f t="shared" si="62"/>
        <v>0</v>
      </c>
      <c r="BG96" s="104">
        <f t="shared" si="62"/>
        <v>0</v>
      </c>
      <c r="BH96" s="104">
        <f t="shared" si="62"/>
        <v>0</v>
      </c>
      <c r="BI96" s="104">
        <f t="shared" si="62"/>
        <v>0</v>
      </c>
      <c r="BM96" s="104">
        <f>COUNTA(BM34)</f>
        <v>0</v>
      </c>
      <c r="BN96" s="104">
        <f t="shared" si="63"/>
        <v>0</v>
      </c>
      <c r="BO96" s="104">
        <f t="shared" si="63"/>
        <v>0</v>
      </c>
      <c r="BP96" s="104">
        <f t="shared" si="63"/>
        <v>0</v>
      </c>
      <c r="BQ96" s="104">
        <f t="shared" si="63"/>
        <v>0</v>
      </c>
      <c r="BR96" s="104">
        <f t="shared" si="63"/>
        <v>0</v>
      </c>
      <c r="BS96" s="104">
        <f t="shared" si="63"/>
        <v>0</v>
      </c>
      <c r="BT96" s="104">
        <f t="shared" si="63"/>
        <v>0</v>
      </c>
      <c r="BU96" s="104">
        <f t="shared" si="63"/>
        <v>0</v>
      </c>
      <c r="BV96" s="104">
        <f t="shared" si="63"/>
        <v>0</v>
      </c>
      <c r="BW96" s="104">
        <f t="shared" si="63"/>
        <v>0</v>
      </c>
      <c r="BX96" s="104">
        <f t="shared" si="63"/>
        <v>0</v>
      </c>
    </row>
    <row r="97" spans="3:76" s="104" customFormat="1" x14ac:dyDescent="0.4">
      <c r="C97" s="104" t="s">
        <v>283</v>
      </c>
      <c r="E97" s="104">
        <f>COUNTA(E38)</f>
        <v>0</v>
      </c>
      <c r="F97" s="104">
        <f t="shared" ref="F97:P98" si="64">COUNTA(F38)</f>
        <v>0</v>
      </c>
      <c r="G97" s="104">
        <f t="shared" si="64"/>
        <v>0</v>
      </c>
      <c r="H97" s="104">
        <f t="shared" si="64"/>
        <v>0</v>
      </c>
      <c r="I97" s="104">
        <f t="shared" si="64"/>
        <v>0</v>
      </c>
      <c r="J97" s="104">
        <f t="shared" si="64"/>
        <v>0</v>
      </c>
      <c r="K97" s="104">
        <f t="shared" si="64"/>
        <v>0</v>
      </c>
      <c r="L97" s="104">
        <f t="shared" si="64"/>
        <v>0</v>
      </c>
      <c r="M97" s="104">
        <f t="shared" si="64"/>
        <v>0</v>
      </c>
      <c r="N97" s="104">
        <f t="shared" si="64"/>
        <v>0</v>
      </c>
      <c r="O97" s="104">
        <f t="shared" si="64"/>
        <v>0</v>
      </c>
      <c r="P97" s="104">
        <f t="shared" si="64"/>
        <v>0</v>
      </c>
      <c r="T97" s="104">
        <f>COUNTA(T38)</f>
        <v>0</v>
      </c>
      <c r="U97" s="104">
        <f t="shared" ref="U97:AE98" si="65">COUNTA(U38)</f>
        <v>0</v>
      </c>
      <c r="V97" s="104">
        <f t="shared" si="65"/>
        <v>0</v>
      </c>
      <c r="W97" s="104">
        <f t="shared" si="65"/>
        <v>0</v>
      </c>
      <c r="X97" s="104">
        <f t="shared" si="65"/>
        <v>0</v>
      </c>
      <c r="Y97" s="104">
        <f t="shared" si="65"/>
        <v>0</v>
      </c>
      <c r="Z97" s="104">
        <f t="shared" si="65"/>
        <v>0</v>
      </c>
      <c r="AA97" s="104">
        <f t="shared" si="65"/>
        <v>0</v>
      </c>
      <c r="AB97" s="104">
        <f t="shared" si="65"/>
        <v>0</v>
      </c>
      <c r="AC97" s="104">
        <f t="shared" si="65"/>
        <v>0</v>
      </c>
      <c r="AD97" s="104">
        <f t="shared" si="65"/>
        <v>0</v>
      </c>
      <c r="AE97" s="104">
        <f t="shared" si="65"/>
        <v>0</v>
      </c>
      <c r="AI97" s="104">
        <f>COUNTA(AI38)</f>
        <v>0</v>
      </c>
      <c r="AJ97" s="104">
        <f t="shared" ref="AJ97:AT98" si="66">COUNTA(AJ38)</f>
        <v>0</v>
      </c>
      <c r="AK97" s="104">
        <f t="shared" si="66"/>
        <v>0</v>
      </c>
      <c r="AL97" s="104">
        <f t="shared" si="66"/>
        <v>0</v>
      </c>
      <c r="AM97" s="104">
        <f t="shared" si="66"/>
        <v>0</v>
      </c>
      <c r="AN97" s="104">
        <f t="shared" si="66"/>
        <v>0</v>
      </c>
      <c r="AO97" s="104">
        <f t="shared" si="66"/>
        <v>0</v>
      </c>
      <c r="AP97" s="104">
        <f t="shared" si="66"/>
        <v>0</v>
      </c>
      <c r="AQ97" s="104">
        <f t="shared" si="66"/>
        <v>0</v>
      </c>
      <c r="AR97" s="104">
        <f t="shared" si="66"/>
        <v>0</v>
      </c>
      <c r="AS97" s="104">
        <f t="shared" si="66"/>
        <v>0</v>
      </c>
      <c r="AT97" s="104">
        <f t="shared" si="66"/>
        <v>0</v>
      </c>
      <c r="AX97" s="104">
        <f>COUNTA(AX38)</f>
        <v>0</v>
      </c>
      <c r="AY97" s="104">
        <f t="shared" ref="AY97:BI98" si="67">COUNTA(AY38)</f>
        <v>0</v>
      </c>
      <c r="AZ97" s="104">
        <f t="shared" si="67"/>
        <v>0</v>
      </c>
      <c r="BA97" s="104">
        <f t="shared" si="67"/>
        <v>0</v>
      </c>
      <c r="BB97" s="104">
        <f t="shared" si="67"/>
        <v>0</v>
      </c>
      <c r="BC97" s="104">
        <f t="shared" si="67"/>
        <v>0</v>
      </c>
      <c r="BD97" s="104">
        <f t="shared" si="67"/>
        <v>0</v>
      </c>
      <c r="BE97" s="104">
        <f t="shared" si="67"/>
        <v>0</v>
      </c>
      <c r="BF97" s="104">
        <f t="shared" si="67"/>
        <v>0</v>
      </c>
      <c r="BG97" s="104">
        <f t="shared" si="67"/>
        <v>0</v>
      </c>
      <c r="BH97" s="104">
        <f t="shared" si="67"/>
        <v>0</v>
      </c>
      <c r="BI97" s="104">
        <f t="shared" si="67"/>
        <v>0</v>
      </c>
      <c r="BM97" s="104">
        <f>COUNTA(BM38)</f>
        <v>0</v>
      </c>
      <c r="BN97" s="104">
        <f t="shared" ref="BN97:BX98" si="68">COUNTA(BN38)</f>
        <v>0</v>
      </c>
      <c r="BO97" s="104">
        <f t="shared" si="68"/>
        <v>0</v>
      </c>
      <c r="BP97" s="104">
        <f t="shared" si="68"/>
        <v>0</v>
      </c>
      <c r="BQ97" s="104">
        <f t="shared" si="68"/>
        <v>0</v>
      </c>
      <c r="BR97" s="104">
        <f t="shared" si="68"/>
        <v>0</v>
      </c>
      <c r="BS97" s="104">
        <f t="shared" si="68"/>
        <v>0</v>
      </c>
      <c r="BT97" s="104">
        <f t="shared" si="68"/>
        <v>0</v>
      </c>
      <c r="BU97" s="104">
        <f t="shared" si="68"/>
        <v>0</v>
      </c>
      <c r="BV97" s="104">
        <f t="shared" si="68"/>
        <v>0</v>
      </c>
      <c r="BW97" s="104">
        <f t="shared" si="68"/>
        <v>0</v>
      </c>
      <c r="BX97" s="104">
        <f t="shared" si="68"/>
        <v>0</v>
      </c>
    </row>
    <row r="98" spans="3:76" s="104" customFormat="1" x14ac:dyDescent="0.4">
      <c r="C98" s="104" t="s">
        <v>284</v>
      </c>
      <c r="E98" s="104">
        <f>COUNTA(E39)</f>
        <v>0</v>
      </c>
      <c r="F98" s="104">
        <f t="shared" si="64"/>
        <v>0</v>
      </c>
      <c r="G98" s="104">
        <f t="shared" si="64"/>
        <v>0</v>
      </c>
      <c r="H98" s="104">
        <f t="shared" si="64"/>
        <v>0</v>
      </c>
      <c r="I98" s="104">
        <f t="shared" si="64"/>
        <v>0</v>
      </c>
      <c r="J98" s="104">
        <f t="shared" si="64"/>
        <v>0</v>
      </c>
      <c r="K98" s="104">
        <f t="shared" si="64"/>
        <v>0</v>
      </c>
      <c r="L98" s="104">
        <f t="shared" si="64"/>
        <v>0</v>
      </c>
      <c r="M98" s="104">
        <f t="shared" si="64"/>
        <v>0</v>
      </c>
      <c r="N98" s="104">
        <f t="shared" si="64"/>
        <v>0</v>
      </c>
      <c r="O98" s="104">
        <f t="shared" si="64"/>
        <v>0</v>
      </c>
      <c r="P98" s="104">
        <f t="shared" si="64"/>
        <v>0</v>
      </c>
      <c r="T98" s="104">
        <f>COUNTA(T39)</f>
        <v>0</v>
      </c>
      <c r="U98" s="104">
        <f t="shared" si="65"/>
        <v>0</v>
      </c>
      <c r="V98" s="104">
        <f t="shared" si="65"/>
        <v>0</v>
      </c>
      <c r="W98" s="104">
        <f t="shared" si="65"/>
        <v>0</v>
      </c>
      <c r="X98" s="104">
        <f t="shared" si="65"/>
        <v>0</v>
      </c>
      <c r="Y98" s="104">
        <f t="shared" si="65"/>
        <v>0</v>
      </c>
      <c r="Z98" s="104">
        <f t="shared" si="65"/>
        <v>0</v>
      </c>
      <c r="AA98" s="104">
        <f t="shared" si="65"/>
        <v>0</v>
      </c>
      <c r="AB98" s="104">
        <f t="shared" si="65"/>
        <v>0</v>
      </c>
      <c r="AC98" s="104">
        <f t="shared" si="65"/>
        <v>0</v>
      </c>
      <c r="AD98" s="104">
        <f t="shared" si="65"/>
        <v>0</v>
      </c>
      <c r="AE98" s="104">
        <f t="shared" si="65"/>
        <v>0</v>
      </c>
      <c r="AI98" s="104">
        <f>COUNTA(AI39)</f>
        <v>0</v>
      </c>
      <c r="AJ98" s="104">
        <f t="shared" si="66"/>
        <v>0</v>
      </c>
      <c r="AK98" s="104">
        <f t="shared" si="66"/>
        <v>0</v>
      </c>
      <c r="AL98" s="104">
        <f t="shared" si="66"/>
        <v>0</v>
      </c>
      <c r="AM98" s="104">
        <f t="shared" si="66"/>
        <v>0</v>
      </c>
      <c r="AN98" s="104">
        <f t="shared" si="66"/>
        <v>0</v>
      </c>
      <c r="AO98" s="104">
        <f t="shared" si="66"/>
        <v>0</v>
      </c>
      <c r="AP98" s="104">
        <f t="shared" si="66"/>
        <v>0</v>
      </c>
      <c r="AQ98" s="104">
        <f t="shared" si="66"/>
        <v>0</v>
      </c>
      <c r="AR98" s="104">
        <f t="shared" si="66"/>
        <v>0</v>
      </c>
      <c r="AS98" s="104">
        <f t="shared" si="66"/>
        <v>0</v>
      </c>
      <c r="AT98" s="104">
        <f t="shared" si="66"/>
        <v>0</v>
      </c>
      <c r="AX98" s="104">
        <f>COUNTA(AX39)</f>
        <v>0</v>
      </c>
      <c r="AY98" s="104">
        <f t="shared" si="67"/>
        <v>0</v>
      </c>
      <c r="AZ98" s="104">
        <f t="shared" si="67"/>
        <v>0</v>
      </c>
      <c r="BA98" s="104">
        <f t="shared" si="67"/>
        <v>0</v>
      </c>
      <c r="BB98" s="104">
        <f t="shared" si="67"/>
        <v>0</v>
      </c>
      <c r="BC98" s="104">
        <f t="shared" si="67"/>
        <v>0</v>
      </c>
      <c r="BD98" s="104">
        <f t="shared" si="67"/>
        <v>0</v>
      </c>
      <c r="BE98" s="104">
        <f t="shared" si="67"/>
        <v>0</v>
      </c>
      <c r="BF98" s="104">
        <f t="shared" si="67"/>
        <v>0</v>
      </c>
      <c r="BG98" s="104">
        <f t="shared" si="67"/>
        <v>0</v>
      </c>
      <c r="BH98" s="104">
        <f t="shared" si="67"/>
        <v>0</v>
      </c>
      <c r="BI98" s="104">
        <f t="shared" si="67"/>
        <v>0</v>
      </c>
      <c r="BM98" s="104">
        <f>COUNTA(BM39)</f>
        <v>0</v>
      </c>
      <c r="BN98" s="104">
        <f t="shared" si="68"/>
        <v>0</v>
      </c>
      <c r="BO98" s="104">
        <f t="shared" si="68"/>
        <v>0</v>
      </c>
      <c r="BP98" s="104">
        <f t="shared" si="68"/>
        <v>0</v>
      </c>
      <c r="BQ98" s="104">
        <f t="shared" si="68"/>
        <v>0</v>
      </c>
      <c r="BR98" s="104">
        <f t="shared" si="68"/>
        <v>0</v>
      </c>
      <c r="BS98" s="104">
        <f t="shared" si="68"/>
        <v>0</v>
      </c>
      <c r="BT98" s="104">
        <f t="shared" si="68"/>
        <v>0</v>
      </c>
      <c r="BU98" s="104">
        <f t="shared" si="68"/>
        <v>0</v>
      </c>
      <c r="BV98" s="104">
        <f t="shared" si="68"/>
        <v>0</v>
      </c>
      <c r="BW98" s="104">
        <f t="shared" si="68"/>
        <v>0</v>
      </c>
      <c r="BX98" s="104">
        <f t="shared" si="68"/>
        <v>0</v>
      </c>
    </row>
    <row r="99" spans="3:76" s="104" customFormat="1" x14ac:dyDescent="0.4">
      <c r="C99" s="104" t="s">
        <v>269</v>
      </c>
      <c r="E99" s="104">
        <f>COUNTA(E43)</f>
        <v>0</v>
      </c>
      <c r="F99" s="104">
        <f t="shared" ref="F99:P100" si="69">COUNTA(F43)</f>
        <v>0</v>
      </c>
      <c r="G99" s="104">
        <f t="shared" si="69"/>
        <v>0</v>
      </c>
      <c r="H99" s="104">
        <f t="shared" si="69"/>
        <v>0</v>
      </c>
      <c r="I99" s="104">
        <f t="shared" si="69"/>
        <v>0</v>
      </c>
      <c r="J99" s="104">
        <f t="shared" si="69"/>
        <v>0</v>
      </c>
      <c r="K99" s="104">
        <f t="shared" si="69"/>
        <v>0</v>
      </c>
      <c r="L99" s="104">
        <f t="shared" si="69"/>
        <v>0</v>
      </c>
      <c r="M99" s="104">
        <f t="shared" si="69"/>
        <v>0</v>
      </c>
      <c r="N99" s="104">
        <f t="shared" si="69"/>
        <v>0</v>
      </c>
      <c r="O99" s="104">
        <f t="shared" si="69"/>
        <v>0</v>
      </c>
      <c r="P99" s="104">
        <f t="shared" si="69"/>
        <v>0</v>
      </c>
      <c r="T99" s="104">
        <f>COUNTA(T43)</f>
        <v>0</v>
      </c>
      <c r="U99" s="104">
        <f t="shared" ref="U99:AE100" si="70">COUNTA(U43)</f>
        <v>0</v>
      </c>
      <c r="V99" s="104">
        <f t="shared" si="70"/>
        <v>0</v>
      </c>
      <c r="W99" s="104">
        <f t="shared" si="70"/>
        <v>0</v>
      </c>
      <c r="X99" s="104">
        <f t="shared" si="70"/>
        <v>0</v>
      </c>
      <c r="Y99" s="104">
        <f t="shared" si="70"/>
        <v>0</v>
      </c>
      <c r="Z99" s="104">
        <f t="shared" si="70"/>
        <v>0</v>
      </c>
      <c r="AA99" s="104">
        <f t="shared" si="70"/>
        <v>0</v>
      </c>
      <c r="AB99" s="104">
        <f t="shared" si="70"/>
        <v>0</v>
      </c>
      <c r="AC99" s="104">
        <f t="shared" si="70"/>
        <v>0</v>
      </c>
      <c r="AD99" s="104">
        <f t="shared" si="70"/>
        <v>0</v>
      </c>
      <c r="AE99" s="104">
        <f t="shared" si="70"/>
        <v>0</v>
      </c>
      <c r="AI99" s="104">
        <f>COUNTA(AI43)</f>
        <v>0</v>
      </c>
      <c r="AJ99" s="104">
        <f t="shared" ref="AJ99:AT100" si="71">COUNTA(AJ43)</f>
        <v>0</v>
      </c>
      <c r="AK99" s="104">
        <f t="shared" si="71"/>
        <v>0</v>
      </c>
      <c r="AL99" s="104">
        <f t="shared" si="71"/>
        <v>0</v>
      </c>
      <c r="AM99" s="104">
        <f t="shared" si="71"/>
        <v>0</v>
      </c>
      <c r="AN99" s="104">
        <f t="shared" si="71"/>
        <v>0</v>
      </c>
      <c r="AO99" s="104">
        <f t="shared" si="71"/>
        <v>0</v>
      </c>
      <c r="AP99" s="104">
        <f t="shared" si="71"/>
        <v>0</v>
      </c>
      <c r="AQ99" s="104">
        <f t="shared" si="71"/>
        <v>0</v>
      </c>
      <c r="AR99" s="104">
        <f t="shared" si="71"/>
        <v>0</v>
      </c>
      <c r="AS99" s="104">
        <f t="shared" si="71"/>
        <v>0</v>
      </c>
      <c r="AT99" s="104">
        <f t="shared" si="71"/>
        <v>0</v>
      </c>
      <c r="AX99" s="104">
        <f>COUNTA(AX43)</f>
        <v>0</v>
      </c>
      <c r="AY99" s="104">
        <f t="shared" ref="AY99:BI100" si="72">COUNTA(AY43)</f>
        <v>0</v>
      </c>
      <c r="AZ99" s="104">
        <f t="shared" si="72"/>
        <v>0</v>
      </c>
      <c r="BA99" s="104">
        <f t="shared" si="72"/>
        <v>0</v>
      </c>
      <c r="BB99" s="104">
        <f t="shared" si="72"/>
        <v>0</v>
      </c>
      <c r="BC99" s="104">
        <f t="shared" si="72"/>
        <v>0</v>
      </c>
      <c r="BD99" s="104">
        <f t="shared" si="72"/>
        <v>0</v>
      </c>
      <c r="BE99" s="104">
        <f t="shared" si="72"/>
        <v>0</v>
      </c>
      <c r="BF99" s="104">
        <f t="shared" si="72"/>
        <v>0</v>
      </c>
      <c r="BG99" s="104">
        <f t="shared" si="72"/>
        <v>0</v>
      </c>
      <c r="BH99" s="104">
        <f t="shared" si="72"/>
        <v>0</v>
      </c>
      <c r="BI99" s="104">
        <f t="shared" si="72"/>
        <v>0</v>
      </c>
      <c r="BM99" s="104">
        <f>COUNTA(BM43)</f>
        <v>0</v>
      </c>
      <c r="BN99" s="104">
        <f t="shared" ref="BN99:BX100" si="73">COUNTA(BN43)</f>
        <v>0</v>
      </c>
      <c r="BO99" s="104">
        <f t="shared" si="73"/>
        <v>0</v>
      </c>
      <c r="BP99" s="104">
        <f t="shared" si="73"/>
        <v>0</v>
      </c>
      <c r="BQ99" s="104">
        <f t="shared" si="73"/>
        <v>0</v>
      </c>
      <c r="BR99" s="104">
        <f t="shared" si="73"/>
        <v>0</v>
      </c>
      <c r="BS99" s="104">
        <f t="shared" si="73"/>
        <v>0</v>
      </c>
      <c r="BT99" s="104">
        <f t="shared" si="73"/>
        <v>0</v>
      </c>
      <c r="BU99" s="104">
        <f t="shared" si="73"/>
        <v>0</v>
      </c>
      <c r="BV99" s="104">
        <f t="shared" si="73"/>
        <v>0</v>
      </c>
      <c r="BW99" s="104">
        <f t="shared" si="73"/>
        <v>0</v>
      </c>
      <c r="BX99" s="104">
        <f t="shared" si="73"/>
        <v>0</v>
      </c>
    </row>
    <row r="100" spans="3:76" s="104" customFormat="1" x14ac:dyDescent="0.4">
      <c r="C100" s="104" t="s">
        <v>270</v>
      </c>
      <c r="E100" s="104">
        <f>COUNTA(E44)</f>
        <v>0</v>
      </c>
      <c r="F100" s="104">
        <f t="shared" si="69"/>
        <v>0</v>
      </c>
      <c r="G100" s="104">
        <f t="shared" si="69"/>
        <v>0</v>
      </c>
      <c r="H100" s="104">
        <f t="shared" si="69"/>
        <v>0</v>
      </c>
      <c r="I100" s="104">
        <f t="shared" si="69"/>
        <v>0</v>
      </c>
      <c r="J100" s="104">
        <f t="shared" si="69"/>
        <v>0</v>
      </c>
      <c r="K100" s="104">
        <f t="shared" si="69"/>
        <v>0</v>
      </c>
      <c r="L100" s="104">
        <f t="shared" si="69"/>
        <v>0</v>
      </c>
      <c r="M100" s="104">
        <f t="shared" si="69"/>
        <v>0</v>
      </c>
      <c r="N100" s="104">
        <f t="shared" si="69"/>
        <v>0</v>
      </c>
      <c r="O100" s="104">
        <f t="shared" si="69"/>
        <v>0</v>
      </c>
      <c r="P100" s="104">
        <f t="shared" si="69"/>
        <v>0</v>
      </c>
      <c r="T100" s="104">
        <f>COUNTA(T44)</f>
        <v>0</v>
      </c>
      <c r="U100" s="104">
        <f t="shared" si="70"/>
        <v>0</v>
      </c>
      <c r="V100" s="104">
        <f t="shared" si="70"/>
        <v>0</v>
      </c>
      <c r="W100" s="104">
        <f t="shared" si="70"/>
        <v>0</v>
      </c>
      <c r="X100" s="104">
        <f t="shared" si="70"/>
        <v>0</v>
      </c>
      <c r="Y100" s="104">
        <f t="shared" si="70"/>
        <v>0</v>
      </c>
      <c r="Z100" s="104">
        <f t="shared" si="70"/>
        <v>0</v>
      </c>
      <c r="AA100" s="104">
        <f t="shared" si="70"/>
        <v>0</v>
      </c>
      <c r="AB100" s="104">
        <f t="shared" si="70"/>
        <v>0</v>
      </c>
      <c r="AC100" s="104">
        <f t="shared" si="70"/>
        <v>0</v>
      </c>
      <c r="AD100" s="104">
        <f t="shared" si="70"/>
        <v>0</v>
      </c>
      <c r="AE100" s="104">
        <f t="shared" si="70"/>
        <v>0</v>
      </c>
      <c r="AI100" s="104">
        <f>COUNTA(AI44)</f>
        <v>0</v>
      </c>
      <c r="AJ100" s="104">
        <f t="shared" si="71"/>
        <v>0</v>
      </c>
      <c r="AK100" s="104">
        <f t="shared" si="71"/>
        <v>0</v>
      </c>
      <c r="AL100" s="104">
        <f t="shared" si="71"/>
        <v>0</v>
      </c>
      <c r="AM100" s="104">
        <f t="shared" si="71"/>
        <v>0</v>
      </c>
      <c r="AN100" s="104">
        <f t="shared" si="71"/>
        <v>0</v>
      </c>
      <c r="AO100" s="104">
        <f t="shared" si="71"/>
        <v>0</v>
      </c>
      <c r="AP100" s="104">
        <f t="shared" si="71"/>
        <v>0</v>
      </c>
      <c r="AQ100" s="104">
        <f t="shared" si="71"/>
        <v>0</v>
      </c>
      <c r="AR100" s="104">
        <f t="shared" si="71"/>
        <v>0</v>
      </c>
      <c r="AS100" s="104">
        <f t="shared" si="71"/>
        <v>0</v>
      </c>
      <c r="AT100" s="104">
        <f t="shared" si="71"/>
        <v>0</v>
      </c>
      <c r="AX100" s="104">
        <f>COUNTA(AX44)</f>
        <v>0</v>
      </c>
      <c r="AY100" s="104">
        <f t="shared" si="72"/>
        <v>0</v>
      </c>
      <c r="AZ100" s="104">
        <f t="shared" si="72"/>
        <v>0</v>
      </c>
      <c r="BA100" s="104">
        <f t="shared" si="72"/>
        <v>0</v>
      </c>
      <c r="BB100" s="104">
        <f t="shared" si="72"/>
        <v>0</v>
      </c>
      <c r="BC100" s="104">
        <f t="shared" si="72"/>
        <v>0</v>
      </c>
      <c r="BD100" s="104">
        <f t="shared" si="72"/>
        <v>0</v>
      </c>
      <c r="BE100" s="104">
        <f t="shared" si="72"/>
        <v>0</v>
      </c>
      <c r="BF100" s="104">
        <f t="shared" si="72"/>
        <v>0</v>
      </c>
      <c r="BG100" s="104">
        <f t="shared" si="72"/>
        <v>0</v>
      </c>
      <c r="BH100" s="104">
        <f t="shared" si="72"/>
        <v>0</v>
      </c>
      <c r="BI100" s="104">
        <f t="shared" si="72"/>
        <v>0</v>
      </c>
      <c r="BM100" s="104">
        <f>COUNTA(BM44)</f>
        <v>0</v>
      </c>
      <c r="BN100" s="104">
        <f t="shared" si="73"/>
        <v>0</v>
      </c>
      <c r="BO100" s="104">
        <f t="shared" si="73"/>
        <v>0</v>
      </c>
      <c r="BP100" s="104">
        <f t="shared" si="73"/>
        <v>0</v>
      </c>
      <c r="BQ100" s="104">
        <f t="shared" si="73"/>
        <v>0</v>
      </c>
      <c r="BR100" s="104">
        <f t="shared" si="73"/>
        <v>0</v>
      </c>
      <c r="BS100" s="104">
        <f t="shared" si="73"/>
        <v>0</v>
      </c>
      <c r="BT100" s="104">
        <f t="shared" si="73"/>
        <v>0</v>
      </c>
      <c r="BU100" s="104">
        <f t="shared" si="73"/>
        <v>0</v>
      </c>
      <c r="BV100" s="104">
        <f t="shared" si="73"/>
        <v>0</v>
      </c>
      <c r="BW100" s="104">
        <f t="shared" si="73"/>
        <v>0</v>
      </c>
      <c r="BX100" s="104">
        <f t="shared" si="73"/>
        <v>0</v>
      </c>
    </row>
  </sheetData>
  <mergeCells count="8">
    <mergeCell ref="C38:C40"/>
    <mergeCell ref="C43:C45"/>
    <mergeCell ref="C8:C10"/>
    <mergeCell ref="C13:C15"/>
    <mergeCell ref="C18:C20"/>
    <mergeCell ref="C23:C25"/>
    <mergeCell ref="C28:C30"/>
    <mergeCell ref="C33:C35"/>
  </mergeCells>
  <conditionalFormatting sqref="E10:R10">
    <cfRule type="cellIs" dxfId="331" priority="357" operator="greaterThan">
      <formula>0</formula>
    </cfRule>
    <cfRule type="cellIs" dxfId="330" priority="356" operator="lessThan">
      <formula>0</formula>
    </cfRule>
  </conditionalFormatting>
  <conditionalFormatting sqref="E15:R15">
    <cfRule type="cellIs" dxfId="326" priority="230" operator="greaterThan">
      <formula>0</formula>
    </cfRule>
    <cfRule type="cellIs" dxfId="325" priority="229" operator="lessThan">
      <formula>0</formula>
    </cfRule>
  </conditionalFormatting>
  <conditionalFormatting sqref="E20:R20">
    <cfRule type="cellIs" dxfId="321" priority="220" operator="greaterThan">
      <formula>0</formula>
    </cfRule>
    <cfRule type="cellIs" dxfId="320" priority="219" operator="lessThan">
      <formula>0</formula>
    </cfRule>
  </conditionalFormatting>
  <conditionalFormatting sqref="E25:R25">
    <cfRule type="cellIs" dxfId="316" priority="209" operator="lessThan">
      <formula>0</formula>
    </cfRule>
    <cfRule type="cellIs" dxfId="315" priority="210" operator="greaterThan">
      <formula>0</formula>
    </cfRule>
  </conditionalFormatting>
  <conditionalFormatting sqref="E30:R30">
    <cfRule type="cellIs" dxfId="311" priority="199" operator="lessThan">
      <formula>0</formula>
    </cfRule>
    <cfRule type="cellIs" dxfId="310" priority="200" operator="greaterThan">
      <formula>0</formula>
    </cfRule>
  </conditionalFormatting>
  <conditionalFormatting sqref="E35:R35">
    <cfRule type="cellIs" dxfId="306" priority="189" operator="lessThan">
      <formula>0</formula>
    </cfRule>
    <cfRule type="cellIs" dxfId="305" priority="190" operator="greaterThan">
      <formula>0</formula>
    </cfRule>
  </conditionalFormatting>
  <conditionalFormatting sqref="E40:R40">
    <cfRule type="cellIs" dxfId="301" priority="180" operator="greaterThan">
      <formula>0</formula>
    </cfRule>
    <cfRule type="cellIs" dxfId="300" priority="179" operator="lessThan">
      <formula>0</formula>
    </cfRule>
  </conditionalFormatting>
  <conditionalFormatting sqref="E45:R45">
    <cfRule type="cellIs" dxfId="296" priority="170" operator="greaterThan">
      <formula>0</formula>
    </cfRule>
    <cfRule type="cellIs" dxfId="295" priority="169" operator="lessThan">
      <formula>0</formula>
    </cfRule>
  </conditionalFormatting>
  <conditionalFormatting sqref="T10:AG10">
    <cfRule type="cellIs" dxfId="291" priority="157" operator="greaterThan">
      <formula>0</formula>
    </cfRule>
    <cfRule type="cellIs" dxfId="290" priority="156" operator="lessThan">
      <formula>0</formula>
    </cfRule>
  </conditionalFormatting>
  <conditionalFormatting sqref="T15:AG15">
    <cfRule type="cellIs" dxfId="286" priority="133" operator="lessThan">
      <formula>0</formula>
    </cfRule>
    <cfRule type="cellIs" dxfId="285" priority="134" operator="greaterThan">
      <formula>0</formula>
    </cfRule>
  </conditionalFormatting>
  <conditionalFormatting sqref="T20:AG20">
    <cfRule type="cellIs" dxfId="281" priority="132" operator="greaterThan">
      <formula>0</formula>
    </cfRule>
    <cfRule type="cellIs" dxfId="280" priority="131" operator="lessThan">
      <formula>0</formula>
    </cfRule>
  </conditionalFormatting>
  <conditionalFormatting sqref="T25:AG25">
    <cfRule type="cellIs" dxfId="276" priority="129" operator="lessThan">
      <formula>0</formula>
    </cfRule>
    <cfRule type="cellIs" dxfId="275" priority="130" operator="greaterThan">
      <formula>0</formula>
    </cfRule>
  </conditionalFormatting>
  <conditionalFormatting sqref="T30:AG30">
    <cfRule type="cellIs" dxfId="271" priority="128" operator="greaterThan">
      <formula>0</formula>
    </cfRule>
    <cfRule type="cellIs" dxfId="270" priority="127" operator="lessThan">
      <formula>0</formula>
    </cfRule>
  </conditionalFormatting>
  <conditionalFormatting sqref="T35:AG35">
    <cfRule type="cellIs" dxfId="266" priority="125" operator="lessThan">
      <formula>0</formula>
    </cfRule>
    <cfRule type="cellIs" dxfId="265" priority="126" operator="greaterThan">
      <formula>0</formula>
    </cfRule>
  </conditionalFormatting>
  <conditionalFormatting sqref="T40:AG40">
    <cfRule type="cellIs" dxfId="261" priority="124" operator="greaterThan">
      <formula>0</formula>
    </cfRule>
    <cfRule type="cellIs" dxfId="260" priority="123" operator="lessThan">
      <formula>0</formula>
    </cfRule>
  </conditionalFormatting>
  <conditionalFormatting sqref="T45:AG45">
    <cfRule type="cellIs" dxfId="256" priority="122" operator="greaterThan">
      <formula>0</formula>
    </cfRule>
    <cfRule type="cellIs" dxfId="255" priority="121" operator="lessThan">
      <formula>0</formula>
    </cfRule>
  </conditionalFormatting>
  <conditionalFormatting sqref="AI10:AV10">
    <cfRule type="cellIs" dxfId="251" priority="116" operator="lessThan">
      <formula>0</formula>
    </cfRule>
    <cfRule type="cellIs" dxfId="250" priority="117" operator="greaterThan">
      <formula>0</formula>
    </cfRule>
  </conditionalFormatting>
  <conditionalFormatting sqref="AI15:AV15">
    <cfRule type="cellIs" dxfId="246" priority="93" operator="lessThan">
      <formula>0</formula>
    </cfRule>
    <cfRule type="cellIs" dxfId="245" priority="94" operator="greaterThan">
      <formula>0</formula>
    </cfRule>
  </conditionalFormatting>
  <conditionalFormatting sqref="AI20:AV20">
    <cfRule type="cellIs" dxfId="241" priority="91" operator="lessThan">
      <formula>0</formula>
    </cfRule>
    <cfRule type="cellIs" dxfId="240" priority="92" operator="greaterThan">
      <formula>0</formula>
    </cfRule>
  </conditionalFormatting>
  <conditionalFormatting sqref="AI25:AV25">
    <cfRule type="cellIs" dxfId="236" priority="89" operator="lessThan">
      <formula>0</formula>
    </cfRule>
    <cfRule type="cellIs" dxfId="235" priority="90" operator="greaterThan">
      <formula>0</formula>
    </cfRule>
  </conditionalFormatting>
  <conditionalFormatting sqref="AI30:AV30">
    <cfRule type="cellIs" dxfId="231" priority="87" operator="lessThan">
      <formula>0</formula>
    </cfRule>
    <cfRule type="cellIs" dxfId="230" priority="88" operator="greaterThan">
      <formula>0</formula>
    </cfRule>
  </conditionalFormatting>
  <conditionalFormatting sqref="AI35:AV35">
    <cfRule type="cellIs" dxfId="226" priority="86" operator="greaterThan">
      <formula>0</formula>
    </cfRule>
    <cfRule type="cellIs" dxfId="225" priority="85" operator="lessThan">
      <formula>0</formula>
    </cfRule>
  </conditionalFormatting>
  <conditionalFormatting sqref="AI40:AV40">
    <cfRule type="cellIs" dxfId="221" priority="84" operator="greaterThan">
      <formula>0</formula>
    </cfRule>
    <cfRule type="cellIs" dxfId="220" priority="83" operator="lessThan">
      <formula>0</formula>
    </cfRule>
  </conditionalFormatting>
  <conditionalFormatting sqref="AI45:AV45">
    <cfRule type="cellIs" dxfId="216" priority="82" operator="greaterThan">
      <formula>0</formula>
    </cfRule>
    <cfRule type="cellIs" dxfId="215" priority="81" operator="lessThan">
      <formula>0</formula>
    </cfRule>
  </conditionalFormatting>
  <conditionalFormatting sqref="AX10:BK10">
    <cfRule type="cellIs" dxfId="211" priority="77" operator="greaterThan">
      <formula>0</formula>
    </cfRule>
    <cfRule type="cellIs" dxfId="210" priority="76" operator="lessThan">
      <formula>0</formula>
    </cfRule>
  </conditionalFormatting>
  <conditionalFormatting sqref="AX15:BK15">
    <cfRule type="cellIs" dxfId="206" priority="53" operator="lessThan">
      <formula>0</formula>
    </cfRule>
    <cfRule type="cellIs" dxfId="205" priority="54" operator="greaterThan">
      <formula>0</formula>
    </cfRule>
  </conditionalFormatting>
  <conditionalFormatting sqref="AX20:BK20">
    <cfRule type="cellIs" dxfId="201" priority="52" operator="greaterThan">
      <formula>0</formula>
    </cfRule>
    <cfRule type="cellIs" dxfId="200" priority="51" operator="lessThan">
      <formula>0</formula>
    </cfRule>
  </conditionalFormatting>
  <conditionalFormatting sqref="AX25:BK25">
    <cfRule type="cellIs" dxfId="196" priority="50" operator="greaterThan">
      <formula>0</formula>
    </cfRule>
    <cfRule type="cellIs" dxfId="195" priority="49" operator="lessThan">
      <formula>0</formula>
    </cfRule>
  </conditionalFormatting>
  <conditionalFormatting sqref="AX30:BK30">
    <cfRule type="cellIs" dxfId="191" priority="48" operator="greaterThan">
      <formula>0</formula>
    </cfRule>
    <cfRule type="cellIs" dxfId="190" priority="47" operator="lessThan">
      <formula>0</formula>
    </cfRule>
  </conditionalFormatting>
  <conditionalFormatting sqref="AX35:BK35">
    <cfRule type="cellIs" dxfId="186" priority="46" operator="greaterThan">
      <formula>0</formula>
    </cfRule>
    <cfRule type="cellIs" dxfId="185" priority="45" operator="lessThan">
      <formula>0</formula>
    </cfRule>
  </conditionalFormatting>
  <conditionalFormatting sqref="AX40:BK40">
    <cfRule type="cellIs" dxfId="181" priority="43" operator="lessThan">
      <formula>0</formula>
    </cfRule>
    <cfRule type="cellIs" dxfId="180" priority="44" operator="greaterThan">
      <formula>0</formula>
    </cfRule>
  </conditionalFormatting>
  <conditionalFormatting sqref="AX45:BK45">
    <cfRule type="cellIs" dxfId="176" priority="41" operator="lessThan">
      <formula>0</formula>
    </cfRule>
    <cfRule type="cellIs" dxfId="175" priority="42" operator="greaterThan">
      <formula>0</formula>
    </cfRule>
  </conditionalFormatting>
  <conditionalFormatting sqref="BM10:BZ10">
    <cfRule type="cellIs" dxfId="171" priority="37" operator="greaterThan">
      <formula>0</formula>
    </cfRule>
    <cfRule type="cellIs" dxfId="170" priority="36" operator="lessThan">
      <formula>0</formula>
    </cfRule>
  </conditionalFormatting>
  <conditionalFormatting sqref="BM15:BZ15">
    <cfRule type="cellIs" dxfId="166" priority="13" operator="lessThan">
      <formula>0</formula>
    </cfRule>
    <cfRule type="cellIs" dxfId="165" priority="14" operator="greaterThan">
      <formula>0</formula>
    </cfRule>
  </conditionalFormatting>
  <conditionalFormatting sqref="BM20:BZ20">
    <cfRule type="cellIs" dxfId="161" priority="12" operator="greaterThan">
      <formula>0</formula>
    </cfRule>
    <cfRule type="cellIs" dxfId="160" priority="11" operator="lessThan">
      <formula>0</formula>
    </cfRule>
  </conditionalFormatting>
  <conditionalFormatting sqref="BM25:BZ25">
    <cfRule type="cellIs" dxfId="156" priority="10" operator="greaterThan">
      <formula>0</formula>
    </cfRule>
    <cfRule type="cellIs" dxfId="155" priority="9" operator="lessThan">
      <formula>0</formula>
    </cfRule>
  </conditionalFormatting>
  <conditionalFormatting sqref="BM30:BZ30">
    <cfRule type="cellIs" dxfId="151" priority="8" operator="greaterThan">
      <formula>0</formula>
    </cfRule>
    <cfRule type="cellIs" dxfId="150" priority="7" operator="lessThan">
      <formula>0</formula>
    </cfRule>
  </conditionalFormatting>
  <conditionalFormatting sqref="BM35:BZ35">
    <cfRule type="cellIs" dxfId="146" priority="6" operator="greaterThan">
      <formula>0</formula>
    </cfRule>
    <cfRule type="cellIs" dxfId="145" priority="5" operator="lessThan">
      <formula>0</formula>
    </cfRule>
  </conditionalFormatting>
  <conditionalFormatting sqref="BM40:BZ40">
    <cfRule type="cellIs" dxfId="141" priority="4" operator="greaterThan">
      <formula>0</formula>
    </cfRule>
    <cfRule type="cellIs" dxfId="140" priority="3" operator="lessThan">
      <formula>0</formula>
    </cfRule>
  </conditionalFormatting>
  <conditionalFormatting sqref="BM45:BZ45">
    <cfRule type="cellIs" dxfId="136" priority="2" operator="greaterThan">
      <formula>0</formula>
    </cfRule>
    <cfRule type="cellIs" dxfId="135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8" id="{27ADCA0E-34C7-4141-9E73-D9F6DD3AB24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60" id="{F430E919-09BD-444E-A6EA-EFE1E4D718ED}">
            <xm:f>$D$7=parametros!$J$2</xm:f>
            <x14:dxf>
              <numFmt numFmtId="2" formatCode="0.00"/>
            </x14:dxf>
          </x14:cfRule>
          <x14:cfRule type="expression" priority="359" id="{88B778C7-E5EF-42F7-A5D3-241CD99EAA7B}">
            <xm:f>$D$7=parametros!$J$3</xm:f>
            <x14:dxf>
              <numFmt numFmtId="14" formatCode="0.00%"/>
            </x14:dxf>
          </x14:cfRule>
          <xm:sqref>E8:R9</xm:sqref>
        </x14:conditionalFormatting>
        <x14:conditionalFormatting xmlns:xm="http://schemas.microsoft.com/office/excel/2006/main">
          <x14:cfRule type="expression" priority="355" id="{467DAB03-4929-4BBC-B986-D36EE85C06BD}">
            <xm:f>$D$7=parametros!$J$2</xm:f>
            <x14:dxf>
              <numFmt numFmtId="2" formatCode="0.00"/>
            </x14:dxf>
          </x14:cfRule>
          <x14:cfRule type="expression" priority="354" id="{F8938FCA-3DDB-464F-8C17-7B42E69FFD45}">
            <xm:f>$D$7=parametros!$J$3</xm:f>
            <x14:dxf>
              <numFmt numFmtId="14" formatCode="0.00%"/>
            </x14:dxf>
          </x14:cfRule>
          <x14:cfRule type="expression" priority="353" id="{C0BDFFCD-289E-4412-9D57-7796ED1B1C4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E13:R14</xm:sqref>
        </x14:conditionalFormatting>
        <x14:conditionalFormatting xmlns:xm="http://schemas.microsoft.com/office/excel/2006/main">
          <x14:cfRule type="expression" priority="352" id="{987D8EE0-76CF-49A4-A861-771946A5965E}">
            <xm:f>$D$7=parametros!$J$2</xm:f>
            <x14:dxf>
              <numFmt numFmtId="2" formatCode="0.00"/>
            </x14:dxf>
          </x14:cfRule>
          <x14:cfRule type="expression" priority="351" id="{8560AF16-7493-4B8F-8839-EA607421AB38}">
            <xm:f>$D$7=parametros!$J$3</xm:f>
            <x14:dxf>
              <numFmt numFmtId="14" formatCode="0.00%"/>
            </x14:dxf>
          </x14:cfRule>
          <x14:cfRule type="expression" priority="350" id="{4C1B7EF0-D570-49BF-8765-8D3284D75DE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E18:R19</xm:sqref>
        </x14:conditionalFormatting>
        <x14:conditionalFormatting xmlns:xm="http://schemas.microsoft.com/office/excel/2006/main">
          <x14:cfRule type="expression" priority="349" id="{2197D0DA-81C2-4438-9534-9D78455F94C8}">
            <xm:f>$D$7=parametros!$J$2</xm:f>
            <x14:dxf>
              <numFmt numFmtId="2" formatCode="0.00"/>
            </x14:dxf>
          </x14:cfRule>
          <x14:cfRule type="expression" priority="348" id="{41E40E07-5DB8-407F-8469-8985638EA868}">
            <xm:f>$D$7=parametros!$J$3</xm:f>
            <x14:dxf>
              <numFmt numFmtId="14" formatCode="0.00%"/>
            </x14:dxf>
          </x14:cfRule>
          <x14:cfRule type="expression" priority="347" id="{05E6D0D7-512A-4049-A34F-37B98EFA911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E23:R24</xm:sqref>
        </x14:conditionalFormatting>
        <x14:conditionalFormatting xmlns:xm="http://schemas.microsoft.com/office/excel/2006/main">
          <x14:cfRule type="expression" priority="346" id="{B044BF0B-BB93-40C5-A08A-9708CDE1B370}">
            <xm:f>$D$7=parametros!$J$2</xm:f>
            <x14:dxf>
              <numFmt numFmtId="2" formatCode="0.00"/>
            </x14:dxf>
          </x14:cfRule>
          <x14:cfRule type="expression" priority="345" id="{2094BA62-8695-432C-8B84-824AC37BFB91}">
            <xm:f>$D$7=parametros!$J$3</xm:f>
            <x14:dxf>
              <numFmt numFmtId="14" formatCode="0.00%"/>
            </x14:dxf>
          </x14:cfRule>
          <x14:cfRule type="expression" priority="344" id="{DB52A17E-FD33-46EF-AC6D-732D7DDAFDB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E28:R29</xm:sqref>
        </x14:conditionalFormatting>
        <x14:conditionalFormatting xmlns:xm="http://schemas.microsoft.com/office/excel/2006/main">
          <x14:cfRule type="expression" priority="343" id="{95440539-E0E4-4947-A32F-D712FA98482D}">
            <xm:f>$D$7=parametros!$J$2</xm:f>
            <x14:dxf>
              <numFmt numFmtId="2" formatCode="0.00"/>
            </x14:dxf>
          </x14:cfRule>
          <x14:cfRule type="expression" priority="341" id="{B95274EF-6572-4E2D-9CAD-8C58C781C47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42" id="{D6957AD0-28D1-4CE8-83D0-C482B29569E3}">
            <xm:f>$D$7=parametros!$J$3</xm:f>
            <x14:dxf>
              <numFmt numFmtId="14" formatCode="0.00%"/>
            </x14:dxf>
          </x14:cfRule>
          <xm:sqref>E33:R34</xm:sqref>
        </x14:conditionalFormatting>
        <x14:conditionalFormatting xmlns:xm="http://schemas.microsoft.com/office/excel/2006/main">
          <x14:cfRule type="expression" priority="340" id="{B4026DDB-5580-4326-B9A8-29DD4539EBCD}">
            <xm:f>$D$7=parametros!$J$2</xm:f>
            <x14:dxf>
              <numFmt numFmtId="2" formatCode="0.00"/>
            </x14:dxf>
          </x14:cfRule>
          <x14:cfRule type="expression" priority="338" id="{0E2E42E1-AC2F-43B7-AD0A-51C7A0655DE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9" id="{3501F512-A77A-4E5F-9894-64536CA94BFB}">
            <xm:f>$D$7=parametros!$J$3</xm:f>
            <x14:dxf>
              <numFmt numFmtId="14" formatCode="0.00%"/>
            </x14:dxf>
          </x14:cfRule>
          <xm:sqref>E38:R39</xm:sqref>
        </x14:conditionalFormatting>
        <x14:conditionalFormatting xmlns:xm="http://schemas.microsoft.com/office/excel/2006/main">
          <x14:cfRule type="expression" priority="335" id="{D59F3D53-88FC-4ECC-B528-E5E5B6120DC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6" id="{48422A63-F807-47AB-BAD6-81D3318658A1}">
            <xm:f>$D$7=parametros!$J$3</xm:f>
            <x14:dxf>
              <numFmt numFmtId="14" formatCode="0.00%"/>
            </x14:dxf>
          </x14:cfRule>
          <x14:cfRule type="expression" priority="337" id="{DEA569FF-8EE6-4D1B-B2FF-98C2D5614680}">
            <xm:f>$D$7=parametros!$J$2</xm:f>
            <x14:dxf>
              <numFmt numFmtId="2" formatCode="0.00"/>
            </x14:dxf>
          </x14:cfRule>
          <xm:sqref>E43:R44</xm:sqref>
        </x14:conditionalFormatting>
        <x14:conditionalFormatting xmlns:xm="http://schemas.microsoft.com/office/excel/2006/main">
          <x14:cfRule type="expression" priority="160" id="{95F193E7-7C4C-40A4-B936-9EB0336499C1}">
            <xm:f>$D$7=parametros!$J$2</xm:f>
            <x14:dxf>
              <numFmt numFmtId="2" formatCode="0.00"/>
            </x14:dxf>
          </x14:cfRule>
          <x14:cfRule type="expression" priority="159" id="{9FB912EF-8DC3-463E-BE97-6CBCCB1982AC}">
            <xm:f>$D$7=parametros!$J$3</xm:f>
            <x14:dxf>
              <numFmt numFmtId="14" formatCode="0.00%"/>
            </x14:dxf>
          </x14:cfRule>
          <x14:cfRule type="expression" priority="158" id="{82FD41C3-6F7B-487D-8AF9-9CE8CB975380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T8:AG9</xm:sqref>
        </x14:conditionalFormatting>
        <x14:conditionalFormatting xmlns:xm="http://schemas.microsoft.com/office/excel/2006/main">
          <x14:cfRule type="expression" priority="155" id="{EF3BB03F-17B0-4D53-A647-92A381989558}">
            <xm:f>$D$7=parametros!$J$2</xm:f>
            <x14:dxf>
              <numFmt numFmtId="2" formatCode="0.00"/>
            </x14:dxf>
          </x14:cfRule>
          <x14:cfRule type="expression" priority="154" id="{EB1F0E74-9F5F-44A5-864D-84C7C798C2F9}">
            <xm:f>$D$7=parametros!$J$3</xm:f>
            <x14:dxf>
              <numFmt numFmtId="14" formatCode="0.00%"/>
            </x14:dxf>
          </x14:cfRule>
          <x14:cfRule type="expression" priority="153" id="{C906B8B7-9D80-45F8-91C2-6071786CAD7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T13:AG14</xm:sqref>
        </x14:conditionalFormatting>
        <x14:conditionalFormatting xmlns:xm="http://schemas.microsoft.com/office/excel/2006/main">
          <x14:cfRule type="expression" priority="151" id="{71380B3E-CB78-4B3D-9932-71A553978B8B}">
            <xm:f>$D$7=parametros!$J$3</xm:f>
            <x14:dxf>
              <numFmt numFmtId="14" formatCode="0.00%"/>
            </x14:dxf>
          </x14:cfRule>
          <x14:cfRule type="expression" priority="150" id="{F2E3416F-560F-4C14-A741-D68190083D2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52" id="{B8544BDF-8843-4ACA-9DAC-5CF894B57557}">
            <xm:f>$D$7=parametros!$J$2</xm:f>
            <x14:dxf>
              <numFmt numFmtId="2" formatCode="0.00"/>
            </x14:dxf>
          </x14:cfRule>
          <xm:sqref>T18:AG19</xm:sqref>
        </x14:conditionalFormatting>
        <x14:conditionalFormatting xmlns:xm="http://schemas.microsoft.com/office/excel/2006/main">
          <x14:cfRule type="expression" priority="149" id="{9ED0C8E0-51A8-4F42-896E-58352258FE45}">
            <xm:f>$D$7=parametros!$J$2</xm:f>
            <x14:dxf>
              <numFmt numFmtId="2" formatCode="0.00"/>
            </x14:dxf>
          </x14:cfRule>
          <x14:cfRule type="expression" priority="148" id="{7B061533-E83C-4A3B-9D1F-B5541C874D1F}">
            <xm:f>$D$7=parametros!$J$3</xm:f>
            <x14:dxf>
              <numFmt numFmtId="14" formatCode="0.00%"/>
            </x14:dxf>
          </x14:cfRule>
          <x14:cfRule type="expression" priority="147" id="{F867AAC8-3E78-4D1E-B641-E396BD91F83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T23:AG24</xm:sqref>
        </x14:conditionalFormatting>
        <x14:conditionalFormatting xmlns:xm="http://schemas.microsoft.com/office/excel/2006/main">
          <x14:cfRule type="expression" priority="144" id="{870CF01F-3D34-4933-8F88-B701A962BD7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45" id="{56957DA9-BBB4-4CD3-9DA5-70636FC2E991}">
            <xm:f>$D$7=parametros!$J$3</xm:f>
            <x14:dxf>
              <numFmt numFmtId="14" formatCode="0.00%"/>
            </x14:dxf>
          </x14:cfRule>
          <x14:cfRule type="expression" priority="146" id="{446A09B6-A939-4D74-8E64-4D8EB3C7FC1E}">
            <xm:f>$D$7=parametros!$J$2</xm:f>
            <x14:dxf>
              <numFmt numFmtId="2" formatCode="0.00"/>
            </x14:dxf>
          </x14:cfRule>
          <xm:sqref>T28:AG29</xm:sqref>
        </x14:conditionalFormatting>
        <x14:conditionalFormatting xmlns:xm="http://schemas.microsoft.com/office/excel/2006/main">
          <x14:cfRule type="expression" priority="143" id="{5ACD8D7D-D68F-455A-A8A2-08AC78BD3D0C}">
            <xm:f>$D$7=parametros!$J$2</xm:f>
            <x14:dxf>
              <numFmt numFmtId="2" formatCode="0.00"/>
            </x14:dxf>
          </x14:cfRule>
          <x14:cfRule type="expression" priority="142" id="{0E20B17D-65ED-4194-BD8D-C40ABAF71F25}">
            <xm:f>$D$7=parametros!$J$3</xm:f>
            <x14:dxf>
              <numFmt numFmtId="14" formatCode="0.00%"/>
            </x14:dxf>
          </x14:cfRule>
          <x14:cfRule type="expression" priority="141" id="{C54CB795-8D58-47FF-8A6F-46D9FD737730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T33:AG34</xm:sqref>
        </x14:conditionalFormatting>
        <x14:conditionalFormatting xmlns:xm="http://schemas.microsoft.com/office/excel/2006/main">
          <x14:cfRule type="expression" priority="140" id="{1212EDD7-2FBB-4723-994A-3322EB87C4EB}">
            <xm:f>$D$7=parametros!$J$2</xm:f>
            <x14:dxf>
              <numFmt numFmtId="2" formatCode="0.00"/>
            </x14:dxf>
          </x14:cfRule>
          <x14:cfRule type="expression" priority="139" id="{0001AD79-EA28-447F-8EA0-7DF087189702}">
            <xm:f>$D$7=parametros!$J$3</xm:f>
            <x14:dxf>
              <numFmt numFmtId="14" formatCode="0.00%"/>
            </x14:dxf>
          </x14:cfRule>
          <x14:cfRule type="expression" priority="138" id="{82169AFB-8D41-4BFE-B9AF-068A46E1E921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T38:AG39</xm:sqref>
        </x14:conditionalFormatting>
        <x14:conditionalFormatting xmlns:xm="http://schemas.microsoft.com/office/excel/2006/main">
          <x14:cfRule type="expression" priority="135" id="{76087915-AD2C-4A31-AD2D-AE342FFCD35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37" id="{4F8388A8-85A2-446D-BB1A-E8CD22191ACB}">
            <xm:f>$D$7=parametros!$J$2</xm:f>
            <x14:dxf>
              <numFmt numFmtId="2" formatCode="0.00"/>
            </x14:dxf>
          </x14:cfRule>
          <x14:cfRule type="expression" priority="136" id="{28FBBA28-BF06-4618-BEA2-3B8BB97943CE}">
            <xm:f>$D$7=parametros!$J$3</xm:f>
            <x14:dxf>
              <numFmt numFmtId="14" formatCode="0.00%"/>
            </x14:dxf>
          </x14:cfRule>
          <xm:sqref>T43:AG44</xm:sqref>
        </x14:conditionalFormatting>
        <x14:conditionalFormatting xmlns:xm="http://schemas.microsoft.com/office/excel/2006/main">
          <x14:cfRule type="expression" priority="120" id="{AE3D1E22-C9EA-4472-BA41-9C611698D8F4}">
            <xm:f>$D$7=parametros!$J$2</xm:f>
            <x14:dxf>
              <numFmt numFmtId="2" formatCode="0.00"/>
            </x14:dxf>
          </x14:cfRule>
          <x14:cfRule type="expression" priority="119" id="{40E2E015-371A-4D01-AF8C-41CD65A202A7}">
            <xm:f>$D$7=parametros!$J$3</xm:f>
            <x14:dxf>
              <numFmt numFmtId="14" formatCode="0.00%"/>
            </x14:dxf>
          </x14:cfRule>
          <x14:cfRule type="expression" priority="118" id="{55DFC384-1657-49CE-9C77-9B678A9505D8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AI8:AV9</xm:sqref>
        </x14:conditionalFormatting>
        <x14:conditionalFormatting xmlns:xm="http://schemas.microsoft.com/office/excel/2006/main">
          <x14:cfRule type="expression" priority="113" id="{6E163E2B-8B30-441A-B1C2-2FB1C89D32B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15" id="{F52BBBFA-D18E-43BF-AEBB-0C63BDEDEF84}">
            <xm:f>$D$7=parametros!$J$2</xm:f>
            <x14:dxf>
              <numFmt numFmtId="2" formatCode="0.00"/>
            </x14:dxf>
          </x14:cfRule>
          <x14:cfRule type="expression" priority="114" id="{9C8A264F-8AD7-4ECE-8138-D2DCFF210938}">
            <xm:f>$D$7=parametros!$J$3</xm:f>
            <x14:dxf>
              <numFmt numFmtId="14" formatCode="0.00%"/>
            </x14:dxf>
          </x14:cfRule>
          <xm:sqref>AI13:AV14</xm:sqref>
        </x14:conditionalFormatting>
        <x14:conditionalFormatting xmlns:xm="http://schemas.microsoft.com/office/excel/2006/main">
          <x14:cfRule type="expression" priority="112" id="{80A82D7F-0BA8-4E99-8E31-F4F7D5E9E714}">
            <xm:f>$D$7=parametros!$J$2</xm:f>
            <x14:dxf>
              <numFmt numFmtId="2" formatCode="0.00"/>
            </x14:dxf>
          </x14:cfRule>
          <x14:cfRule type="expression" priority="111" id="{8F234319-01E0-4564-8D37-F55C75907DEA}">
            <xm:f>$D$7=parametros!$J$3</xm:f>
            <x14:dxf>
              <numFmt numFmtId="14" formatCode="0.00%"/>
            </x14:dxf>
          </x14:cfRule>
          <x14:cfRule type="expression" priority="110" id="{92F5D379-642C-4017-9350-0E09D43E82F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AI18:AV19</xm:sqref>
        </x14:conditionalFormatting>
        <x14:conditionalFormatting xmlns:xm="http://schemas.microsoft.com/office/excel/2006/main">
          <x14:cfRule type="expression" priority="108" id="{17B44000-2274-4743-A604-C4FEEA391F2B}">
            <xm:f>$D$7=parametros!$J$3</xm:f>
            <x14:dxf>
              <numFmt numFmtId="14" formatCode="0.00%"/>
            </x14:dxf>
          </x14:cfRule>
          <x14:cfRule type="expression" priority="107" id="{8DF74492-F7B6-4CA2-8FDC-7E726748E8D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9" id="{1510E5FC-6CC9-406F-ACB9-E10BF532E5FC}">
            <xm:f>$D$7=parametros!$J$2</xm:f>
            <x14:dxf>
              <numFmt numFmtId="2" formatCode="0.00"/>
            </x14:dxf>
          </x14:cfRule>
          <xm:sqref>AI23:AV24</xm:sqref>
        </x14:conditionalFormatting>
        <x14:conditionalFormatting xmlns:xm="http://schemas.microsoft.com/office/excel/2006/main">
          <x14:cfRule type="expression" priority="106" id="{69447D0A-6F3C-4EEF-A500-5BECFF64AE4D}">
            <xm:f>$D$7=parametros!$J$2</xm:f>
            <x14:dxf>
              <numFmt numFmtId="2" formatCode="0.00"/>
            </x14:dxf>
          </x14:cfRule>
          <x14:cfRule type="expression" priority="105" id="{5E53C0FC-D9AB-4425-9B77-5AED68D074AD}">
            <xm:f>$D$7=parametros!$J$3</xm:f>
            <x14:dxf>
              <numFmt numFmtId="14" formatCode="0.00%"/>
            </x14:dxf>
          </x14:cfRule>
          <x14:cfRule type="expression" priority="104" id="{A66B8D23-6986-4C18-9991-D987BF43AC4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AI28:AV29</xm:sqref>
        </x14:conditionalFormatting>
        <x14:conditionalFormatting xmlns:xm="http://schemas.microsoft.com/office/excel/2006/main">
          <x14:cfRule type="expression" priority="103" id="{79DF64E0-A538-4BEA-8D6B-AC68240AC623}">
            <xm:f>$D$7=parametros!$J$2</xm:f>
            <x14:dxf>
              <numFmt numFmtId="2" formatCode="0.00"/>
            </x14:dxf>
          </x14:cfRule>
          <x14:cfRule type="expression" priority="101" id="{A49E2188-B85D-4B90-90F1-78D16E8F057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2" id="{6EE90F14-FBED-4E4A-B071-74D56A0966E6}">
            <xm:f>$D$7=parametros!$J$3</xm:f>
            <x14:dxf>
              <numFmt numFmtId="14" formatCode="0.00%"/>
            </x14:dxf>
          </x14:cfRule>
          <xm:sqref>AI33:AV34</xm:sqref>
        </x14:conditionalFormatting>
        <x14:conditionalFormatting xmlns:xm="http://schemas.microsoft.com/office/excel/2006/main">
          <x14:cfRule type="expression" priority="100" id="{D32270BF-F4FD-4CF8-AAEB-9A31C4830CA5}">
            <xm:f>$D$7=parametros!$J$2</xm:f>
            <x14:dxf>
              <numFmt numFmtId="2" formatCode="0.00"/>
            </x14:dxf>
          </x14:cfRule>
          <x14:cfRule type="expression" priority="99" id="{2AF00E6A-4D20-4B06-BD35-FD832DBE282F}">
            <xm:f>$D$7=parametros!$J$3</xm:f>
            <x14:dxf>
              <numFmt numFmtId="14" formatCode="0.00%"/>
            </x14:dxf>
          </x14:cfRule>
          <x14:cfRule type="expression" priority="98" id="{026FDB7D-4F8D-4BF7-8431-1EA91EA19FB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AI38:AV39</xm:sqref>
        </x14:conditionalFormatting>
        <x14:conditionalFormatting xmlns:xm="http://schemas.microsoft.com/office/excel/2006/main">
          <x14:cfRule type="expression" priority="95" id="{EF07D604-0B90-4EB8-B980-1DCB42238C7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6" id="{06188638-554D-4BA9-812C-358BB78A6FEB}">
            <xm:f>$D$7=parametros!$J$3</xm:f>
            <x14:dxf>
              <numFmt numFmtId="14" formatCode="0.00%"/>
            </x14:dxf>
          </x14:cfRule>
          <x14:cfRule type="expression" priority="97" id="{9B745D03-461F-4176-B67A-15C2C7A3BDFD}">
            <xm:f>$D$7=parametros!$J$2</xm:f>
            <x14:dxf>
              <numFmt numFmtId="2" formatCode="0.00"/>
            </x14:dxf>
          </x14:cfRule>
          <xm:sqref>AI43:AV44</xm:sqref>
        </x14:conditionalFormatting>
        <x14:conditionalFormatting xmlns:xm="http://schemas.microsoft.com/office/excel/2006/main">
          <x14:cfRule type="expression" priority="80" id="{A8BCE90B-50D3-427C-9FD3-97E476D7359B}">
            <xm:f>$D$7=parametros!$J$2</xm:f>
            <x14:dxf>
              <numFmt numFmtId="2" formatCode="0.00"/>
            </x14:dxf>
          </x14:cfRule>
          <x14:cfRule type="expression" priority="79" id="{ECE7C131-57EF-4622-9EF7-BD26D37F9A1F}">
            <xm:f>$D$7=parametros!$J$3</xm:f>
            <x14:dxf>
              <numFmt numFmtId="14" formatCode="0.00%"/>
            </x14:dxf>
          </x14:cfRule>
          <x14:cfRule type="expression" priority="78" id="{0EB29988-AB4E-4E14-BF89-AF5C2A067A20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AX8:BK9</xm:sqref>
        </x14:conditionalFormatting>
        <x14:conditionalFormatting xmlns:xm="http://schemas.microsoft.com/office/excel/2006/main">
          <x14:cfRule type="expression" priority="75" id="{8211FEA7-099A-4F39-940F-BA6BB2E1F468}">
            <xm:f>$D$7=parametros!$J$2</xm:f>
            <x14:dxf>
              <numFmt numFmtId="2" formatCode="0.00"/>
            </x14:dxf>
          </x14:cfRule>
          <x14:cfRule type="expression" priority="74" id="{19C94FDE-42B7-485C-9553-DF8C026F17BD}">
            <xm:f>$D$7=parametros!$J$3</xm:f>
            <x14:dxf>
              <numFmt numFmtId="14" formatCode="0.00%"/>
            </x14:dxf>
          </x14:cfRule>
          <x14:cfRule type="expression" priority="73" id="{BBAFC11C-7E4B-4E4A-AB53-829FB781AAF6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AX13:BK14</xm:sqref>
        </x14:conditionalFormatting>
        <x14:conditionalFormatting xmlns:xm="http://schemas.microsoft.com/office/excel/2006/main">
          <x14:cfRule type="expression" priority="72" id="{834713BD-FC4E-4185-A2CE-9D1749FA1772}">
            <xm:f>$D$7=parametros!$J$2</xm:f>
            <x14:dxf>
              <numFmt numFmtId="2" formatCode="0.00"/>
            </x14:dxf>
          </x14:cfRule>
          <x14:cfRule type="expression" priority="71" id="{12523E76-09F2-45BD-A953-8BF9C6923BE1}">
            <xm:f>$D$7=parametros!$J$3</xm:f>
            <x14:dxf>
              <numFmt numFmtId="14" formatCode="0.00%"/>
            </x14:dxf>
          </x14:cfRule>
          <x14:cfRule type="expression" priority="70" id="{521A724C-12DB-46D6-BBDE-929BF000B1E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AX18:BK19</xm:sqref>
        </x14:conditionalFormatting>
        <x14:conditionalFormatting xmlns:xm="http://schemas.microsoft.com/office/excel/2006/main">
          <x14:cfRule type="expression" priority="69" id="{07E9112D-A521-4E1E-99C3-4BFDBDDEE5E2}">
            <xm:f>$D$7=parametros!$J$2</xm:f>
            <x14:dxf>
              <numFmt numFmtId="2" formatCode="0.00"/>
            </x14:dxf>
          </x14:cfRule>
          <x14:cfRule type="expression" priority="68" id="{363C0C42-544C-484C-9353-5202E6B09C88}">
            <xm:f>$D$7=parametros!$J$3</xm:f>
            <x14:dxf>
              <numFmt numFmtId="14" formatCode="0.00%"/>
            </x14:dxf>
          </x14:cfRule>
          <x14:cfRule type="expression" priority="67" id="{C0EBB887-95D1-4E11-B3E3-D92C3AB95802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AX23:BK24</xm:sqref>
        </x14:conditionalFormatting>
        <x14:conditionalFormatting xmlns:xm="http://schemas.microsoft.com/office/excel/2006/main">
          <x14:cfRule type="expression" priority="64" id="{7815A114-521A-4AC1-AD7C-0A5686D8B81B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5" id="{8EB31D2A-AD34-4C93-9487-AFF28B9FF535}">
            <xm:f>$D$7=parametros!$J$3</xm:f>
            <x14:dxf>
              <numFmt numFmtId="14" formatCode="0.00%"/>
            </x14:dxf>
          </x14:cfRule>
          <x14:cfRule type="expression" priority="66" id="{86D9E4D1-02B3-4F64-8128-F85D2B60848A}">
            <xm:f>$D$7=parametros!$J$2</xm:f>
            <x14:dxf>
              <numFmt numFmtId="2" formatCode="0.00"/>
            </x14:dxf>
          </x14:cfRule>
          <xm:sqref>AX28:BK29</xm:sqref>
        </x14:conditionalFormatting>
        <x14:conditionalFormatting xmlns:xm="http://schemas.microsoft.com/office/excel/2006/main">
          <x14:cfRule type="expression" priority="63" id="{FBB9B871-1062-44EB-9017-DB7344A5004C}">
            <xm:f>$D$7=parametros!$J$2</xm:f>
            <x14:dxf>
              <numFmt numFmtId="2" formatCode="0.00"/>
            </x14:dxf>
          </x14:cfRule>
          <x14:cfRule type="expression" priority="61" id="{28FD59B5-5556-40F3-A584-A492613A3709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2" id="{3F0BE2BE-A85D-4EF1-B404-ECDCCB63B290}">
            <xm:f>$D$7=parametros!$J$3</xm:f>
            <x14:dxf>
              <numFmt numFmtId="14" formatCode="0.00%"/>
            </x14:dxf>
          </x14:cfRule>
          <xm:sqref>AX33:BK34</xm:sqref>
        </x14:conditionalFormatting>
        <x14:conditionalFormatting xmlns:xm="http://schemas.microsoft.com/office/excel/2006/main">
          <x14:cfRule type="expression" priority="60" id="{9878A976-81EA-4B00-84FE-E87EB961A11B}">
            <xm:f>$D$7=parametros!$J$2</xm:f>
            <x14:dxf>
              <numFmt numFmtId="2" formatCode="0.00"/>
            </x14:dxf>
          </x14:cfRule>
          <x14:cfRule type="expression" priority="59" id="{D0F8DAD0-E756-40A7-BF21-09EAD6A60A96}">
            <xm:f>$D$7=parametros!$J$3</xm:f>
            <x14:dxf>
              <numFmt numFmtId="14" formatCode="0.00%"/>
            </x14:dxf>
          </x14:cfRule>
          <x14:cfRule type="expression" priority="58" id="{2018C110-B851-4D48-A7D3-4DD1EE40EE8C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AX38:BK39</xm:sqref>
        </x14:conditionalFormatting>
        <x14:conditionalFormatting xmlns:xm="http://schemas.microsoft.com/office/excel/2006/main">
          <x14:cfRule type="expression" priority="55" id="{E79A068B-8864-4DF0-AB0B-903A80D41E7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57" id="{F9D37041-5FB0-46B4-804B-D50380411602}">
            <xm:f>$D$7=parametros!$J$2</xm:f>
            <x14:dxf>
              <numFmt numFmtId="2" formatCode="0.00"/>
            </x14:dxf>
          </x14:cfRule>
          <x14:cfRule type="expression" priority="56" id="{A4D8614E-58A4-41CD-97BC-6B05E7EF4675}">
            <xm:f>$D$7=parametros!$J$3</xm:f>
            <x14:dxf>
              <numFmt numFmtId="14" formatCode="0.00%"/>
            </x14:dxf>
          </x14:cfRule>
          <xm:sqref>AX43:BK44</xm:sqref>
        </x14:conditionalFormatting>
        <x14:conditionalFormatting xmlns:xm="http://schemas.microsoft.com/office/excel/2006/main">
          <x14:cfRule type="expression" priority="40" id="{173F0B67-324B-403B-B88F-8E0F4AC260FE}">
            <xm:f>$D$7=parametros!$J$2</xm:f>
            <x14:dxf>
              <numFmt numFmtId="2" formatCode="0.00"/>
            </x14:dxf>
          </x14:cfRule>
          <x14:cfRule type="expression" priority="39" id="{ED8122EF-E2C9-4DDF-A596-721FCC5A6BA3}">
            <xm:f>$D$7=parametros!$J$3</xm:f>
            <x14:dxf>
              <numFmt numFmtId="14" formatCode="0.00%"/>
            </x14:dxf>
          </x14:cfRule>
          <x14:cfRule type="expression" priority="38" id="{58E47497-CD64-4681-9976-A74D0DD33C2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BM8:BZ9</xm:sqref>
        </x14:conditionalFormatting>
        <x14:conditionalFormatting xmlns:xm="http://schemas.microsoft.com/office/excel/2006/main">
          <x14:cfRule type="expression" priority="35" id="{7BFA0042-72E8-4A3D-9EA2-4C5ED13CF8A2}">
            <xm:f>$D$7=parametros!$J$2</xm:f>
            <x14:dxf>
              <numFmt numFmtId="2" formatCode="0.00"/>
            </x14:dxf>
          </x14:cfRule>
          <x14:cfRule type="expression" priority="34" id="{762EEC6A-1409-47F9-80C8-72C1CBEC624D}">
            <xm:f>$D$7=parametros!$J$3</xm:f>
            <x14:dxf>
              <numFmt numFmtId="14" formatCode="0.00%"/>
            </x14:dxf>
          </x14:cfRule>
          <x14:cfRule type="expression" priority="33" id="{D0684F74-B206-4F31-BFAD-BD3EAA163255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BM13:BZ14</xm:sqref>
        </x14:conditionalFormatting>
        <x14:conditionalFormatting xmlns:xm="http://schemas.microsoft.com/office/excel/2006/main">
          <x14:cfRule type="expression" priority="32" id="{276BD20B-7DDF-4187-944B-735F5C5690EE}">
            <xm:f>$D$7=parametros!$J$2</xm:f>
            <x14:dxf>
              <numFmt numFmtId="2" formatCode="0.00"/>
            </x14:dxf>
          </x14:cfRule>
          <x14:cfRule type="expression" priority="31" id="{DA84B483-980E-4110-9BEA-3F84C655F2E6}">
            <xm:f>$D$7=parametros!$J$3</xm:f>
            <x14:dxf>
              <numFmt numFmtId="14" formatCode="0.00%"/>
            </x14:dxf>
          </x14:cfRule>
          <x14:cfRule type="expression" priority="30" id="{9486F94B-3796-4066-8410-69B88DAA4503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BM18:BZ19</xm:sqref>
        </x14:conditionalFormatting>
        <x14:conditionalFormatting xmlns:xm="http://schemas.microsoft.com/office/excel/2006/main">
          <x14:cfRule type="expression" priority="29" id="{AACE6456-BA42-4EE1-AADF-CB9E8C0A0206}">
            <xm:f>$D$7=parametros!$J$2</xm:f>
            <x14:dxf>
              <numFmt numFmtId="2" formatCode="0.00"/>
            </x14:dxf>
          </x14:cfRule>
          <x14:cfRule type="expression" priority="28" id="{6FC254F9-037E-4EAD-974F-8EAE36940B2F}">
            <xm:f>$D$7=parametros!$J$3</xm:f>
            <x14:dxf>
              <numFmt numFmtId="14" formatCode="0.00%"/>
            </x14:dxf>
          </x14:cfRule>
          <x14:cfRule type="expression" priority="27" id="{9B66E8EC-8778-456A-946C-3AD0522A026A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BM23:BZ24</xm:sqref>
        </x14:conditionalFormatting>
        <x14:conditionalFormatting xmlns:xm="http://schemas.microsoft.com/office/excel/2006/main">
          <x14:cfRule type="expression" priority="25" id="{409E3BAD-E2A5-4B62-8407-F46952B2A6A5}">
            <xm:f>$D$7=parametros!$J$3</xm:f>
            <x14:dxf>
              <numFmt numFmtId="14" formatCode="0.00%"/>
            </x14:dxf>
          </x14:cfRule>
          <x14:cfRule type="expression" priority="24" id="{20E1E77F-EA01-4435-8415-9A663FB984FE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26" id="{24998DCF-E757-4C64-9452-62ABF6131003}">
            <xm:f>$D$7=parametros!$J$2</xm:f>
            <x14:dxf>
              <numFmt numFmtId="2" formatCode="0.00"/>
            </x14:dxf>
          </x14:cfRule>
          <xm:sqref>BM28:BZ29</xm:sqref>
        </x14:conditionalFormatting>
        <x14:conditionalFormatting xmlns:xm="http://schemas.microsoft.com/office/excel/2006/main">
          <x14:cfRule type="expression" priority="23" id="{1F594821-8257-4047-9872-C89770FD648A}">
            <xm:f>$D$7=parametros!$J$2</xm:f>
            <x14:dxf>
              <numFmt numFmtId="2" formatCode="0.00"/>
            </x14:dxf>
          </x14:cfRule>
          <x14:cfRule type="expression" priority="22" id="{17632D93-4EEE-4363-B53C-B8DE18B8F315}">
            <xm:f>$D$7=parametros!$J$3</xm:f>
            <x14:dxf>
              <numFmt numFmtId="14" formatCode="0.00%"/>
            </x14:dxf>
          </x14:cfRule>
          <x14:cfRule type="expression" priority="21" id="{CE50ED12-403E-4653-ACAC-37C31BF6A3D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BM33:BZ34</xm:sqref>
        </x14:conditionalFormatting>
        <x14:conditionalFormatting xmlns:xm="http://schemas.microsoft.com/office/excel/2006/main">
          <x14:cfRule type="expression" priority="20" id="{60A6BA69-FB13-4D37-B105-72DEDDBD09F3}">
            <xm:f>$D$7=parametros!$J$2</xm:f>
            <x14:dxf>
              <numFmt numFmtId="2" formatCode="0.00"/>
            </x14:dxf>
          </x14:cfRule>
          <x14:cfRule type="expression" priority="19" id="{13A8DACF-6418-43D8-A100-9E05B4478F54}">
            <xm:f>$D$7=parametros!$J$3</xm:f>
            <x14:dxf>
              <numFmt numFmtId="14" formatCode="0.00%"/>
            </x14:dxf>
          </x14:cfRule>
          <x14:cfRule type="expression" priority="18" id="{329FB975-6233-47A5-B4AD-9E6B699786AF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BM38:BZ39</xm:sqref>
        </x14:conditionalFormatting>
        <x14:conditionalFormatting xmlns:xm="http://schemas.microsoft.com/office/excel/2006/main">
          <x14:cfRule type="expression" priority="17" id="{0E6000FE-CE7F-4A14-B97C-9DD8FD377699}">
            <xm:f>$D$7=parametros!$J$2</xm:f>
            <x14:dxf>
              <numFmt numFmtId="2" formatCode="0.00"/>
            </x14:dxf>
          </x14:cfRule>
          <x14:cfRule type="expression" priority="16" id="{2450C40E-9FFE-4771-94DD-59FE83B96E74}">
            <xm:f>$D$7=parametros!$J$3</xm:f>
            <x14:dxf>
              <numFmt numFmtId="14" formatCode="0.00%"/>
            </x14:dxf>
          </x14:cfRule>
          <x14:cfRule type="expression" priority="15" id="{02FF8D7D-2C82-4BC3-BA6B-82BDCA51BDAD}">
            <xm:f>$D$7=parametros!$J$4</xm:f>
            <x14:dxf>
              <numFmt numFmtId="34" formatCode="_-&quot;R$&quot;\ * #,##0.00_-;\-&quot;R$&quot;\ * #,##0.00_-;_-&quot;R$&quot;\ * &quot;-&quot;??_-;_-@_-"/>
            </x14:dxf>
          </x14:cfRule>
          <xm:sqref>BM43:BZ44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2AF695-8B05-495B-B33A-B267B2012E73}">
          <x14:formula1>
            <xm:f>parametros!$J$2:$J$4</xm:f>
          </x14:formula1>
          <xm:sqref>D7 D12 D17 D22 D27 D32 D37 D42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C738-CF5B-4CF3-9886-5184F85ED4AE}">
  <sheetPr>
    <pageSetUpPr fitToPage="1"/>
  </sheetPr>
  <dimension ref="A1:AD23"/>
  <sheetViews>
    <sheetView showGridLines="0" zoomScale="107" zoomScaleNormal="107" workbookViewId="0">
      <selection activeCell="C5" sqref="C5:I8"/>
    </sheetView>
  </sheetViews>
  <sheetFormatPr defaultRowHeight="13.2" x14ac:dyDescent="0.4"/>
  <cols>
    <col min="1" max="2" width="2.21875" style="7" customWidth="1"/>
    <col min="3" max="3" width="27.21875" style="7" customWidth="1"/>
    <col min="4" max="4" width="37.33203125" style="7" customWidth="1"/>
    <col min="5" max="5" width="10.6640625" style="7" bestFit="1" customWidth="1"/>
    <col min="6" max="6" width="18.44140625" style="7" customWidth="1"/>
    <col min="7" max="7" width="43.33203125" style="7" customWidth="1"/>
    <col min="8" max="10" width="13.109375" style="7" customWidth="1"/>
    <col min="11" max="11" width="10.5546875" style="7" bestFit="1" customWidth="1"/>
    <col min="12" max="12" width="15" style="7" bestFit="1" customWidth="1"/>
    <col min="13" max="13" width="15" style="7" customWidth="1"/>
    <col min="14" max="15" width="8.88671875" style="7"/>
    <col min="16" max="16" width="9" style="7" customWidth="1"/>
    <col min="17" max="16384" width="8.88671875" style="7"/>
  </cols>
  <sheetData>
    <row r="1" spans="1:30" s="3" customFormat="1" ht="27.6" customHeight="1" x14ac:dyDescent="0.4"/>
    <row r="2" spans="1:30" s="5" customFormat="1" ht="21.6" customHeight="1" x14ac:dyDescent="0.4"/>
    <row r="3" spans="1:30" ht="4.95" customHeight="1" thickBot="1" x14ac:dyDescent="0.45"/>
    <row r="4" spans="1:30" s="104" customFormat="1" ht="22.05" customHeight="1" x14ac:dyDescent="0.4">
      <c r="A4" s="7"/>
      <c r="B4" s="7"/>
      <c r="C4" s="58" t="s">
        <v>80</v>
      </c>
      <c r="D4" s="59" t="s">
        <v>77</v>
      </c>
      <c r="E4" s="59" t="s">
        <v>81</v>
      </c>
      <c r="F4" s="59" t="s">
        <v>78</v>
      </c>
      <c r="G4" s="59" t="s">
        <v>79</v>
      </c>
      <c r="H4" s="59" t="s">
        <v>97</v>
      </c>
      <c r="I4" s="59" t="s">
        <v>99</v>
      </c>
      <c r="J4" s="59" t="s">
        <v>98</v>
      </c>
      <c r="K4" s="59" t="s">
        <v>83</v>
      </c>
      <c r="L4" s="59" t="s">
        <v>82</v>
      </c>
      <c r="M4" s="70" t="s">
        <v>134</v>
      </c>
      <c r="N4" s="60" t="s">
        <v>45</v>
      </c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</row>
    <row r="5" spans="1:30" s="104" customFormat="1" ht="22.05" customHeight="1" x14ac:dyDescent="0.4">
      <c r="A5" s="7"/>
      <c r="B5" s="7"/>
      <c r="C5" s="92"/>
      <c r="D5" s="93"/>
      <c r="E5" s="93"/>
      <c r="F5" s="93"/>
      <c r="G5" s="93"/>
      <c r="H5" s="63"/>
      <c r="I5" s="237"/>
      <c r="J5" s="73" t="str">
        <f t="shared" ref="J5:J23" si="0">IF(H5="","",WORKDAY(H5,I5,feriados))</f>
        <v/>
      </c>
      <c r="K5" s="64" t="str">
        <f>IFERROR(IF(H5="","",NETWORKDAYS.INTL(parametros!$A$2,J5,1,feriados)),"")</f>
        <v/>
      </c>
      <c r="L5" s="65" t="s">
        <v>131</v>
      </c>
      <c r="M5" s="71" t="str">
        <f ca="1">IF(J5&lt;parametros!$A$2,parametros!$L$2,IF(H5="","",IF(L5=parametros!$G$5,parametros!$L$3,IF(OR(L5=parametros!$G$3,L5=parametros!$G$4),parametros!$L$4,parametros!$L$5))))</f>
        <v/>
      </c>
      <c r="N5" s="72" t="str">
        <f>IFERROR(IF(H5="","",VLOOKUP(L5,parametros!$G$2:$H$5,2,0)),0)</f>
        <v/>
      </c>
      <c r="O5" s="105"/>
      <c r="P5" s="183"/>
      <c r="Q5" s="105"/>
      <c r="R5" s="105" t="str">
        <f>IFERROR(MONTH(J5),"")</f>
        <v/>
      </c>
      <c r="S5" s="105" t="str">
        <f>IFERROR(YEAR(J5),"")</f>
        <v/>
      </c>
      <c r="T5" s="105" t="str">
        <f>IFERROR(VLOOKUP(R5,parametros!$E$2:$F$13,2,0),"")</f>
        <v/>
      </c>
      <c r="U5" s="105" t="str">
        <f>IFERROR(VLOOKUP(S5,parametros!$B$2:$C$21,2,0),"")</f>
        <v/>
      </c>
      <c r="V5" s="105" t="str">
        <f>IF(OR(L5=parametros!$G$2,L5=parametros!$G$3,L5=parametros!$G$4),parametros!$G$3,"")</f>
        <v>Em Andamento</v>
      </c>
      <c r="W5" s="105" t="str">
        <f t="shared" ref="W5:W23" si="1">IFERROR(VLOOKUP(X5,perspectiva_financeira,2,0),"")</f>
        <v/>
      </c>
      <c r="X5" s="105" t="str">
        <f>IFERROR(_xlfn.XLOOKUP(C5,me_fin,'est1'!$B$59:$B$66),"")</f>
        <v/>
      </c>
      <c r="Y5" s="105"/>
      <c r="Z5" s="105"/>
      <c r="AA5" s="105"/>
      <c r="AB5" s="105"/>
      <c r="AC5" s="105"/>
      <c r="AD5" s="105"/>
    </row>
    <row r="6" spans="1:30" s="104" customFormat="1" ht="22.05" customHeight="1" x14ac:dyDescent="0.4">
      <c r="A6" s="7"/>
      <c r="B6" s="7"/>
      <c r="C6" s="92"/>
      <c r="D6" s="95"/>
      <c r="E6" s="95"/>
      <c r="F6" s="95"/>
      <c r="G6" s="95"/>
      <c r="H6" s="82"/>
      <c r="I6" s="238"/>
      <c r="J6" s="83" t="str">
        <f t="shared" si="0"/>
        <v/>
      </c>
      <c r="K6" s="84" t="str">
        <f>IFERROR(IF(H6="","",NETWORKDAYS.INTL(parametros!$A$2,J6,1,feriados)),"")</f>
        <v/>
      </c>
      <c r="L6" s="65"/>
      <c r="M6" s="85" t="str">
        <f ca="1">IF(J6&lt;parametros!$A$2,parametros!$L$2,IF(H6="","",IF(L6=parametros!$G$5,parametros!$L$3,IF(OR(L6=parametros!$G$3,L6=parametros!$G$4),parametros!$L$4,parametros!$L$5))))</f>
        <v/>
      </c>
      <c r="N6" s="86" t="str">
        <f>IFERROR(IF(H6="","",VLOOKUP(L6,parametros!$G$2:$H$5,2,0)),0)</f>
        <v/>
      </c>
      <c r="O6" s="105"/>
      <c r="P6" s="184"/>
      <c r="Q6" s="105"/>
      <c r="R6" s="105" t="str">
        <f t="shared" ref="R6:R23" si="2">IFERROR(MONTH(J6),"")</f>
        <v/>
      </c>
      <c r="S6" s="105" t="str">
        <f t="shared" ref="S6:S23" si="3">IFERROR(YEAR(J6),"")</f>
        <v/>
      </c>
      <c r="T6" s="105" t="str">
        <f>IFERROR(VLOOKUP(R6,parametros!$E$2:$F$13,2,0),"")</f>
        <v/>
      </c>
      <c r="U6" s="105" t="str">
        <f>IFERROR(VLOOKUP(S6,parametros!$B$2:$C$21,2,0),"")</f>
        <v/>
      </c>
      <c r="V6" s="105" t="str">
        <f>IF(OR(L6=parametros!$G$2,L6=parametros!$G$3,L6=parametros!$G$4),parametros!$G$3,"")</f>
        <v/>
      </c>
      <c r="W6" s="105" t="str">
        <f t="shared" si="1"/>
        <v/>
      </c>
      <c r="X6" s="105" t="str">
        <f>IFERROR(_xlfn.XLOOKUP(C6,me_fin,'est1'!$B$59:$B$66),"")</f>
        <v/>
      </c>
      <c r="Y6" s="105"/>
      <c r="Z6" s="105"/>
      <c r="AA6" s="105"/>
      <c r="AB6" s="105"/>
      <c r="AC6" s="105"/>
      <c r="AD6" s="105"/>
    </row>
    <row r="7" spans="1:30" s="104" customFormat="1" ht="22.05" customHeight="1" x14ac:dyDescent="0.4">
      <c r="A7" s="7"/>
      <c r="B7" s="7"/>
      <c r="C7" s="92"/>
      <c r="D7" s="95"/>
      <c r="E7" s="95"/>
      <c r="F7" s="95"/>
      <c r="G7" s="95"/>
      <c r="H7" s="82"/>
      <c r="I7" s="238"/>
      <c r="J7" s="83" t="str">
        <f t="shared" si="0"/>
        <v/>
      </c>
      <c r="K7" s="84" t="str">
        <f>IFERROR(IF(H7="","",NETWORKDAYS.INTL(parametros!$A$2,J7,1,feriados)),"")</f>
        <v/>
      </c>
      <c r="L7" s="65"/>
      <c r="M7" s="85" t="str">
        <f ca="1">IF(J7&lt;parametros!$A$2,parametros!$L$2,IF(H7="","",IF(L7=parametros!$G$5,parametros!$L$3,IF(OR(L7=parametros!$G$3,L7=parametros!$G$4),parametros!$L$4,parametros!$L$5))))</f>
        <v/>
      </c>
      <c r="N7" s="86" t="str">
        <f>IFERROR(IF(H7="","",VLOOKUP(L7,parametros!$G$2:$H$5,2,0)),0)</f>
        <v/>
      </c>
      <c r="O7" s="105"/>
      <c r="P7" s="105"/>
      <c r="Q7" s="105"/>
      <c r="R7" s="105" t="str">
        <f t="shared" si="2"/>
        <v/>
      </c>
      <c r="S7" s="105" t="str">
        <f t="shared" si="3"/>
        <v/>
      </c>
      <c r="T7" s="105" t="str">
        <f>IFERROR(VLOOKUP(R7,parametros!$E$2:$F$13,2,0),"")</f>
        <v/>
      </c>
      <c r="U7" s="105" t="str">
        <f>IFERROR(VLOOKUP(S7,parametros!$B$2:$C$21,2,0),"")</f>
        <v/>
      </c>
      <c r="V7" s="105" t="str">
        <f>IF(OR(L7=parametros!$G$2,L7=parametros!$G$3,L7=parametros!$G$4),parametros!$G$3,"")</f>
        <v/>
      </c>
      <c r="W7" s="105" t="str">
        <f t="shared" si="1"/>
        <v/>
      </c>
      <c r="X7" s="105" t="str">
        <f>IFERROR(_xlfn.XLOOKUP(C7,me_fin,'est1'!$B$59:$B$66),"")</f>
        <v/>
      </c>
      <c r="Y7" s="105"/>
      <c r="Z7" s="105"/>
      <c r="AA7" s="105"/>
      <c r="AB7" s="105"/>
      <c r="AC7" s="105"/>
      <c r="AD7" s="105"/>
    </row>
    <row r="8" spans="1:30" s="104" customFormat="1" ht="22.05" customHeight="1" x14ac:dyDescent="0.4">
      <c r="A8" s="7"/>
      <c r="B8" s="7"/>
      <c r="C8" s="92"/>
      <c r="D8" s="95"/>
      <c r="E8" s="95"/>
      <c r="F8" s="95"/>
      <c r="G8" s="95"/>
      <c r="H8" s="82"/>
      <c r="I8" s="238"/>
      <c r="J8" s="83" t="str">
        <f t="shared" si="0"/>
        <v/>
      </c>
      <c r="K8" s="84" t="str">
        <f>IFERROR(IF(H8="","",NETWORKDAYS.INTL(parametros!$A$2,J8,1,feriados)),"")</f>
        <v/>
      </c>
      <c r="L8" s="80"/>
      <c r="M8" s="85" t="str">
        <f ca="1">IF(J8&lt;parametros!$A$2,parametros!$L$2,IF(H8="","",IF(L8=parametros!$G$5,parametros!$L$3,IF(OR(L8=parametros!$G$3,L8=parametros!$G$4),parametros!$L$4,parametros!$L$5))))</f>
        <v/>
      </c>
      <c r="N8" s="86" t="str">
        <f>IFERROR(IF(H8="","",VLOOKUP(L8,parametros!$G$2:$H$5,2,0)),0)</f>
        <v/>
      </c>
      <c r="O8" s="105"/>
      <c r="P8" s="105"/>
      <c r="Q8" s="105"/>
      <c r="R8" s="105" t="str">
        <f t="shared" si="2"/>
        <v/>
      </c>
      <c r="S8" s="105" t="str">
        <f t="shared" si="3"/>
        <v/>
      </c>
      <c r="T8" s="105" t="str">
        <f>IFERROR(VLOOKUP(R8,parametros!$E$2:$F$13,2,0),"")</f>
        <v/>
      </c>
      <c r="U8" s="105" t="str">
        <f>IFERROR(VLOOKUP(S8,parametros!$B$2:$C$21,2,0),"")</f>
        <v/>
      </c>
      <c r="V8" s="105" t="str">
        <f>IF(OR(L8=parametros!$G$2,L8=parametros!$G$3,L8=parametros!$G$4),parametros!$G$3,"")</f>
        <v/>
      </c>
      <c r="W8" s="105" t="str">
        <f t="shared" si="1"/>
        <v/>
      </c>
      <c r="X8" s="105" t="str">
        <f>IFERROR(_xlfn.XLOOKUP(C8,me_fin,'est1'!$B$59:$B$66),"")</f>
        <v/>
      </c>
      <c r="Y8" s="105"/>
      <c r="Z8" s="105"/>
      <c r="AA8" s="105"/>
      <c r="AB8" s="105"/>
      <c r="AC8" s="105"/>
      <c r="AD8" s="105"/>
    </row>
    <row r="9" spans="1:30" s="104" customFormat="1" ht="22.05" customHeight="1" x14ac:dyDescent="0.4">
      <c r="A9" s="7"/>
      <c r="B9" s="7"/>
      <c r="C9" s="92"/>
      <c r="D9" s="95"/>
      <c r="E9" s="95"/>
      <c r="F9" s="95"/>
      <c r="G9" s="95"/>
      <c r="H9" s="82"/>
      <c r="I9" s="238"/>
      <c r="J9" s="83" t="str">
        <f t="shared" si="0"/>
        <v/>
      </c>
      <c r="K9" s="84" t="str">
        <f>IFERROR(IF(H9="","",NETWORKDAYS.INTL(parametros!$A$2,J9,1,feriados)),"")</f>
        <v/>
      </c>
      <c r="L9" s="80"/>
      <c r="M9" s="85" t="str">
        <f ca="1">IF(J9&lt;parametros!$A$2,parametros!$L$2,IF(H9="","",IF(L9=parametros!$G$5,parametros!$L$3,IF(OR(L9=parametros!$G$3,L9=parametros!$G$4),parametros!$L$4,parametros!$L$5))))</f>
        <v/>
      </c>
      <c r="N9" s="86" t="str">
        <f>IFERROR(IF(H9="","",VLOOKUP(L9,parametros!$G$2:$H$5,2,0)),0)</f>
        <v/>
      </c>
      <c r="O9" s="105"/>
      <c r="P9" s="105"/>
      <c r="Q9" s="105"/>
      <c r="R9" s="105" t="str">
        <f t="shared" si="2"/>
        <v/>
      </c>
      <c r="S9" s="105" t="str">
        <f t="shared" si="3"/>
        <v/>
      </c>
      <c r="T9" s="105" t="str">
        <f>IFERROR(VLOOKUP(R9,parametros!$E$2:$F$13,2,0),"")</f>
        <v/>
      </c>
      <c r="U9" s="105" t="str">
        <f>IFERROR(VLOOKUP(S9,parametros!$B$2:$C$21,2,0),"")</f>
        <v/>
      </c>
      <c r="V9" s="105" t="str">
        <f>IF(OR(L9=parametros!$G$2,L9=parametros!$G$3,L9=parametros!$G$4),parametros!$G$3,"")</f>
        <v/>
      </c>
      <c r="W9" s="105" t="str">
        <f t="shared" si="1"/>
        <v/>
      </c>
      <c r="X9" s="105" t="str">
        <f>IFERROR(_xlfn.XLOOKUP(C9,me_fin,'est1'!$B$59:$B$66),"")</f>
        <v/>
      </c>
      <c r="Y9" s="105"/>
      <c r="Z9" s="105"/>
      <c r="AA9" s="105"/>
      <c r="AB9" s="105"/>
      <c r="AC9" s="105"/>
      <c r="AD9" s="105"/>
    </row>
    <row r="10" spans="1:30" s="104" customFormat="1" ht="22.05" customHeight="1" x14ac:dyDescent="0.4">
      <c r="A10" s="7"/>
      <c r="B10" s="7"/>
      <c r="C10" s="92"/>
      <c r="D10" s="95"/>
      <c r="E10" s="95"/>
      <c r="F10" s="95"/>
      <c r="G10" s="95"/>
      <c r="H10" s="82"/>
      <c r="I10" s="238"/>
      <c r="J10" s="83" t="str">
        <f t="shared" si="0"/>
        <v/>
      </c>
      <c r="K10" s="84" t="str">
        <f>IFERROR(IF(H10="","",NETWORKDAYS.INTL(parametros!$A$2,J10,1,feriados)),"")</f>
        <v/>
      </c>
      <c r="L10" s="80"/>
      <c r="M10" s="85" t="str">
        <f ca="1">IF(J10&lt;parametros!$A$2,parametros!$L$2,IF(H10="","",IF(L10=parametros!$G$5,parametros!$L$3,IF(OR(L10=parametros!$G$3,L10=parametros!$G$4),parametros!$L$4,parametros!$L$5))))</f>
        <v/>
      </c>
      <c r="N10" s="86" t="str">
        <f>IFERROR(IF(H10="","",VLOOKUP(L10,parametros!$G$2:$H$5,2,0)),0)</f>
        <v/>
      </c>
      <c r="O10" s="105"/>
      <c r="P10" s="105"/>
      <c r="Q10" s="105"/>
      <c r="R10" s="105" t="str">
        <f t="shared" si="2"/>
        <v/>
      </c>
      <c r="S10" s="105" t="str">
        <f t="shared" si="3"/>
        <v/>
      </c>
      <c r="T10" s="105" t="str">
        <f>IFERROR(VLOOKUP(R10,parametros!$E$2:$F$13,2,0),"")</f>
        <v/>
      </c>
      <c r="U10" s="105" t="str">
        <f>IFERROR(VLOOKUP(S10,parametros!$B$2:$C$21,2,0),"")</f>
        <v/>
      </c>
      <c r="V10" s="105" t="str">
        <f>IF(OR(L10=parametros!$G$2,L10=parametros!$G$3,L10=parametros!$G$4),parametros!$G$3,"")</f>
        <v/>
      </c>
      <c r="W10" s="105" t="str">
        <f t="shared" si="1"/>
        <v/>
      </c>
      <c r="X10" s="105" t="str">
        <f>IFERROR(_xlfn.XLOOKUP(C10,me_fin,'est1'!$B$59:$B$66),"")</f>
        <v/>
      </c>
      <c r="Y10" s="105"/>
      <c r="Z10" s="105"/>
      <c r="AA10" s="105"/>
      <c r="AB10" s="105"/>
      <c r="AC10" s="105"/>
      <c r="AD10" s="105"/>
    </row>
    <row r="11" spans="1:30" s="104" customFormat="1" ht="22.05" customHeight="1" x14ac:dyDescent="0.4">
      <c r="A11" s="7"/>
      <c r="B11" s="7"/>
      <c r="C11" s="94"/>
      <c r="D11" s="95"/>
      <c r="E11" s="95"/>
      <c r="F11" s="95"/>
      <c r="G11" s="95"/>
      <c r="H11" s="82"/>
      <c r="I11" s="238"/>
      <c r="J11" s="83" t="str">
        <f t="shared" si="0"/>
        <v/>
      </c>
      <c r="K11" s="84" t="str">
        <f>IFERROR(IF(H11="","",NETWORKDAYS.INTL(parametros!$A$2,J11,1,feriados)),"")</f>
        <v/>
      </c>
      <c r="L11" s="80"/>
      <c r="M11" s="85" t="str">
        <f ca="1">IF(J11&lt;parametros!$A$2,parametros!$L$2,IF(H11="","",IF(L11=parametros!$G$5,parametros!$L$3,IF(OR(L11=parametros!$G$3,L11=parametros!$G$4),parametros!$L$4,parametros!$L$5))))</f>
        <v/>
      </c>
      <c r="N11" s="86" t="str">
        <f>IFERROR(IF(H11="","",VLOOKUP(L11,parametros!$G$2:$H$5,2,0)),0)</f>
        <v/>
      </c>
      <c r="O11" s="105"/>
      <c r="P11" s="105"/>
      <c r="Q11" s="105"/>
      <c r="R11" s="105" t="str">
        <f t="shared" si="2"/>
        <v/>
      </c>
      <c r="S11" s="105" t="str">
        <f t="shared" si="3"/>
        <v/>
      </c>
      <c r="T11" s="105" t="str">
        <f>IFERROR(VLOOKUP(R11,parametros!$E$2:$F$13,2,0),"")</f>
        <v/>
      </c>
      <c r="U11" s="105" t="str">
        <f>IFERROR(VLOOKUP(S11,parametros!$B$2:$C$21,2,0),"")</f>
        <v/>
      </c>
      <c r="V11" s="105" t="str">
        <f>IF(OR(L11=parametros!$G$2,L11=parametros!$G$3,L11=parametros!$G$4),parametros!$G$3,"")</f>
        <v/>
      </c>
      <c r="W11" s="105" t="str">
        <f t="shared" si="1"/>
        <v/>
      </c>
      <c r="X11" s="105" t="str">
        <f>IFERROR(_xlfn.XLOOKUP(C11,me_fin,'est1'!$B$59:$B$66),"")</f>
        <v/>
      </c>
      <c r="Y11" s="105"/>
      <c r="Z11" s="105"/>
      <c r="AA11" s="105"/>
      <c r="AB11" s="105"/>
      <c r="AC11" s="105"/>
      <c r="AD11" s="105"/>
    </row>
    <row r="12" spans="1:30" s="104" customFormat="1" ht="22.05" customHeight="1" x14ac:dyDescent="0.4">
      <c r="A12" s="7"/>
      <c r="B12" s="7"/>
      <c r="C12" s="94"/>
      <c r="D12" s="95"/>
      <c r="E12" s="95"/>
      <c r="F12" s="95"/>
      <c r="G12" s="95"/>
      <c r="H12" s="82"/>
      <c r="I12" s="238"/>
      <c r="J12" s="83" t="str">
        <f t="shared" si="0"/>
        <v/>
      </c>
      <c r="K12" s="84" t="str">
        <f>IFERROR(IF(H12="","",NETWORKDAYS.INTL(parametros!$A$2,J12,1,feriados)),"")</f>
        <v/>
      </c>
      <c r="L12" s="80"/>
      <c r="M12" s="85" t="str">
        <f ca="1">IF(J12&lt;parametros!$A$2,parametros!$L$2,IF(H12="","",IF(L12=parametros!$G$5,parametros!$L$3,IF(OR(L12=parametros!$G$3,L12=parametros!$G$4),parametros!$L$4,parametros!$L$5))))</f>
        <v/>
      </c>
      <c r="N12" s="86" t="str">
        <f>IFERROR(IF(H12="","",VLOOKUP(L12,parametros!$G$2:$H$5,2,0)),0)</f>
        <v/>
      </c>
      <c r="O12" s="105"/>
      <c r="P12" s="105"/>
      <c r="Q12" s="105"/>
      <c r="R12" s="105" t="str">
        <f t="shared" si="2"/>
        <v/>
      </c>
      <c r="S12" s="105" t="str">
        <f t="shared" si="3"/>
        <v/>
      </c>
      <c r="T12" s="105" t="str">
        <f>IFERROR(VLOOKUP(R12,parametros!$E$2:$F$13,2,0),"")</f>
        <v/>
      </c>
      <c r="U12" s="105" t="str">
        <f>IFERROR(VLOOKUP(S12,parametros!$B$2:$C$21,2,0),"")</f>
        <v/>
      </c>
      <c r="V12" s="105" t="str">
        <f>IF(OR(L12=parametros!$G$2,L12=parametros!$G$3,L12=parametros!$G$4),parametros!$G$3,"")</f>
        <v/>
      </c>
      <c r="W12" s="105" t="str">
        <f t="shared" si="1"/>
        <v/>
      </c>
      <c r="X12" s="105" t="str">
        <f>IFERROR(_xlfn.XLOOKUP(C12,me_fin,'est1'!$B$59:$B$66),"")</f>
        <v/>
      </c>
      <c r="Y12" s="105"/>
      <c r="Z12" s="105"/>
      <c r="AA12" s="105"/>
      <c r="AB12" s="105"/>
      <c r="AC12" s="105"/>
      <c r="AD12" s="105"/>
    </row>
    <row r="13" spans="1:30" s="104" customFormat="1" ht="22.05" customHeight="1" x14ac:dyDescent="0.4">
      <c r="A13" s="7"/>
      <c r="B13" s="7"/>
      <c r="C13" s="94"/>
      <c r="D13" s="95"/>
      <c r="E13" s="95"/>
      <c r="F13" s="95"/>
      <c r="G13" s="95"/>
      <c r="H13" s="82"/>
      <c r="I13" s="238"/>
      <c r="J13" s="83" t="str">
        <f t="shared" si="0"/>
        <v/>
      </c>
      <c r="K13" s="84" t="str">
        <f>IFERROR(IF(H13="","",NETWORKDAYS.INTL(parametros!$A$2,J13,1,feriados)),"")</f>
        <v/>
      </c>
      <c r="L13" s="80"/>
      <c r="M13" s="85" t="str">
        <f ca="1">IF(J13&lt;parametros!$A$2,parametros!$L$2,IF(H13="","",IF(L13=parametros!$G$5,parametros!$L$3,IF(OR(L13=parametros!$G$3,L13=parametros!$G$4),parametros!$L$4,parametros!$L$5))))</f>
        <v/>
      </c>
      <c r="N13" s="86" t="str">
        <f>IFERROR(IF(H13="","",VLOOKUP(L13,parametros!$G$2:$H$5,2,0)),0)</f>
        <v/>
      </c>
      <c r="O13" s="105"/>
      <c r="P13" s="105"/>
      <c r="Q13" s="105"/>
      <c r="R13" s="105" t="str">
        <f t="shared" si="2"/>
        <v/>
      </c>
      <c r="S13" s="105" t="str">
        <f t="shared" si="3"/>
        <v/>
      </c>
      <c r="T13" s="105" t="str">
        <f>IFERROR(VLOOKUP(R13,parametros!$E$2:$F$13,2,0),"")</f>
        <v/>
      </c>
      <c r="U13" s="105" t="str">
        <f>IFERROR(VLOOKUP(S13,parametros!$B$2:$C$21,2,0),"")</f>
        <v/>
      </c>
      <c r="V13" s="105" t="str">
        <f>IF(OR(L13=parametros!$G$2,L13=parametros!$G$3,L13=parametros!$G$4),parametros!$G$3,"")</f>
        <v/>
      </c>
      <c r="W13" s="105" t="str">
        <f t="shared" si="1"/>
        <v/>
      </c>
      <c r="X13" s="105" t="str">
        <f>IFERROR(_xlfn.XLOOKUP(C13,me_fin,'est1'!$B$59:$B$66),"")</f>
        <v/>
      </c>
      <c r="Y13" s="105"/>
      <c r="Z13" s="105"/>
      <c r="AA13" s="105"/>
      <c r="AB13" s="105"/>
      <c r="AC13" s="105"/>
      <c r="AD13" s="105"/>
    </row>
    <row r="14" spans="1:30" s="104" customFormat="1" ht="22.05" customHeight="1" x14ac:dyDescent="0.4">
      <c r="A14" s="7"/>
      <c r="B14" s="7"/>
      <c r="C14" s="94"/>
      <c r="D14" s="95"/>
      <c r="E14" s="95"/>
      <c r="F14" s="95"/>
      <c r="G14" s="95"/>
      <c r="H14" s="82"/>
      <c r="I14" s="238"/>
      <c r="J14" s="83" t="str">
        <f t="shared" si="0"/>
        <v/>
      </c>
      <c r="K14" s="84" t="str">
        <f>IFERROR(IF(H14="","",NETWORKDAYS.INTL(parametros!$A$2,J14,1,feriados)),"")</f>
        <v/>
      </c>
      <c r="L14" s="80"/>
      <c r="M14" s="85" t="str">
        <f ca="1">IF(J14&lt;parametros!$A$2,parametros!$L$2,IF(H14="","",IF(L14=parametros!$G$5,parametros!$L$3,IF(OR(L14=parametros!$G$3,L14=parametros!$G$4),parametros!$L$4,parametros!$L$5))))</f>
        <v/>
      </c>
      <c r="N14" s="86" t="str">
        <f>IFERROR(IF(H14="","",VLOOKUP(L14,parametros!$G$2:$H$5,2,0)),0)</f>
        <v/>
      </c>
      <c r="O14" s="105"/>
      <c r="P14" s="105"/>
      <c r="Q14" s="105"/>
      <c r="R14" s="105" t="str">
        <f t="shared" si="2"/>
        <v/>
      </c>
      <c r="S14" s="105" t="str">
        <f t="shared" si="3"/>
        <v/>
      </c>
      <c r="T14" s="105" t="str">
        <f>IFERROR(VLOOKUP(R14,parametros!$E$2:$F$13,2,0),"")</f>
        <v/>
      </c>
      <c r="U14" s="105" t="str">
        <f>IFERROR(VLOOKUP(S14,parametros!$B$2:$C$21,2,0),"")</f>
        <v/>
      </c>
      <c r="V14" s="105" t="str">
        <f>IF(OR(L14=parametros!$G$2,L14=parametros!$G$3,L14=parametros!$G$4),parametros!$G$3,"")</f>
        <v/>
      </c>
      <c r="W14" s="105" t="str">
        <f t="shared" si="1"/>
        <v/>
      </c>
      <c r="X14" s="105" t="str">
        <f>IFERROR(_xlfn.XLOOKUP(C14,me_fin,'est1'!$B$59:$B$66),"")</f>
        <v/>
      </c>
      <c r="Y14" s="105"/>
      <c r="Z14" s="105"/>
      <c r="AA14" s="105"/>
      <c r="AB14" s="105"/>
      <c r="AC14" s="105"/>
      <c r="AD14" s="105"/>
    </row>
    <row r="15" spans="1:30" s="104" customFormat="1" ht="22.05" customHeight="1" x14ac:dyDescent="0.4">
      <c r="A15" s="7"/>
      <c r="B15" s="7"/>
      <c r="C15" s="94"/>
      <c r="D15" s="95"/>
      <c r="E15" s="95"/>
      <c r="F15" s="95"/>
      <c r="G15" s="95"/>
      <c r="H15" s="82"/>
      <c r="I15" s="238"/>
      <c r="J15" s="83" t="str">
        <f t="shared" si="0"/>
        <v/>
      </c>
      <c r="K15" s="84" t="str">
        <f>IFERROR(IF(H15="","",NETWORKDAYS.INTL(parametros!$A$2,J15,1,feriados)),"")</f>
        <v/>
      </c>
      <c r="L15" s="80"/>
      <c r="M15" s="85" t="str">
        <f ca="1">IF(J15&lt;parametros!$A$2,parametros!$L$2,IF(H15="","",IF(L15=parametros!$G$5,parametros!$L$3,IF(OR(L15=parametros!$G$3,L15=parametros!$G$4),parametros!$L$4,parametros!$L$5))))</f>
        <v/>
      </c>
      <c r="N15" s="86" t="str">
        <f>IFERROR(IF(H15="","",VLOOKUP(L15,parametros!$G$2:$H$5,2,0)),0)</f>
        <v/>
      </c>
      <c r="O15" s="105"/>
      <c r="P15" s="105"/>
      <c r="Q15" s="105"/>
      <c r="R15" s="105" t="str">
        <f t="shared" si="2"/>
        <v/>
      </c>
      <c r="S15" s="105" t="str">
        <f t="shared" si="3"/>
        <v/>
      </c>
      <c r="T15" s="105" t="str">
        <f>IFERROR(VLOOKUP(R15,parametros!$E$2:$F$13,2,0),"")</f>
        <v/>
      </c>
      <c r="U15" s="105" t="str">
        <f>IFERROR(VLOOKUP(S15,parametros!$B$2:$C$21,2,0),"")</f>
        <v/>
      </c>
      <c r="V15" s="105" t="str">
        <f>IF(OR(L15=parametros!$G$2,L15=parametros!$G$3,L15=parametros!$G$4),parametros!$G$3,"")</f>
        <v/>
      </c>
      <c r="W15" s="105" t="str">
        <f t="shared" si="1"/>
        <v/>
      </c>
      <c r="X15" s="105" t="str">
        <f>IFERROR(_xlfn.XLOOKUP(C15,me_fin,'est1'!$B$59:$B$66),"")</f>
        <v/>
      </c>
      <c r="Y15" s="105"/>
      <c r="Z15" s="105"/>
      <c r="AA15" s="105"/>
      <c r="AB15" s="105"/>
      <c r="AC15" s="105"/>
      <c r="AD15" s="105"/>
    </row>
    <row r="16" spans="1:30" s="104" customFormat="1" ht="22.05" customHeight="1" x14ac:dyDescent="0.4">
      <c r="A16" s="7"/>
      <c r="B16" s="7"/>
      <c r="C16" s="94"/>
      <c r="D16" s="95"/>
      <c r="E16" s="95"/>
      <c r="F16" s="95"/>
      <c r="G16" s="95"/>
      <c r="H16" s="82"/>
      <c r="I16" s="238"/>
      <c r="J16" s="83" t="str">
        <f t="shared" si="0"/>
        <v/>
      </c>
      <c r="K16" s="84" t="str">
        <f>IFERROR(IF(H16="","",NETWORKDAYS.INTL(parametros!$A$2,J16,1,feriados)),"")</f>
        <v/>
      </c>
      <c r="L16" s="80"/>
      <c r="M16" s="85" t="str">
        <f ca="1">IF(J16&lt;parametros!$A$2,parametros!$L$2,IF(H16="","",IF(L16=parametros!$G$5,parametros!$L$3,IF(OR(L16=parametros!$G$3,L16=parametros!$G$4),parametros!$L$4,parametros!$L$5))))</f>
        <v/>
      </c>
      <c r="N16" s="86" t="str">
        <f>IFERROR(IF(H16="","",VLOOKUP(L16,parametros!$G$2:$H$5,2,0)),0)</f>
        <v/>
      </c>
      <c r="O16" s="105"/>
      <c r="P16" s="105"/>
      <c r="Q16" s="105"/>
      <c r="R16" s="105" t="str">
        <f t="shared" si="2"/>
        <v/>
      </c>
      <c r="S16" s="105" t="str">
        <f t="shared" si="3"/>
        <v/>
      </c>
      <c r="T16" s="105" t="str">
        <f>IFERROR(VLOOKUP(R16,parametros!$E$2:$F$13,2,0),"")</f>
        <v/>
      </c>
      <c r="U16" s="105" t="str">
        <f>IFERROR(VLOOKUP(S16,parametros!$B$2:$C$21,2,0),"")</f>
        <v/>
      </c>
      <c r="V16" s="105" t="str">
        <f>IF(OR(L16=parametros!$G$2,L16=parametros!$G$3,L16=parametros!$G$4),parametros!$G$3,"")</f>
        <v/>
      </c>
      <c r="W16" s="105" t="str">
        <f t="shared" si="1"/>
        <v/>
      </c>
      <c r="X16" s="105" t="str">
        <f>IFERROR(_xlfn.XLOOKUP(C16,me_fin,'est1'!$B$59:$B$66),"")</f>
        <v/>
      </c>
      <c r="Y16" s="105"/>
      <c r="Z16" s="105"/>
      <c r="AA16" s="105"/>
      <c r="AB16" s="105"/>
      <c r="AC16" s="105"/>
      <c r="AD16" s="105"/>
    </row>
    <row r="17" spans="1:30" s="104" customFormat="1" ht="22.05" customHeight="1" x14ac:dyDescent="0.4">
      <c r="A17" s="7"/>
      <c r="B17" s="7"/>
      <c r="C17" s="94"/>
      <c r="D17" s="95"/>
      <c r="E17" s="95"/>
      <c r="F17" s="95"/>
      <c r="G17" s="95"/>
      <c r="H17" s="82"/>
      <c r="I17" s="238"/>
      <c r="J17" s="83" t="str">
        <f t="shared" si="0"/>
        <v/>
      </c>
      <c r="K17" s="84" t="str">
        <f>IFERROR(IF(H17="","",NETWORKDAYS.INTL(parametros!$A$2,J17,1,feriados)),"")</f>
        <v/>
      </c>
      <c r="L17" s="80"/>
      <c r="M17" s="85" t="str">
        <f ca="1">IF(J17&lt;parametros!$A$2,parametros!$L$2,IF(H17="","",IF(L17=parametros!$G$5,parametros!$L$3,IF(OR(L17=parametros!$G$3,L17=parametros!$G$4),parametros!$L$4,parametros!$L$5))))</f>
        <v/>
      </c>
      <c r="N17" s="86" t="str">
        <f>IFERROR(IF(H17="","",VLOOKUP(L17,parametros!$G$2:$H$5,2,0)),0)</f>
        <v/>
      </c>
      <c r="O17" s="105"/>
      <c r="P17" s="105"/>
      <c r="Q17" s="105"/>
      <c r="R17" s="105" t="str">
        <f t="shared" si="2"/>
        <v/>
      </c>
      <c r="S17" s="105" t="str">
        <f t="shared" si="3"/>
        <v/>
      </c>
      <c r="T17" s="105" t="str">
        <f>IFERROR(VLOOKUP(R17,parametros!$E$2:$F$13,2,0),"")</f>
        <v/>
      </c>
      <c r="U17" s="105" t="str">
        <f>IFERROR(VLOOKUP(S17,parametros!$B$2:$C$21,2,0),"")</f>
        <v/>
      </c>
      <c r="V17" s="105" t="str">
        <f>IF(OR(L17=parametros!$G$2,L17=parametros!$G$3,L17=parametros!$G$4),parametros!$G$3,"")</f>
        <v/>
      </c>
      <c r="W17" s="105" t="str">
        <f t="shared" si="1"/>
        <v/>
      </c>
      <c r="X17" s="105" t="str">
        <f>IFERROR(_xlfn.XLOOKUP(C17,me_fin,'est1'!$B$59:$B$66),"")</f>
        <v/>
      </c>
      <c r="Y17" s="105"/>
      <c r="Z17" s="105"/>
      <c r="AA17" s="105"/>
      <c r="AB17" s="105"/>
      <c r="AC17" s="105"/>
      <c r="AD17" s="105"/>
    </row>
    <row r="18" spans="1:30" s="104" customFormat="1" ht="22.05" customHeight="1" x14ac:dyDescent="0.4">
      <c r="A18" s="7"/>
      <c r="B18" s="7"/>
      <c r="C18" s="94"/>
      <c r="D18" s="95"/>
      <c r="E18" s="95"/>
      <c r="F18" s="95"/>
      <c r="G18" s="95"/>
      <c r="H18" s="82"/>
      <c r="I18" s="238"/>
      <c r="J18" s="83" t="str">
        <f t="shared" si="0"/>
        <v/>
      </c>
      <c r="K18" s="84" t="str">
        <f>IFERROR(IF(H18="","",NETWORKDAYS.INTL(parametros!$A$2,J18,1,feriados)),"")</f>
        <v/>
      </c>
      <c r="L18" s="80"/>
      <c r="M18" s="85" t="str">
        <f ca="1">IF(J18&lt;parametros!$A$2,parametros!$L$2,IF(H18="","",IF(L18=parametros!$G$5,parametros!$L$3,IF(OR(L18=parametros!$G$3,L18=parametros!$G$4),parametros!$L$4,parametros!$L$5))))</f>
        <v/>
      </c>
      <c r="N18" s="86" t="str">
        <f>IFERROR(IF(H18="","",VLOOKUP(L18,parametros!$G$2:$H$5,2,0)),0)</f>
        <v/>
      </c>
      <c r="O18" s="105"/>
      <c r="P18" s="105"/>
      <c r="Q18" s="105"/>
      <c r="R18" s="105" t="str">
        <f t="shared" si="2"/>
        <v/>
      </c>
      <c r="S18" s="105" t="str">
        <f t="shared" si="3"/>
        <v/>
      </c>
      <c r="T18" s="105" t="str">
        <f>IFERROR(VLOOKUP(R18,parametros!$E$2:$F$13,2,0),"")</f>
        <v/>
      </c>
      <c r="U18" s="105" t="str">
        <f>IFERROR(VLOOKUP(S18,parametros!$B$2:$C$21,2,0),"")</f>
        <v/>
      </c>
      <c r="V18" s="105" t="str">
        <f>IF(OR(L18=parametros!$G$2,L18=parametros!$G$3,L18=parametros!$G$4),parametros!$G$3,"")</f>
        <v/>
      </c>
      <c r="W18" s="105" t="str">
        <f t="shared" si="1"/>
        <v/>
      </c>
      <c r="X18" s="105" t="str">
        <f>IFERROR(_xlfn.XLOOKUP(C18,me_fin,'est1'!$B$59:$B$66),"")</f>
        <v/>
      </c>
      <c r="Y18" s="105"/>
      <c r="Z18" s="105"/>
      <c r="AA18" s="105"/>
      <c r="AB18" s="105"/>
      <c r="AC18" s="105"/>
      <c r="AD18" s="105"/>
    </row>
    <row r="19" spans="1:30" s="104" customFormat="1" ht="22.05" customHeight="1" x14ac:dyDescent="0.4">
      <c r="A19" s="7"/>
      <c r="B19" s="7"/>
      <c r="C19" s="94"/>
      <c r="D19" s="95"/>
      <c r="E19" s="95"/>
      <c r="F19" s="95"/>
      <c r="G19" s="95"/>
      <c r="H19" s="82"/>
      <c r="I19" s="238"/>
      <c r="J19" s="83" t="str">
        <f t="shared" si="0"/>
        <v/>
      </c>
      <c r="K19" s="84" t="str">
        <f>IFERROR(IF(H19="","",NETWORKDAYS.INTL(parametros!$A$2,J19,1,feriados)),"")</f>
        <v/>
      </c>
      <c r="L19" s="80"/>
      <c r="M19" s="85" t="str">
        <f ca="1">IF(J19&lt;parametros!$A$2,parametros!$L$2,IF(H19="","",IF(L19=parametros!$G$5,parametros!$L$3,IF(OR(L19=parametros!$G$3,L19=parametros!$G$4),parametros!$L$4,parametros!$L$5))))</f>
        <v/>
      </c>
      <c r="N19" s="86" t="str">
        <f>IFERROR(IF(H19="","",VLOOKUP(L19,parametros!$G$2:$H$5,2,0)),0)</f>
        <v/>
      </c>
      <c r="O19" s="105"/>
      <c r="P19" s="105"/>
      <c r="Q19" s="105"/>
      <c r="R19" s="105" t="str">
        <f t="shared" si="2"/>
        <v/>
      </c>
      <c r="S19" s="105" t="str">
        <f t="shared" si="3"/>
        <v/>
      </c>
      <c r="T19" s="105" t="str">
        <f>IFERROR(VLOOKUP(R19,parametros!$E$2:$F$13,2,0),"")</f>
        <v/>
      </c>
      <c r="U19" s="105" t="str">
        <f>IFERROR(VLOOKUP(S19,parametros!$B$2:$C$21,2,0),"")</f>
        <v/>
      </c>
      <c r="V19" s="105" t="str">
        <f>IF(OR(L19=parametros!$G$2,L19=parametros!$G$3,L19=parametros!$G$4),parametros!$G$3,"")</f>
        <v/>
      </c>
      <c r="W19" s="105" t="str">
        <f t="shared" si="1"/>
        <v/>
      </c>
      <c r="X19" s="105" t="str">
        <f>IFERROR(_xlfn.XLOOKUP(C19,me_fin,'est1'!$B$59:$B$66),"")</f>
        <v/>
      </c>
      <c r="Y19" s="105"/>
      <c r="Z19" s="105"/>
      <c r="AA19" s="105"/>
      <c r="AB19" s="105"/>
      <c r="AC19" s="105"/>
      <c r="AD19" s="105"/>
    </row>
    <row r="20" spans="1:30" s="104" customFormat="1" ht="22.05" customHeight="1" x14ac:dyDescent="0.4">
      <c r="A20" s="7"/>
      <c r="B20" s="7"/>
      <c r="C20" s="94"/>
      <c r="D20" s="95"/>
      <c r="E20" s="95"/>
      <c r="F20" s="95"/>
      <c r="G20" s="95"/>
      <c r="H20" s="82"/>
      <c r="I20" s="238"/>
      <c r="J20" s="83" t="str">
        <f t="shared" si="0"/>
        <v/>
      </c>
      <c r="K20" s="84" t="str">
        <f>IFERROR(IF(H20="","",NETWORKDAYS.INTL(parametros!$A$2,J20,1,feriados)),"")</f>
        <v/>
      </c>
      <c r="L20" s="80"/>
      <c r="M20" s="85" t="str">
        <f ca="1">IF(J20&lt;parametros!$A$2,parametros!$L$2,IF(H20="","",IF(L20=parametros!$G$5,parametros!$L$3,IF(OR(L20=parametros!$G$3,L20=parametros!$G$4),parametros!$L$4,parametros!$L$5))))</f>
        <v/>
      </c>
      <c r="N20" s="86" t="str">
        <f>IFERROR(IF(H20="","",VLOOKUP(L20,parametros!$G$2:$H$5,2,0)),0)</f>
        <v/>
      </c>
      <c r="O20" s="105"/>
      <c r="P20" s="105"/>
      <c r="Q20" s="105"/>
      <c r="R20" s="105" t="str">
        <f t="shared" si="2"/>
        <v/>
      </c>
      <c r="S20" s="105" t="str">
        <f t="shared" si="3"/>
        <v/>
      </c>
      <c r="T20" s="105" t="str">
        <f>IFERROR(VLOOKUP(R20,parametros!$E$2:$F$13,2,0),"")</f>
        <v/>
      </c>
      <c r="U20" s="105" t="str">
        <f>IFERROR(VLOOKUP(S20,parametros!$B$2:$C$21,2,0),"")</f>
        <v/>
      </c>
      <c r="V20" s="105" t="str">
        <f>IF(OR(L20=parametros!$G$2,L20=parametros!$G$3,L20=parametros!$G$4),parametros!$G$3,"")</f>
        <v/>
      </c>
      <c r="W20" s="105" t="str">
        <f t="shared" si="1"/>
        <v/>
      </c>
      <c r="X20" s="105" t="str">
        <f>IFERROR(_xlfn.XLOOKUP(C20,me_fin,'est1'!$B$59:$B$66),"")</f>
        <v/>
      </c>
      <c r="Y20" s="105"/>
      <c r="Z20" s="105"/>
      <c r="AA20" s="105"/>
      <c r="AB20" s="105"/>
      <c r="AC20" s="105"/>
      <c r="AD20" s="105"/>
    </row>
    <row r="21" spans="1:30" s="104" customFormat="1" ht="22.05" customHeight="1" x14ac:dyDescent="0.4">
      <c r="A21" s="7"/>
      <c r="B21" s="7"/>
      <c r="C21" s="94"/>
      <c r="D21" s="95"/>
      <c r="E21" s="95"/>
      <c r="F21" s="95"/>
      <c r="G21" s="95"/>
      <c r="H21" s="82"/>
      <c r="I21" s="238"/>
      <c r="J21" s="83" t="str">
        <f t="shared" si="0"/>
        <v/>
      </c>
      <c r="K21" s="84" t="str">
        <f>IFERROR(IF(H21="","",NETWORKDAYS.INTL(parametros!$A$2,J21,1,feriados)),"")</f>
        <v/>
      </c>
      <c r="L21" s="80"/>
      <c r="M21" s="85" t="str">
        <f ca="1">IF(J21&lt;parametros!$A$2,parametros!$L$2,IF(H21="","",IF(L21=parametros!$G$5,parametros!$L$3,IF(OR(L21=parametros!$G$3,L21=parametros!$G$4),parametros!$L$4,parametros!$L$5))))</f>
        <v/>
      </c>
      <c r="N21" s="86" t="str">
        <f>IFERROR(IF(H21="","",VLOOKUP(L21,parametros!$G$2:$H$5,2,0)),0)</f>
        <v/>
      </c>
      <c r="O21" s="105"/>
      <c r="P21" s="105"/>
      <c r="Q21" s="105"/>
      <c r="R21" s="105" t="str">
        <f t="shared" si="2"/>
        <v/>
      </c>
      <c r="S21" s="105" t="str">
        <f t="shared" si="3"/>
        <v/>
      </c>
      <c r="T21" s="105" t="str">
        <f>IFERROR(VLOOKUP(R21,parametros!$E$2:$F$13,2,0),"")</f>
        <v/>
      </c>
      <c r="U21" s="105" t="str">
        <f>IFERROR(VLOOKUP(S21,parametros!$B$2:$C$21,2,0),"")</f>
        <v/>
      </c>
      <c r="V21" s="105" t="str">
        <f>IF(OR(L21=parametros!$G$2,L21=parametros!$G$3,L21=parametros!$G$4),parametros!$G$3,"")</f>
        <v/>
      </c>
      <c r="W21" s="105" t="str">
        <f t="shared" si="1"/>
        <v/>
      </c>
      <c r="X21" s="105" t="str">
        <f>IFERROR(_xlfn.XLOOKUP(C21,me_fin,'est1'!$B$59:$B$66),"")</f>
        <v/>
      </c>
      <c r="Y21" s="105"/>
      <c r="Z21" s="105"/>
      <c r="AA21" s="105"/>
      <c r="AB21" s="105"/>
      <c r="AC21" s="105"/>
      <c r="AD21" s="105"/>
    </row>
    <row r="22" spans="1:30" s="104" customFormat="1" ht="22.05" customHeight="1" x14ac:dyDescent="0.4">
      <c r="A22" s="7"/>
      <c r="B22" s="7"/>
      <c r="C22" s="94"/>
      <c r="D22" s="95"/>
      <c r="E22" s="95"/>
      <c r="F22" s="95"/>
      <c r="G22" s="95"/>
      <c r="H22" s="82"/>
      <c r="I22" s="238"/>
      <c r="J22" s="83" t="str">
        <f t="shared" si="0"/>
        <v/>
      </c>
      <c r="K22" s="84" t="str">
        <f>IFERROR(IF(H22="","",NETWORKDAYS.INTL(parametros!$A$2,J22,1,feriados)),"")</f>
        <v/>
      </c>
      <c r="L22" s="80"/>
      <c r="M22" s="85" t="str">
        <f ca="1">IF(J22&lt;parametros!$A$2,parametros!$L$2,IF(H22="","",IF(L22=parametros!$G$5,parametros!$L$3,IF(OR(L22=parametros!$G$3,L22=parametros!$G$4),parametros!$L$4,parametros!$L$5))))</f>
        <v/>
      </c>
      <c r="N22" s="86" t="str">
        <f>IFERROR(IF(H22="","",VLOOKUP(L22,parametros!$G$2:$H$5,2,0)),0)</f>
        <v/>
      </c>
      <c r="O22" s="105"/>
      <c r="P22" s="105"/>
      <c r="Q22" s="105"/>
      <c r="R22" s="105" t="str">
        <f t="shared" si="2"/>
        <v/>
      </c>
      <c r="S22" s="105" t="str">
        <f t="shared" si="3"/>
        <v/>
      </c>
      <c r="T22" s="105" t="str">
        <f>IFERROR(VLOOKUP(R22,parametros!$E$2:$F$13,2,0),"")</f>
        <v/>
      </c>
      <c r="U22" s="105" t="str">
        <f>IFERROR(VLOOKUP(S22,parametros!$B$2:$C$21,2,0),"")</f>
        <v/>
      </c>
      <c r="V22" s="105" t="str">
        <f>IF(OR(L22=parametros!$G$2,L22=parametros!$G$3,L22=parametros!$G$4),parametros!$G$3,"")</f>
        <v/>
      </c>
      <c r="W22" s="105" t="str">
        <f t="shared" si="1"/>
        <v/>
      </c>
      <c r="X22" s="105" t="str">
        <f>IFERROR(_xlfn.XLOOKUP(C22,me_fin,'est1'!$B$59:$B$66),"")</f>
        <v/>
      </c>
      <c r="Y22" s="105"/>
      <c r="Z22" s="105"/>
      <c r="AA22" s="105"/>
      <c r="AB22" s="105"/>
      <c r="AC22" s="105"/>
      <c r="AD22" s="105"/>
    </row>
    <row r="23" spans="1:30" s="104" customFormat="1" ht="22.05" customHeight="1" thickBot="1" x14ac:dyDescent="0.45">
      <c r="A23" s="7"/>
      <c r="B23" s="7"/>
      <c r="C23" s="96"/>
      <c r="D23" s="97"/>
      <c r="E23" s="97"/>
      <c r="F23" s="97"/>
      <c r="G23" s="97"/>
      <c r="H23" s="87"/>
      <c r="I23" s="239"/>
      <c r="J23" s="88" t="str">
        <f t="shared" si="0"/>
        <v/>
      </c>
      <c r="K23" s="89" t="str">
        <f>IFERROR(IF(H23="","",NETWORKDAYS.INTL(parametros!$A$2,J23,1,feriados)),"")</f>
        <v/>
      </c>
      <c r="L23" s="81"/>
      <c r="M23" s="90" t="str">
        <f ca="1">IF(J23&lt;parametros!$A$2,parametros!$L$2,IF(H23="","",IF(L23=parametros!$G$5,parametros!$L$3,IF(OR(L23=parametros!$G$3,L23=parametros!$G$4),parametros!$L$4,parametros!$L$5))))</f>
        <v/>
      </c>
      <c r="N23" s="91" t="str">
        <f>IFERROR(IF(H23="","",VLOOKUP(L23,parametros!$G$2:$H$5,2,0)),0)</f>
        <v/>
      </c>
      <c r="O23" s="105"/>
      <c r="P23" s="105"/>
      <c r="Q23" s="105"/>
      <c r="R23" s="105" t="str">
        <f t="shared" si="2"/>
        <v/>
      </c>
      <c r="S23" s="105" t="str">
        <f t="shared" si="3"/>
        <v/>
      </c>
      <c r="T23" s="105" t="str">
        <f>IFERROR(VLOOKUP(R23,parametros!$E$2:$F$13,2,0),"")</f>
        <v/>
      </c>
      <c r="U23" s="105" t="str">
        <f>IFERROR(VLOOKUP(S23,parametros!$B$2:$C$21,2,0),"")</f>
        <v/>
      </c>
      <c r="V23" s="105" t="str">
        <f>IF(OR(L23=parametros!$G$2,L23=parametros!$G$3,L23=parametros!$G$4),parametros!$G$3,"")</f>
        <v/>
      </c>
      <c r="W23" s="105" t="str">
        <f t="shared" si="1"/>
        <v/>
      </c>
      <c r="X23" s="105" t="str">
        <f>IFERROR(_xlfn.XLOOKUP(C23,me_fin,'est1'!$B$59:$B$66),"")</f>
        <v/>
      </c>
      <c r="Y23" s="105"/>
      <c r="Z23" s="105"/>
      <c r="AA23" s="105"/>
      <c r="AB23" s="105"/>
      <c r="AC23" s="105"/>
      <c r="AD23" s="105"/>
    </row>
  </sheetData>
  <dataValidations count="4">
    <dataValidation type="list" allowBlank="1" showInputMessage="1" showErrorMessage="1" sqref="L5:L23" xr:uid="{AF72E95A-1198-4E18-9D2E-B717149A2D70}">
      <formula1>params_status</formula1>
    </dataValidation>
    <dataValidation type="list" allowBlank="1" showInputMessage="1" showErrorMessage="1" sqref="E5:E23" xr:uid="{867A9E29-6520-4B1C-A799-8ABE030DDDD2}">
      <formula1>equipes</formula1>
    </dataValidation>
    <dataValidation type="list" allowBlank="1" showInputMessage="1" showErrorMessage="1" sqref="F5:F23" xr:uid="{84C6BB07-7C38-417E-AA4E-A31BD0C407EA}">
      <formula1>funcionarios</formula1>
    </dataValidation>
    <dataValidation type="list" allowBlank="1" showInputMessage="1" showErrorMessage="1" sqref="C5:C23" xr:uid="{F08167B0-C4BC-49B0-8CEE-5DF7C1FDF79B}">
      <formula1>me_fin</formula1>
    </dataValidation>
  </dataValidations>
  <pageMargins left="0.511811024" right="0.511811024" top="0.78740157499999996" bottom="0.78740157499999996" header="0.31496062000000002" footer="0.31496062000000002"/>
  <pageSetup paperSize="9" scale="59" orientation="landscape" r:id="rId1"/>
  <colBreaks count="1" manualBreakCount="1">
    <brk id="14" max="22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9B0B-2782-46B1-A228-AF401595B78E}">
  <dimension ref="C1:X23"/>
  <sheetViews>
    <sheetView showGridLines="0" zoomScale="104" zoomScaleNormal="107" workbookViewId="0">
      <selection activeCell="C5" sqref="C5:I5"/>
    </sheetView>
  </sheetViews>
  <sheetFormatPr defaultRowHeight="13.2" x14ac:dyDescent="0.4"/>
  <cols>
    <col min="1" max="2" width="2.21875" style="7" customWidth="1"/>
    <col min="3" max="3" width="27.21875" style="7" customWidth="1"/>
    <col min="4" max="4" width="37.33203125" style="7" customWidth="1"/>
    <col min="5" max="5" width="10.6640625" style="7" bestFit="1" customWidth="1"/>
    <col min="6" max="6" width="18.44140625" style="7" customWidth="1"/>
    <col min="7" max="7" width="43.33203125" style="7" customWidth="1"/>
    <col min="8" max="10" width="13.109375" style="7" customWidth="1"/>
    <col min="11" max="11" width="10.5546875" style="7" bestFit="1" customWidth="1"/>
    <col min="12" max="12" width="15" style="7" bestFit="1" customWidth="1"/>
    <col min="13" max="13" width="15" style="7" customWidth="1"/>
    <col min="14" max="14" width="8.88671875" style="7"/>
    <col min="15" max="15" width="8.88671875" style="104"/>
    <col min="16" max="16" width="9" style="104" customWidth="1"/>
    <col min="17" max="24" width="8.88671875" style="104"/>
    <col min="25" max="16384" width="8.88671875" style="7"/>
  </cols>
  <sheetData>
    <row r="1" spans="3:24" s="3" customFormat="1" ht="27.6" customHeight="1" x14ac:dyDescent="0.4"/>
    <row r="2" spans="3:24" s="5" customFormat="1" ht="21.6" customHeight="1" x14ac:dyDescent="0.4"/>
    <row r="3" spans="3:24" ht="4.95" customHeight="1" thickBot="1" x14ac:dyDescent="0.45">
      <c r="O3" s="7"/>
      <c r="P3" s="7"/>
      <c r="Q3" s="7"/>
      <c r="R3" s="7"/>
      <c r="S3" s="7"/>
      <c r="T3" s="7"/>
      <c r="U3" s="7"/>
      <c r="V3" s="7"/>
      <c r="W3" s="7"/>
      <c r="X3" s="7"/>
    </row>
    <row r="4" spans="3:24" ht="22.05" customHeight="1" x14ac:dyDescent="0.4">
      <c r="C4" s="58" t="s">
        <v>80</v>
      </c>
      <c r="D4" s="59" t="s">
        <v>77</v>
      </c>
      <c r="E4" s="59" t="s">
        <v>81</v>
      </c>
      <c r="F4" s="59" t="s">
        <v>78</v>
      </c>
      <c r="G4" s="59" t="s">
        <v>79</v>
      </c>
      <c r="H4" s="59" t="s">
        <v>97</v>
      </c>
      <c r="I4" s="59" t="s">
        <v>99</v>
      </c>
      <c r="J4" s="59" t="s">
        <v>98</v>
      </c>
      <c r="K4" s="59" t="s">
        <v>83</v>
      </c>
      <c r="L4" s="59" t="s">
        <v>82</v>
      </c>
      <c r="M4" s="70" t="s">
        <v>134</v>
      </c>
      <c r="N4" s="60" t="s">
        <v>45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3:24" ht="22.05" customHeight="1" x14ac:dyDescent="0.4">
      <c r="C5" s="61"/>
      <c r="D5" s="62"/>
      <c r="E5" s="62"/>
      <c r="F5" s="62"/>
      <c r="G5" s="62"/>
      <c r="H5" s="63"/>
      <c r="I5" s="65"/>
      <c r="J5" s="73" t="str">
        <f t="shared" ref="J5:J23" si="0">IF(H5="","",WORKDAY(H5,I5,feriados))</f>
        <v/>
      </c>
      <c r="K5" s="64" t="str">
        <f>IFERROR(IF(H5="","",NETWORKDAYS.INTL(parametros!$A$2,J5,1,feriados)),"")</f>
        <v/>
      </c>
      <c r="L5" s="65" t="s">
        <v>131</v>
      </c>
      <c r="M5" s="71" t="str">
        <f ca="1">IF(J5&lt;parametros!$A$2,parametros!$L$2,IF(H5="","",IF(L5=parametros!$G$5,parametros!$L$3,IF(OR(L5=parametros!$G$3,L5=parametros!$G$4),parametros!$L$4,parametros!$L$5))))</f>
        <v/>
      </c>
      <c r="N5" s="72" t="str">
        <f>IFERROR(IF(H5="","",VLOOKUP(L5,parametros!$G$2:$H$5,2,0)),0)</f>
        <v/>
      </c>
      <c r="P5" s="163"/>
      <c r="R5" s="104" t="str">
        <f>IFERROR(MONTH(J5),"")</f>
        <v/>
      </c>
      <c r="S5" s="104" t="str">
        <f>IFERROR(YEAR(J5),"")</f>
        <v/>
      </c>
      <c r="T5" s="104" t="str">
        <f>IFERROR(VLOOKUP(R5,parametros!$E$2:$F$13,2,0),"")</f>
        <v/>
      </c>
      <c r="U5" s="104" t="str">
        <f>IFERROR(VLOOKUP(S5,parametros!$B$2:$C$21,2,0),"")</f>
        <v/>
      </c>
      <c r="V5" s="104" t="str">
        <f>IF(OR(L5=parametros!$G$2,L5=parametros!$G$3,L5=parametros!$G$4),parametros!$G$3,"")</f>
        <v>Em Andamento</v>
      </c>
      <c r="W5" s="104" t="str">
        <f t="shared" ref="W5:W23" si="1">IFERROR(VLOOKUP(X5,perspectiva_clientes,2,0),"")</f>
        <v/>
      </c>
      <c r="X5" s="104" t="str">
        <f>IFERROR(_xlfn.XLOOKUP(C5,me_mkt,'est2'!$B$59:$B$66),"")</f>
        <v/>
      </c>
    </row>
    <row r="6" spans="3:24" ht="22.05" customHeight="1" x14ac:dyDescent="0.4">
      <c r="C6" s="61"/>
      <c r="D6" s="67"/>
      <c r="E6" s="67"/>
      <c r="F6" s="67"/>
      <c r="G6" s="67"/>
      <c r="H6" s="82"/>
      <c r="I6" s="80"/>
      <c r="J6" s="83" t="str">
        <f t="shared" si="0"/>
        <v/>
      </c>
      <c r="K6" s="84" t="str">
        <f>IFERROR(IF(H6="","",NETWORKDAYS.INTL(parametros!$A$2,J6,1,feriados)),"")</f>
        <v/>
      </c>
      <c r="L6" s="80"/>
      <c r="M6" s="85" t="str">
        <f ca="1">IF(J6&lt;parametros!$A$2,parametros!$L$2,IF(H6="","",IF(L6=parametros!$G$5,parametros!$L$3,IF(OR(L6=parametros!$G$3,L6=parametros!$G$4),parametros!$L$4,parametros!$L$5))))</f>
        <v/>
      </c>
      <c r="N6" s="86" t="str">
        <f>IFERROR(IF(H6="","",VLOOKUP(L6,parametros!$G$2:$H$5,2,0)),0)</f>
        <v/>
      </c>
      <c r="P6" s="164"/>
      <c r="R6" s="104" t="str">
        <f t="shared" ref="R6:R23" si="2">IFERROR(MONTH(J6),"")</f>
        <v/>
      </c>
      <c r="S6" s="104" t="str">
        <f t="shared" ref="S6:S23" si="3">IFERROR(YEAR(J6),"")</f>
        <v/>
      </c>
      <c r="T6" s="104" t="str">
        <f>IFERROR(VLOOKUP(R6,parametros!$E$2:$F$13,2,0),"")</f>
        <v/>
      </c>
      <c r="U6" s="104" t="str">
        <f>IFERROR(VLOOKUP(S6,parametros!$B$2:$C$21,2,0),"")</f>
        <v/>
      </c>
      <c r="V6" s="104" t="str">
        <f>IF(OR(L6=parametros!$G$2,L6=parametros!$G$3,L6=parametros!$G$4),parametros!$G$3,"")</f>
        <v/>
      </c>
      <c r="W6" s="104" t="str">
        <f t="shared" si="1"/>
        <v/>
      </c>
      <c r="X6" s="104" t="str">
        <f>IFERROR(_xlfn.XLOOKUP(C6,me_mkt,'est2'!$B$59:$B$66),"")</f>
        <v/>
      </c>
    </row>
    <row r="7" spans="3:24" ht="22.05" customHeight="1" x14ac:dyDescent="0.4">
      <c r="C7" s="61"/>
      <c r="D7" s="67"/>
      <c r="E7" s="67"/>
      <c r="F7" s="67"/>
      <c r="G7" s="67"/>
      <c r="H7" s="82"/>
      <c r="I7" s="80"/>
      <c r="J7" s="83" t="str">
        <f t="shared" si="0"/>
        <v/>
      </c>
      <c r="K7" s="84" t="str">
        <f>IFERROR(IF(H7="","",NETWORKDAYS.INTL(parametros!$A$2,J7,1,feriados)),"")</f>
        <v/>
      </c>
      <c r="L7" s="80"/>
      <c r="M7" s="85" t="str">
        <f ca="1">IF(J7&lt;parametros!$A$2,parametros!$L$2,IF(H7="","",IF(L7=parametros!$G$5,parametros!$L$3,IF(OR(L7=parametros!$G$3,L7=parametros!$G$4),parametros!$L$4,parametros!$L$5))))</f>
        <v/>
      </c>
      <c r="N7" s="86" t="str">
        <f>IFERROR(IF(H7="","",VLOOKUP(L7,parametros!$G$2:$H$5,2,0)),0)</f>
        <v/>
      </c>
      <c r="R7" s="104" t="str">
        <f t="shared" si="2"/>
        <v/>
      </c>
      <c r="S7" s="104" t="str">
        <f t="shared" si="3"/>
        <v/>
      </c>
      <c r="T7" s="104" t="str">
        <f>IFERROR(VLOOKUP(R7,parametros!$E$2:$F$13,2,0),"")</f>
        <v/>
      </c>
      <c r="U7" s="104" t="str">
        <f>IFERROR(VLOOKUP(S7,parametros!$B$2:$C$21,2,0),"")</f>
        <v/>
      </c>
      <c r="V7" s="104" t="str">
        <f>IF(OR(L7=parametros!$G$2,L7=parametros!$G$3,L7=parametros!$G$4),parametros!$G$3,"")</f>
        <v/>
      </c>
      <c r="W7" s="104" t="str">
        <f t="shared" si="1"/>
        <v/>
      </c>
      <c r="X7" s="104" t="str">
        <f>IFERROR(_xlfn.XLOOKUP(C7,me_mkt,'est2'!$B$59:$B$66),"")</f>
        <v/>
      </c>
    </row>
    <row r="8" spans="3:24" ht="22.05" customHeight="1" x14ac:dyDescent="0.4">
      <c r="C8" s="61"/>
      <c r="D8" s="67"/>
      <c r="E8" s="67"/>
      <c r="F8" s="67"/>
      <c r="G8" s="67"/>
      <c r="H8" s="82"/>
      <c r="I8" s="80"/>
      <c r="J8" s="83" t="str">
        <f t="shared" si="0"/>
        <v/>
      </c>
      <c r="K8" s="84" t="str">
        <f>IFERROR(IF(H8="","",NETWORKDAYS.INTL(parametros!$A$2,J8,1,feriados)),"")</f>
        <v/>
      </c>
      <c r="L8" s="80"/>
      <c r="M8" s="85" t="str">
        <f ca="1">IF(J8&lt;parametros!$A$2,parametros!$L$2,IF(H8="","",IF(L8=parametros!$G$5,parametros!$L$3,IF(OR(L8=parametros!$G$3,L8=parametros!$G$4),parametros!$L$4,parametros!$L$5))))</f>
        <v/>
      </c>
      <c r="N8" s="86" t="str">
        <f>IFERROR(IF(H8="","",VLOOKUP(L8,parametros!$G$2:$H$5,2,0)),0)</f>
        <v/>
      </c>
      <c r="R8" s="104" t="str">
        <f t="shared" si="2"/>
        <v/>
      </c>
      <c r="S8" s="104" t="str">
        <f t="shared" si="3"/>
        <v/>
      </c>
      <c r="T8" s="104" t="str">
        <f>IFERROR(VLOOKUP(R8,parametros!$E$2:$F$13,2,0),"")</f>
        <v/>
      </c>
      <c r="U8" s="104" t="str">
        <f>IFERROR(VLOOKUP(S8,parametros!$B$2:$C$21,2,0),"")</f>
        <v/>
      </c>
      <c r="V8" s="104" t="str">
        <f>IF(OR(L8=parametros!$G$2,L8=parametros!$G$3,L8=parametros!$G$4),parametros!$G$3,"")</f>
        <v/>
      </c>
      <c r="W8" s="104" t="str">
        <f t="shared" si="1"/>
        <v/>
      </c>
      <c r="X8" s="104" t="str">
        <f>IFERROR(_xlfn.XLOOKUP(C8,me_mkt,'est2'!$B$59:$B$66),"")</f>
        <v/>
      </c>
    </row>
    <row r="9" spans="3:24" ht="22.05" customHeight="1" x14ac:dyDescent="0.4">
      <c r="C9" s="61"/>
      <c r="D9" s="67"/>
      <c r="E9" s="67"/>
      <c r="F9" s="67"/>
      <c r="G9" s="67"/>
      <c r="H9" s="82"/>
      <c r="I9" s="80"/>
      <c r="J9" s="83" t="str">
        <f t="shared" si="0"/>
        <v/>
      </c>
      <c r="K9" s="84" t="str">
        <f>IFERROR(IF(H9="","",NETWORKDAYS.INTL(parametros!$A$2,J9,1,feriados)),"")</f>
        <v/>
      </c>
      <c r="L9" s="80"/>
      <c r="M9" s="85" t="str">
        <f ca="1">IF(J9&lt;parametros!$A$2,parametros!$L$2,IF(H9="","",IF(L9=parametros!$G$5,parametros!$L$3,IF(OR(L9=parametros!$G$3,L9=parametros!$G$4),parametros!$L$4,parametros!$L$5))))</f>
        <v/>
      </c>
      <c r="N9" s="86" t="str">
        <f>IFERROR(IF(H9="","",VLOOKUP(L9,parametros!$G$2:$H$5,2,0)),0)</f>
        <v/>
      </c>
      <c r="R9" s="104" t="str">
        <f t="shared" si="2"/>
        <v/>
      </c>
      <c r="S9" s="104" t="str">
        <f t="shared" si="3"/>
        <v/>
      </c>
      <c r="T9" s="104" t="str">
        <f>IFERROR(VLOOKUP(R9,parametros!$E$2:$F$13,2,0),"")</f>
        <v/>
      </c>
      <c r="U9" s="104" t="str">
        <f>IFERROR(VLOOKUP(S9,parametros!$B$2:$C$21,2,0),"")</f>
        <v/>
      </c>
      <c r="V9" s="104" t="str">
        <f>IF(OR(L9=parametros!$G$2,L9=parametros!$G$3,L9=parametros!$G$4),parametros!$G$3,"")</f>
        <v/>
      </c>
      <c r="W9" s="104" t="str">
        <f t="shared" si="1"/>
        <v/>
      </c>
      <c r="X9" s="104" t="str">
        <f>IFERROR(_xlfn.XLOOKUP(C9,me_mkt,'est2'!$B$59:$B$66),"")</f>
        <v/>
      </c>
    </row>
    <row r="10" spans="3:24" ht="22.05" customHeight="1" x14ac:dyDescent="0.4">
      <c r="C10" s="61"/>
      <c r="D10" s="67"/>
      <c r="E10" s="67"/>
      <c r="F10" s="67"/>
      <c r="G10" s="67"/>
      <c r="H10" s="82"/>
      <c r="I10" s="80"/>
      <c r="J10" s="83" t="str">
        <f t="shared" si="0"/>
        <v/>
      </c>
      <c r="K10" s="84" t="str">
        <f>IFERROR(IF(H10="","",NETWORKDAYS.INTL(parametros!$A$2,J10,1,feriados)),"")</f>
        <v/>
      </c>
      <c r="L10" s="80"/>
      <c r="M10" s="85" t="str">
        <f ca="1">IF(J10&lt;parametros!$A$2,parametros!$L$2,IF(H10="","",IF(L10=parametros!$G$5,parametros!$L$3,IF(OR(L10=parametros!$G$3,L10=parametros!$G$4),parametros!$L$4,parametros!$L$5))))</f>
        <v/>
      </c>
      <c r="N10" s="86" t="str">
        <f>IFERROR(IF(H10="","",VLOOKUP(L10,parametros!$G$2:$H$5,2,0)),0)</f>
        <v/>
      </c>
      <c r="R10" s="104" t="str">
        <f t="shared" si="2"/>
        <v/>
      </c>
      <c r="S10" s="104" t="str">
        <f t="shared" si="3"/>
        <v/>
      </c>
      <c r="T10" s="104" t="str">
        <f>IFERROR(VLOOKUP(R10,parametros!$E$2:$F$13,2,0),"")</f>
        <v/>
      </c>
      <c r="U10" s="104" t="str">
        <f>IFERROR(VLOOKUP(S10,parametros!$B$2:$C$21,2,0),"")</f>
        <v/>
      </c>
      <c r="V10" s="104" t="str">
        <f>IF(OR(L10=parametros!$G$2,L10=parametros!$G$3,L10=parametros!$G$4),parametros!$G$3,"")</f>
        <v/>
      </c>
      <c r="W10" s="104" t="str">
        <f t="shared" si="1"/>
        <v/>
      </c>
      <c r="X10" s="104" t="str">
        <f>IFERROR(_xlfn.XLOOKUP(C10,me_mkt,'est2'!$B$59:$B$66),"")</f>
        <v/>
      </c>
    </row>
    <row r="11" spans="3:24" ht="22.05" customHeight="1" x14ac:dyDescent="0.4">
      <c r="C11" s="66"/>
      <c r="D11" s="67"/>
      <c r="E11" s="67"/>
      <c r="F11" s="67"/>
      <c r="G11" s="67"/>
      <c r="H11" s="82"/>
      <c r="I11" s="80"/>
      <c r="J11" s="83" t="str">
        <f t="shared" si="0"/>
        <v/>
      </c>
      <c r="K11" s="84" t="str">
        <f>IFERROR(IF(H11="","",NETWORKDAYS.INTL(parametros!$A$2,J11,1,feriados)),"")</f>
        <v/>
      </c>
      <c r="L11" s="80"/>
      <c r="M11" s="85" t="str">
        <f ca="1">IF(J11&lt;parametros!$A$2,parametros!$L$2,IF(H11="","",IF(L11=parametros!$G$5,parametros!$L$3,IF(OR(L11=parametros!$G$3,L11=parametros!$G$4),parametros!$L$4,parametros!$L$5))))</f>
        <v/>
      </c>
      <c r="N11" s="86" t="str">
        <f>IFERROR(IF(H11="","",VLOOKUP(L11,parametros!$G$2:$H$5,2,0)),0)</f>
        <v/>
      </c>
      <c r="R11" s="104" t="str">
        <f t="shared" si="2"/>
        <v/>
      </c>
      <c r="S11" s="104" t="str">
        <f t="shared" si="3"/>
        <v/>
      </c>
      <c r="T11" s="104" t="str">
        <f>IFERROR(VLOOKUP(R11,parametros!$E$2:$F$13,2,0),"")</f>
        <v/>
      </c>
      <c r="U11" s="104" t="str">
        <f>IFERROR(VLOOKUP(S11,parametros!$B$2:$C$21,2,0),"")</f>
        <v/>
      </c>
      <c r="V11" s="104" t="str">
        <f>IF(OR(L11=parametros!$G$2,L11=parametros!$G$3,L11=parametros!$G$4),parametros!$G$3,"")</f>
        <v/>
      </c>
      <c r="W11" s="104" t="str">
        <f t="shared" si="1"/>
        <v/>
      </c>
      <c r="X11" s="104" t="str">
        <f>IFERROR(_xlfn.XLOOKUP(C11,me_mkt,'est2'!$B$59:$B$66),"")</f>
        <v/>
      </c>
    </row>
    <row r="12" spans="3:24" ht="22.05" customHeight="1" x14ac:dyDescent="0.4">
      <c r="C12" s="66"/>
      <c r="D12" s="67"/>
      <c r="E12" s="67"/>
      <c r="F12" s="67"/>
      <c r="G12" s="67"/>
      <c r="H12" s="82"/>
      <c r="I12" s="80"/>
      <c r="J12" s="83" t="str">
        <f t="shared" si="0"/>
        <v/>
      </c>
      <c r="K12" s="84" t="str">
        <f>IFERROR(IF(H12="","",NETWORKDAYS.INTL(parametros!$A$2,J12,1,feriados)),"")</f>
        <v/>
      </c>
      <c r="L12" s="80"/>
      <c r="M12" s="85" t="str">
        <f ca="1">IF(J12&lt;parametros!$A$2,parametros!$L$2,IF(H12="","",IF(L12=parametros!$G$5,parametros!$L$3,IF(OR(L12=parametros!$G$3,L12=parametros!$G$4),parametros!$L$4,parametros!$L$5))))</f>
        <v/>
      </c>
      <c r="N12" s="86" t="str">
        <f>IFERROR(IF(H12="","",VLOOKUP(L12,parametros!$G$2:$H$5,2,0)),0)</f>
        <v/>
      </c>
      <c r="R12" s="104" t="str">
        <f t="shared" si="2"/>
        <v/>
      </c>
      <c r="S12" s="104" t="str">
        <f t="shared" si="3"/>
        <v/>
      </c>
      <c r="T12" s="104" t="str">
        <f>IFERROR(VLOOKUP(R12,parametros!$E$2:$F$13,2,0),"")</f>
        <v/>
      </c>
      <c r="U12" s="104" t="str">
        <f>IFERROR(VLOOKUP(S12,parametros!$B$2:$C$21,2,0),"")</f>
        <v/>
      </c>
      <c r="V12" s="104" t="str">
        <f>IF(OR(L12=parametros!$G$2,L12=parametros!$G$3,L12=parametros!$G$4),parametros!$G$3,"")</f>
        <v/>
      </c>
      <c r="W12" s="104" t="str">
        <f t="shared" si="1"/>
        <v/>
      </c>
      <c r="X12" s="104" t="str">
        <f>IFERROR(_xlfn.XLOOKUP(C12,me_mkt,'est2'!$B$59:$B$66),"")</f>
        <v/>
      </c>
    </row>
    <row r="13" spans="3:24" ht="22.05" customHeight="1" x14ac:dyDescent="0.4">
      <c r="C13" s="66"/>
      <c r="D13" s="67"/>
      <c r="E13" s="67"/>
      <c r="F13" s="67"/>
      <c r="G13" s="67"/>
      <c r="H13" s="82"/>
      <c r="I13" s="80"/>
      <c r="J13" s="83" t="str">
        <f t="shared" si="0"/>
        <v/>
      </c>
      <c r="K13" s="84" t="str">
        <f>IFERROR(IF(H13="","",NETWORKDAYS.INTL(parametros!$A$2,J13,1,feriados)),"")</f>
        <v/>
      </c>
      <c r="L13" s="80"/>
      <c r="M13" s="85" t="str">
        <f ca="1">IF(J13&lt;parametros!$A$2,parametros!$L$2,IF(H13="","",IF(L13=parametros!$G$5,parametros!$L$3,IF(OR(L13=parametros!$G$3,L13=parametros!$G$4),parametros!$L$4,parametros!$L$5))))</f>
        <v/>
      </c>
      <c r="N13" s="86" t="str">
        <f>IFERROR(IF(H13="","",VLOOKUP(L13,parametros!$G$2:$H$5,2,0)),0)</f>
        <v/>
      </c>
      <c r="R13" s="104" t="str">
        <f t="shared" si="2"/>
        <v/>
      </c>
      <c r="S13" s="104" t="str">
        <f t="shared" si="3"/>
        <v/>
      </c>
      <c r="T13" s="104" t="str">
        <f>IFERROR(VLOOKUP(R13,parametros!$E$2:$F$13,2,0),"")</f>
        <v/>
      </c>
      <c r="U13" s="104" t="str">
        <f>IFERROR(VLOOKUP(S13,parametros!$B$2:$C$21,2,0),"")</f>
        <v/>
      </c>
      <c r="V13" s="104" t="str">
        <f>IF(OR(L13=parametros!$G$2,L13=parametros!$G$3,L13=parametros!$G$4),parametros!$G$3,"")</f>
        <v/>
      </c>
      <c r="W13" s="104" t="str">
        <f t="shared" si="1"/>
        <v/>
      </c>
      <c r="X13" s="104" t="str">
        <f>IFERROR(_xlfn.XLOOKUP(C13,me_mkt,'est2'!$B$59:$B$66),"")</f>
        <v/>
      </c>
    </row>
    <row r="14" spans="3:24" ht="22.05" customHeight="1" x14ac:dyDescent="0.4">
      <c r="C14" s="66"/>
      <c r="D14" s="67"/>
      <c r="E14" s="67"/>
      <c r="F14" s="67"/>
      <c r="G14" s="67"/>
      <c r="H14" s="82"/>
      <c r="I14" s="80"/>
      <c r="J14" s="83" t="str">
        <f t="shared" si="0"/>
        <v/>
      </c>
      <c r="K14" s="84" t="str">
        <f>IFERROR(IF(H14="","",NETWORKDAYS.INTL(parametros!$A$2,J14,1,feriados)),"")</f>
        <v/>
      </c>
      <c r="L14" s="80"/>
      <c r="M14" s="85" t="str">
        <f ca="1">IF(J14&lt;parametros!$A$2,parametros!$L$2,IF(H14="","",IF(L14=parametros!$G$5,parametros!$L$3,IF(OR(L14=parametros!$G$3,L14=parametros!$G$4),parametros!$L$4,parametros!$L$5))))</f>
        <v/>
      </c>
      <c r="N14" s="86" t="str">
        <f>IFERROR(IF(H14="","",VLOOKUP(L14,parametros!$G$2:$H$5,2,0)),0)</f>
        <v/>
      </c>
      <c r="R14" s="104" t="str">
        <f t="shared" si="2"/>
        <v/>
      </c>
      <c r="S14" s="104" t="str">
        <f t="shared" si="3"/>
        <v/>
      </c>
      <c r="T14" s="104" t="str">
        <f>IFERROR(VLOOKUP(R14,parametros!$E$2:$F$13,2,0),"")</f>
        <v/>
      </c>
      <c r="U14" s="104" t="str">
        <f>IFERROR(VLOOKUP(S14,parametros!$B$2:$C$21,2,0),"")</f>
        <v/>
      </c>
      <c r="V14" s="104" t="str">
        <f>IF(OR(L14=parametros!$G$2,L14=parametros!$G$3,L14=parametros!$G$4),parametros!$G$3,"")</f>
        <v/>
      </c>
      <c r="W14" s="104" t="str">
        <f t="shared" si="1"/>
        <v/>
      </c>
      <c r="X14" s="104" t="str">
        <f>IFERROR(_xlfn.XLOOKUP(C14,me_mkt,'est2'!$B$59:$B$66),"")</f>
        <v/>
      </c>
    </row>
    <row r="15" spans="3:24" ht="22.05" customHeight="1" x14ac:dyDescent="0.4">
      <c r="C15" s="66"/>
      <c r="D15" s="67"/>
      <c r="E15" s="67"/>
      <c r="F15" s="67"/>
      <c r="G15" s="67"/>
      <c r="H15" s="82"/>
      <c r="I15" s="80"/>
      <c r="J15" s="83" t="str">
        <f t="shared" si="0"/>
        <v/>
      </c>
      <c r="K15" s="84" t="str">
        <f>IFERROR(IF(H15="","",NETWORKDAYS.INTL(parametros!$A$2,J15,1,feriados)),"")</f>
        <v/>
      </c>
      <c r="L15" s="80"/>
      <c r="M15" s="85" t="str">
        <f ca="1">IF(J15&lt;parametros!$A$2,parametros!$L$2,IF(H15="","",IF(L15=parametros!$G$5,parametros!$L$3,IF(OR(L15=parametros!$G$3,L15=parametros!$G$4),parametros!$L$4,parametros!$L$5))))</f>
        <v/>
      </c>
      <c r="N15" s="86" t="str">
        <f>IFERROR(IF(H15="","",VLOOKUP(L15,parametros!$G$2:$H$5,2,0)),0)</f>
        <v/>
      </c>
      <c r="R15" s="104" t="str">
        <f t="shared" si="2"/>
        <v/>
      </c>
      <c r="S15" s="104" t="str">
        <f t="shared" si="3"/>
        <v/>
      </c>
      <c r="T15" s="104" t="str">
        <f>IFERROR(VLOOKUP(R15,parametros!$E$2:$F$13,2,0),"")</f>
        <v/>
      </c>
      <c r="U15" s="104" t="str">
        <f>IFERROR(VLOOKUP(S15,parametros!$B$2:$C$21,2,0),"")</f>
        <v/>
      </c>
      <c r="V15" s="104" t="str">
        <f>IF(OR(L15=parametros!$G$2,L15=parametros!$G$3,L15=parametros!$G$4),parametros!$G$3,"")</f>
        <v/>
      </c>
      <c r="W15" s="104" t="str">
        <f t="shared" si="1"/>
        <v/>
      </c>
      <c r="X15" s="104" t="str">
        <f>IFERROR(_xlfn.XLOOKUP(C15,me_mkt,'est2'!$B$59:$B$66),"")</f>
        <v/>
      </c>
    </row>
    <row r="16" spans="3:24" ht="22.05" customHeight="1" x14ac:dyDescent="0.4">
      <c r="C16" s="66"/>
      <c r="D16" s="67"/>
      <c r="E16" s="67"/>
      <c r="F16" s="67"/>
      <c r="G16" s="67"/>
      <c r="H16" s="82"/>
      <c r="I16" s="80"/>
      <c r="J16" s="83" t="str">
        <f t="shared" si="0"/>
        <v/>
      </c>
      <c r="K16" s="84" t="str">
        <f>IFERROR(IF(H16="","",NETWORKDAYS.INTL(parametros!$A$2,J16,1,feriados)),"")</f>
        <v/>
      </c>
      <c r="L16" s="80"/>
      <c r="M16" s="85" t="str">
        <f ca="1">IF(J16&lt;parametros!$A$2,parametros!$L$2,IF(H16="","",IF(L16=parametros!$G$5,parametros!$L$3,IF(OR(L16=parametros!$G$3,L16=parametros!$G$4),parametros!$L$4,parametros!$L$5))))</f>
        <v/>
      </c>
      <c r="N16" s="86" t="str">
        <f>IFERROR(IF(H16="","",VLOOKUP(L16,parametros!$G$2:$H$5,2,0)),0)</f>
        <v/>
      </c>
      <c r="R16" s="104" t="str">
        <f t="shared" si="2"/>
        <v/>
      </c>
      <c r="S16" s="104" t="str">
        <f t="shared" si="3"/>
        <v/>
      </c>
      <c r="T16" s="104" t="str">
        <f>IFERROR(VLOOKUP(R16,parametros!$E$2:$F$13,2,0),"")</f>
        <v/>
      </c>
      <c r="U16" s="104" t="str">
        <f>IFERROR(VLOOKUP(S16,parametros!$B$2:$C$21,2,0),"")</f>
        <v/>
      </c>
      <c r="V16" s="104" t="str">
        <f>IF(OR(L16=parametros!$G$2,L16=parametros!$G$3,L16=parametros!$G$4),parametros!$G$3,"")</f>
        <v/>
      </c>
      <c r="W16" s="104" t="str">
        <f t="shared" si="1"/>
        <v/>
      </c>
      <c r="X16" s="104" t="str">
        <f>IFERROR(_xlfn.XLOOKUP(C16,me_mkt,'est2'!$B$59:$B$66),"")</f>
        <v/>
      </c>
    </row>
    <row r="17" spans="3:24" ht="22.05" customHeight="1" x14ac:dyDescent="0.4">
      <c r="C17" s="66"/>
      <c r="D17" s="67"/>
      <c r="E17" s="67"/>
      <c r="F17" s="67"/>
      <c r="G17" s="67"/>
      <c r="H17" s="82"/>
      <c r="I17" s="80"/>
      <c r="J17" s="83" t="str">
        <f t="shared" si="0"/>
        <v/>
      </c>
      <c r="K17" s="84" t="str">
        <f>IFERROR(IF(H17="","",NETWORKDAYS.INTL(parametros!$A$2,J17,1,feriados)),"")</f>
        <v/>
      </c>
      <c r="L17" s="80"/>
      <c r="M17" s="85" t="str">
        <f ca="1">IF(J17&lt;parametros!$A$2,parametros!$L$2,IF(H17="","",IF(L17=parametros!$G$5,parametros!$L$3,IF(OR(L17=parametros!$G$3,L17=parametros!$G$4),parametros!$L$4,parametros!$L$5))))</f>
        <v/>
      </c>
      <c r="N17" s="86" t="str">
        <f>IFERROR(IF(H17="","",VLOOKUP(L17,parametros!$G$2:$H$5,2,0)),0)</f>
        <v/>
      </c>
      <c r="R17" s="104" t="str">
        <f t="shared" si="2"/>
        <v/>
      </c>
      <c r="S17" s="104" t="str">
        <f t="shared" si="3"/>
        <v/>
      </c>
      <c r="T17" s="104" t="str">
        <f>IFERROR(VLOOKUP(R17,parametros!$E$2:$F$13,2,0),"")</f>
        <v/>
      </c>
      <c r="U17" s="104" t="str">
        <f>IFERROR(VLOOKUP(S17,parametros!$B$2:$C$21,2,0),"")</f>
        <v/>
      </c>
      <c r="V17" s="104" t="str">
        <f>IF(OR(L17=parametros!$G$2,L17=parametros!$G$3,L17=parametros!$G$4),parametros!$G$3,"")</f>
        <v/>
      </c>
      <c r="W17" s="104" t="str">
        <f t="shared" si="1"/>
        <v/>
      </c>
      <c r="X17" s="104" t="str">
        <f>IFERROR(_xlfn.XLOOKUP(C17,me_mkt,'est2'!$B$59:$B$66),"")</f>
        <v/>
      </c>
    </row>
    <row r="18" spans="3:24" ht="22.05" customHeight="1" x14ac:dyDescent="0.4">
      <c r="C18" s="66"/>
      <c r="D18" s="67"/>
      <c r="E18" s="67"/>
      <c r="F18" s="67"/>
      <c r="G18" s="67"/>
      <c r="H18" s="82"/>
      <c r="I18" s="80"/>
      <c r="J18" s="83" t="str">
        <f t="shared" si="0"/>
        <v/>
      </c>
      <c r="K18" s="84" t="str">
        <f>IFERROR(IF(H18="","",NETWORKDAYS.INTL(parametros!$A$2,J18,1,feriados)),"")</f>
        <v/>
      </c>
      <c r="L18" s="80"/>
      <c r="M18" s="85" t="str">
        <f ca="1">IF(J18&lt;parametros!$A$2,parametros!$L$2,IF(H18="","",IF(L18=parametros!$G$5,parametros!$L$3,IF(OR(L18=parametros!$G$3,L18=parametros!$G$4),parametros!$L$4,parametros!$L$5))))</f>
        <v/>
      </c>
      <c r="N18" s="86" t="str">
        <f>IFERROR(IF(H18="","",VLOOKUP(L18,parametros!$G$2:$H$5,2,0)),0)</f>
        <v/>
      </c>
      <c r="R18" s="104" t="str">
        <f t="shared" si="2"/>
        <v/>
      </c>
      <c r="S18" s="104" t="str">
        <f t="shared" si="3"/>
        <v/>
      </c>
      <c r="T18" s="104" t="str">
        <f>IFERROR(VLOOKUP(R18,parametros!$E$2:$F$13,2,0),"")</f>
        <v/>
      </c>
      <c r="U18" s="104" t="str">
        <f>IFERROR(VLOOKUP(S18,parametros!$B$2:$C$21,2,0),"")</f>
        <v/>
      </c>
      <c r="V18" s="104" t="str">
        <f>IF(OR(L18=parametros!$G$2,L18=parametros!$G$3,L18=parametros!$G$4),parametros!$G$3,"")</f>
        <v/>
      </c>
      <c r="W18" s="104" t="str">
        <f t="shared" si="1"/>
        <v/>
      </c>
      <c r="X18" s="104" t="str">
        <f>IFERROR(_xlfn.XLOOKUP(C18,me_mkt,'est2'!$B$59:$B$66),"")</f>
        <v/>
      </c>
    </row>
    <row r="19" spans="3:24" ht="22.05" customHeight="1" x14ac:dyDescent="0.4">
      <c r="C19" s="66"/>
      <c r="D19" s="67"/>
      <c r="E19" s="67"/>
      <c r="F19" s="67"/>
      <c r="G19" s="67"/>
      <c r="H19" s="82"/>
      <c r="I19" s="80"/>
      <c r="J19" s="83" t="str">
        <f t="shared" si="0"/>
        <v/>
      </c>
      <c r="K19" s="84" t="str">
        <f>IFERROR(IF(H19="","",NETWORKDAYS.INTL(parametros!$A$2,J19,1,feriados)),"")</f>
        <v/>
      </c>
      <c r="L19" s="80"/>
      <c r="M19" s="85" t="str">
        <f ca="1">IF(J19&lt;parametros!$A$2,parametros!$L$2,IF(H19="","",IF(L19=parametros!$G$5,parametros!$L$3,IF(OR(L19=parametros!$G$3,L19=parametros!$G$4),parametros!$L$4,parametros!$L$5))))</f>
        <v/>
      </c>
      <c r="N19" s="86" t="str">
        <f>IFERROR(IF(H19="","",VLOOKUP(L19,parametros!$G$2:$H$5,2,0)),0)</f>
        <v/>
      </c>
      <c r="R19" s="104" t="str">
        <f t="shared" si="2"/>
        <v/>
      </c>
      <c r="S19" s="104" t="str">
        <f t="shared" si="3"/>
        <v/>
      </c>
      <c r="T19" s="104" t="str">
        <f>IFERROR(VLOOKUP(R19,parametros!$E$2:$F$13,2,0),"")</f>
        <v/>
      </c>
      <c r="U19" s="104" t="str">
        <f>IFERROR(VLOOKUP(S19,parametros!$B$2:$C$21,2,0),"")</f>
        <v/>
      </c>
      <c r="V19" s="104" t="str">
        <f>IF(OR(L19=parametros!$G$2,L19=parametros!$G$3,L19=parametros!$G$4),parametros!$G$3,"")</f>
        <v/>
      </c>
      <c r="W19" s="104" t="str">
        <f t="shared" si="1"/>
        <v/>
      </c>
      <c r="X19" s="104" t="str">
        <f>IFERROR(_xlfn.XLOOKUP(C19,me_mkt,'est2'!$B$59:$B$66),"")</f>
        <v/>
      </c>
    </row>
    <row r="20" spans="3:24" ht="22.05" customHeight="1" x14ac:dyDescent="0.4">
      <c r="C20" s="66"/>
      <c r="D20" s="67"/>
      <c r="E20" s="67"/>
      <c r="F20" s="67"/>
      <c r="G20" s="67"/>
      <c r="H20" s="82"/>
      <c r="I20" s="80"/>
      <c r="J20" s="83" t="str">
        <f t="shared" si="0"/>
        <v/>
      </c>
      <c r="K20" s="84" t="str">
        <f>IFERROR(IF(H20="","",NETWORKDAYS.INTL(parametros!$A$2,J20,1,feriados)),"")</f>
        <v/>
      </c>
      <c r="L20" s="80"/>
      <c r="M20" s="85" t="str">
        <f ca="1">IF(J20&lt;parametros!$A$2,parametros!$L$2,IF(H20="","",IF(L20=parametros!$G$5,parametros!$L$3,IF(OR(L20=parametros!$G$3,L20=parametros!$G$4),parametros!$L$4,parametros!$L$5))))</f>
        <v/>
      </c>
      <c r="N20" s="86" t="str">
        <f>IFERROR(IF(H20="","",VLOOKUP(L20,parametros!$G$2:$H$5,2,0)),0)</f>
        <v/>
      </c>
      <c r="R20" s="104" t="str">
        <f t="shared" si="2"/>
        <v/>
      </c>
      <c r="S20" s="104" t="str">
        <f t="shared" si="3"/>
        <v/>
      </c>
      <c r="T20" s="104" t="str">
        <f>IFERROR(VLOOKUP(R20,parametros!$E$2:$F$13,2,0),"")</f>
        <v/>
      </c>
      <c r="U20" s="104" t="str">
        <f>IFERROR(VLOOKUP(S20,parametros!$B$2:$C$21,2,0),"")</f>
        <v/>
      </c>
      <c r="V20" s="104" t="str">
        <f>IF(OR(L20=parametros!$G$2,L20=parametros!$G$3,L20=parametros!$G$4),parametros!$G$3,"")</f>
        <v/>
      </c>
      <c r="W20" s="104" t="str">
        <f t="shared" si="1"/>
        <v/>
      </c>
      <c r="X20" s="104" t="str">
        <f>IFERROR(_xlfn.XLOOKUP(C20,me_mkt,'est2'!$B$59:$B$66),"")</f>
        <v/>
      </c>
    </row>
    <row r="21" spans="3:24" ht="22.05" customHeight="1" x14ac:dyDescent="0.4">
      <c r="C21" s="66"/>
      <c r="D21" s="67"/>
      <c r="E21" s="67"/>
      <c r="F21" s="67"/>
      <c r="G21" s="67"/>
      <c r="H21" s="82"/>
      <c r="I21" s="80"/>
      <c r="J21" s="83" t="str">
        <f t="shared" si="0"/>
        <v/>
      </c>
      <c r="K21" s="84" t="str">
        <f>IFERROR(IF(H21="","",NETWORKDAYS.INTL(parametros!$A$2,J21,1,feriados)),"")</f>
        <v/>
      </c>
      <c r="L21" s="80"/>
      <c r="M21" s="85" t="str">
        <f ca="1">IF(J21&lt;parametros!$A$2,parametros!$L$2,IF(H21="","",IF(L21=parametros!$G$5,parametros!$L$3,IF(OR(L21=parametros!$G$3,L21=parametros!$G$4),parametros!$L$4,parametros!$L$5))))</f>
        <v/>
      </c>
      <c r="N21" s="86" t="str">
        <f>IFERROR(IF(H21="","",VLOOKUP(L21,parametros!$G$2:$H$5,2,0)),0)</f>
        <v/>
      </c>
      <c r="R21" s="104" t="str">
        <f t="shared" si="2"/>
        <v/>
      </c>
      <c r="S21" s="104" t="str">
        <f t="shared" si="3"/>
        <v/>
      </c>
      <c r="T21" s="104" t="str">
        <f>IFERROR(VLOOKUP(R21,parametros!$E$2:$F$13,2,0),"")</f>
        <v/>
      </c>
      <c r="U21" s="104" t="str">
        <f>IFERROR(VLOOKUP(S21,parametros!$B$2:$C$21,2,0),"")</f>
        <v/>
      </c>
      <c r="V21" s="104" t="str">
        <f>IF(OR(L21=parametros!$G$2,L21=parametros!$G$3,L21=parametros!$G$4),parametros!$G$3,"")</f>
        <v/>
      </c>
      <c r="W21" s="104" t="str">
        <f t="shared" si="1"/>
        <v/>
      </c>
      <c r="X21" s="104" t="str">
        <f>IFERROR(_xlfn.XLOOKUP(C21,me_mkt,'est2'!$B$59:$B$66),"")</f>
        <v/>
      </c>
    </row>
    <row r="22" spans="3:24" ht="22.05" customHeight="1" x14ac:dyDescent="0.4">
      <c r="C22" s="66"/>
      <c r="D22" s="67"/>
      <c r="E22" s="67"/>
      <c r="F22" s="67"/>
      <c r="G22" s="67"/>
      <c r="H22" s="82"/>
      <c r="I22" s="80"/>
      <c r="J22" s="83" t="str">
        <f t="shared" si="0"/>
        <v/>
      </c>
      <c r="K22" s="84" t="str">
        <f>IFERROR(IF(H22="","",NETWORKDAYS.INTL(parametros!$A$2,J22,1,feriados)),"")</f>
        <v/>
      </c>
      <c r="L22" s="80"/>
      <c r="M22" s="85" t="str">
        <f ca="1">IF(J22&lt;parametros!$A$2,parametros!$L$2,IF(H22="","",IF(L22=parametros!$G$5,parametros!$L$3,IF(OR(L22=parametros!$G$3,L22=parametros!$G$4),parametros!$L$4,parametros!$L$5))))</f>
        <v/>
      </c>
      <c r="N22" s="86" t="str">
        <f>IFERROR(IF(H22="","",VLOOKUP(L22,parametros!$G$2:$H$5,2,0)),0)</f>
        <v/>
      </c>
      <c r="R22" s="104" t="str">
        <f t="shared" si="2"/>
        <v/>
      </c>
      <c r="S22" s="104" t="str">
        <f t="shared" si="3"/>
        <v/>
      </c>
      <c r="T22" s="104" t="str">
        <f>IFERROR(VLOOKUP(R22,parametros!$E$2:$F$13,2,0),"")</f>
        <v/>
      </c>
      <c r="U22" s="104" t="str">
        <f>IFERROR(VLOOKUP(S22,parametros!$B$2:$C$21,2,0),"")</f>
        <v/>
      </c>
      <c r="V22" s="104" t="str">
        <f>IF(OR(L22=parametros!$G$2,L22=parametros!$G$3,L22=parametros!$G$4),parametros!$G$3,"")</f>
        <v/>
      </c>
      <c r="W22" s="104" t="str">
        <f t="shared" si="1"/>
        <v/>
      </c>
      <c r="X22" s="104" t="str">
        <f>IFERROR(_xlfn.XLOOKUP(C22,me_mkt,'est2'!$B$59:$B$66),"")</f>
        <v/>
      </c>
    </row>
    <row r="23" spans="3:24" ht="22.05" customHeight="1" thickBot="1" x14ac:dyDescent="0.45">
      <c r="C23" s="68"/>
      <c r="D23" s="69"/>
      <c r="E23" s="69"/>
      <c r="F23" s="69"/>
      <c r="G23" s="69"/>
      <c r="H23" s="87"/>
      <c r="I23" s="81"/>
      <c r="J23" s="88" t="str">
        <f t="shared" si="0"/>
        <v/>
      </c>
      <c r="K23" s="89" t="str">
        <f>IFERROR(IF(H23="","",NETWORKDAYS.INTL(parametros!$A$2,J23,1,feriados)),"")</f>
        <v/>
      </c>
      <c r="L23" s="81"/>
      <c r="M23" s="90" t="str">
        <f ca="1">IF(J23&lt;parametros!$A$2,parametros!$L$2,IF(H23="","",IF(L23=parametros!$G$5,parametros!$L$3,IF(OR(L23=parametros!$G$3,L23=parametros!$G$4),parametros!$L$4,parametros!$L$5))))</f>
        <v/>
      </c>
      <c r="N23" s="91" t="str">
        <f>IFERROR(IF(H23="","",VLOOKUP(L23,parametros!$G$2:$H$5,2,0)),0)</f>
        <v/>
      </c>
      <c r="R23" s="104" t="str">
        <f t="shared" si="2"/>
        <v/>
      </c>
      <c r="S23" s="104" t="str">
        <f t="shared" si="3"/>
        <v/>
      </c>
      <c r="T23" s="104" t="str">
        <f>IFERROR(VLOOKUP(R23,parametros!$E$2:$F$13,2,0),"")</f>
        <v/>
      </c>
      <c r="U23" s="104" t="str">
        <f>IFERROR(VLOOKUP(S23,parametros!$B$2:$C$21,2,0),"")</f>
        <v/>
      </c>
      <c r="V23" s="104" t="str">
        <f>IF(OR(L23=parametros!$G$2,L23=parametros!$G$3,L23=parametros!$G$4),parametros!$G$3,"")</f>
        <v/>
      </c>
      <c r="W23" s="104" t="str">
        <f t="shared" si="1"/>
        <v/>
      </c>
      <c r="X23" s="104" t="str">
        <f>IFERROR(_xlfn.XLOOKUP(C23,me_mkt,'est2'!$B$59:$B$66),"")</f>
        <v/>
      </c>
    </row>
  </sheetData>
  <dataValidations count="4">
    <dataValidation type="list" allowBlank="1" showInputMessage="1" showErrorMessage="1" sqref="C5:C23" xr:uid="{FBD1E7F4-81F5-4A45-A79F-FF4AB7D8DE1D}">
      <formula1>me_mkt</formula1>
    </dataValidation>
    <dataValidation type="list" allowBlank="1" showInputMessage="1" showErrorMessage="1" sqref="F5:F23" xr:uid="{3C08FAB8-A90D-4452-BAE3-66035E7F0E48}">
      <formula1>funcionarios</formula1>
    </dataValidation>
    <dataValidation type="list" allowBlank="1" showInputMessage="1" showErrorMessage="1" sqref="E5:E23" xr:uid="{64272376-D25F-4637-8E88-E33BEDD0E1C8}">
      <formula1>equipes</formula1>
    </dataValidation>
    <dataValidation type="list" allowBlank="1" showInputMessage="1" showErrorMessage="1" sqref="L5:L23" xr:uid="{C40C94AA-8990-4AA9-AC57-4678873BB3DD}">
      <formula1>params_status</formula1>
    </dataValidation>
  </dataValidations>
  <pageMargins left="0.511811024" right="0.511811024" top="0.78740157499999996" bottom="0.78740157499999996" header="0.31496062000000002" footer="0.31496062000000002"/>
  <pageSetup paperSize="9" scale="5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5713-C73D-4727-BB08-D8046345AEB3}">
  <sheetPr>
    <pageSetUpPr fitToPage="1"/>
  </sheetPr>
  <dimension ref="C1:X23"/>
  <sheetViews>
    <sheetView zoomScale="107" zoomScaleNormal="107" workbookViewId="0">
      <selection activeCell="C5" sqref="C5:I5"/>
    </sheetView>
  </sheetViews>
  <sheetFormatPr defaultRowHeight="13.2" x14ac:dyDescent="0.4"/>
  <cols>
    <col min="1" max="2" width="2.21875" style="7" customWidth="1"/>
    <col min="3" max="3" width="27.21875" style="7" customWidth="1"/>
    <col min="4" max="4" width="37.33203125" style="7" customWidth="1"/>
    <col min="5" max="5" width="10.6640625" style="7" bestFit="1" customWidth="1"/>
    <col min="6" max="6" width="18.44140625" style="7" customWidth="1"/>
    <col min="7" max="7" width="43.33203125" style="7" customWidth="1"/>
    <col min="8" max="10" width="13.109375" style="7" customWidth="1"/>
    <col min="11" max="11" width="10.5546875" style="7" bestFit="1" customWidth="1"/>
    <col min="12" max="12" width="15" style="7" bestFit="1" customWidth="1"/>
    <col min="13" max="13" width="15" style="7" customWidth="1"/>
    <col min="14" max="15" width="8.88671875" style="7"/>
    <col min="16" max="16" width="9" style="7" customWidth="1"/>
    <col min="17" max="16384" width="8.88671875" style="7"/>
  </cols>
  <sheetData>
    <row r="1" spans="3:24" s="3" customFormat="1" ht="27.6" customHeight="1" x14ac:dyDescent="0.4"/>
    <row r="2" spans="3:24" s="5" customFormat="1" ht="21.6" customHeight="1" x14ac:dyDescent="0.4"/>
    <row r="3" spans="3:24" ht="4.95" customHeight="1" thickBot="1" x14ac:dyDescent="0.45"/>
    <row r="4" spans="3:24" ht="22.05" customHeight="1" x14ac:dyDescent="0.4">
      <c r="C4" s="58" t="s">
        <v>80</v>
      </c>
      <c r="D4" s="59" t="s">
        <v>77</v>
      </c>
      <c r="E4" s="59" t="s">
        <v>81</v>
      </c>
      <c r="F4" s="59" t="s">
        <v>78</v>
      </c>
      <c r="G4" s="59" t="s">
        <v>79</v>
      </c>
      <c r="H4" s="59" t="s">
        <v>97</v>
      </c>
      <c r="I4" s="59" t="s">
        <v>99</v>
      </c>
      <c r="J4" s="59" t="s">
        <v>98</v>
      </c>
      <c r="K4" s="59" t="s">
        <v>83</v>
      </c>
      <c r="L4" s="59" t="s">
        <v>82</v>
      </c>
      <c r="M4" s="70" t="s">
        <v>134</v>
      </c>
      <c r="N4" s="60" t="s">
        <v>45</v>
      </c>
    </row>
    <row r="5" spans="3:24" ht="22.05" customHeight="1" x14ac:dyDescent="0.4">
      <c r="C5" s="61"/>
      <c r="D5" s="62"/>
      <c r="E5" s="62"/>
      <c r="F5" s="62"/>
      <c r="G5" s="62"/>
      <c r="H5" s="63"/>
      <c r="I5" s="65"/>
      <c r="J5" s="73" t="str">
        <f t="shared" ref="J5:J23" si="0">IF(H5="","",WORKDAY(H5,I5,feriados))</f>
        <v/>
      </c>
      <c r="K5" s="64" t="str">
        <f>IFERROR(IF(H5="","",NETWORKDAYS.INTL(parametros!$A$2,J5,1,feriados)),"")</f>
        <v/>
      </c>
      <c r="L5" s="65" t="s">
        <v>102</v>
      </c>
      <c r="M5" s="71" t="str">
        <f ca="1">IF(J5&lt;parametros!$A$2,parametros!$L$2,IF(H5="","",IF(L5=parametros!$G$5,parametros!$L$3,IF(OR(L5=parametros!$G$3,L5=parametros!$G$4),parametros!$L$4,parametros!$L$5))))</f>
        <v/>
      </c>
      <c r="N5" s="72" t="str">
        <f>IFERROR(IF(H5="","",VLOOKUP(L5,parametros!$G$2:$H$5,2,0)),0)</f>
        <v/>
      </c>
      <c r="P5" s="55"/>
      <c r="R5" s="104" t="str">
        <f>IFERROR(MONTH(J5),"")</f>
        <v/>
      </c>
      <c r="S5" s="104" t="str">
        <f>IFERROR(YEAR(J5),"")</f>
        <v/>
      </c>
      <c r="T5" s="104" t="str">
        <f>IFERROR(VLOOKUP(R5,parametros!$E$2:$F$13,2,0),"")</f>
        <v/>
      </c>
      <c r="U5" s="104" t="str">
        <f>IFERROR(VLOOKUP(S5,parametros!$B$2:$C$21,2,0),"")</f>
        <v/>
      </c>
      <c r="V5" s="104" t="str">
        <f>IF(OR(L5=parametros!$G$2,L5=parametros!$G$3,L5=parametros!$G$4),parametros!$G$3,"")</f>
        <v>Em Andamento</v>
      </c>
      <c r="W5" s="104" t="str">
        <f t="shared" ref="W5:W23" si="1">IFERROR(VLOOKUP(X5,perspectiva_pi,2,0),"")</f>
        <v/>
      </c>
      <c r="X5" s="104" t="str">
        <f>IFERROR(_xlfn.XLOOKUP(C5,me_log,'est3'!$B$59:$B$66),"")</f>
        <v/>
      </c>
    </row>
    <row r="6" spans="3:24" ht="22.05" customHeight="1" x14ac:dyDescent="0.4">
      <c r="C6" s="66"/>
      <c r="D6" s="67"/>
      <c r="E6" s="67"/>
      <c r="F6" s="67"/>
      <c r="G6" s="67"/>
      <c r="H6" s="82"/>
      <c r="I6" s="80"/>
      <c r="J6" s="83" t="str">
        <f t="shared" si="0"/>
        <v/>
      </c>
      <c r="K6" s="84" t="str">
        <f>IFERROR(IF(H6="","",NETWORKDAYS.INTL(parametros!$A$2,J6,1,feriados)),"")</f>
        <v/>
      </c>
      <c r="L6" s="80"/>
      <c r="M6" s="85" t="str">
        <f ca="1">IF(J6&lt;parametros!$A$2,parametros!$L$2,IF(H6="","",IF(L6=parametros!$G$5,parametros!$L$3,IF(OR(L6=parametros!$G$3,L6=parametros!$G$4),parametros!$L$4,parametros!$L$5))))</f>
        <v/>
      </c>
      <c r="N6" s="86" t="str">
        <f>IFERROR(IF(H6="","",VLOOKUP(L6,parametros!$G$2:$H$5,2,0)),0)</f>
        <v/>
      </c>
      <c r="P6" s="56"/>
      <c r="R6" s="104" t="str">
        <f t="shared" ref="R6:R23" si="2">IFERROR(MONTH(J6),"")</f>
        <v/>
      </c>
      <c r="S6" s="104" t="str">
        <f t="shared" ref="S6:S23" si="3">IFERROR(YEAR(J6),"")</f>
        <v/>
      </c>
      <c r="T6" s="104" t="str">
        <f>IFERROR(VLOOKUP(R6,parametros!$E$2:$F$13,2,0),"")</f>
        <v/>
      </c>
      <c r="U6" s="104" t="str">
        <f>IFERROR(VLOOKUP(S6,parametros!$B$2:$C$21,2,0),"")</f>
        <v/>
      </c>
      <c r="V6" s="104" t="str">
        <f>IF(OR(L6=parametros!$G$2,L6=parametros!$G$3,L6=parametros!$G$4),parametros!$G$3,"")</f>
        <v/>
      </c>
      <c r="W6" s="104" t="str">
        <f t="shared" si="1"/>
        <v/>
      </c>
      <c r="X6" s="104" t="str">
        <f>IFERROR(_xlfn.XLOOKUP(C6,me_log,'est3'!$B$59:$B$66),"")</f>
        <v/>
      </c>
    </row>
    <row r="7" spans="3:24" ht="22.05" customHeight="1" x14ac:dyDescent="0.4">
      <c r="C7" s="66"/>
      <c r="D7" s="67"/>
      <c r="E7" s="67"/>
      <c r="F7" s="67"/>
      <c r="G7" s="67"/>
      <c r="H7" s="82"/>
      <c r="I7" s="80"/>
      <c r="J7" s="83" t="str">
        <f t="shared" si="0"/>
        <v/>
      </c>
      <c r="K7" s="84" t="str">
        <f>IFERROR(IF(H7="","",NETWORKDAYS.INTL(parametros!$A$2,J7,1,feriados)),"")</f>
        <v/>
      </c>
      <c r="L7" s="80"/>
      <c r="M7" s="85" t="str">
        <f ca="1">IF(J7&lt;parametros!$A$2,parametros!$L$2,IF(H7="","",IF(L7=parametros!$G$5,parametros!$L$3,IF(OR(L7=parametros!$G$3,L7=parametros!$G$4),parametros!$L$4,parametros!$L$5))))</f>
        <v/>
      </c>
      <c r="N7" s="86" t="str">
        <f>IFERROR(IF(H7="","",VLOOKUP(L7,parametros!$G$2:$H$5,2,0)),0)</f>
        <v/>
      </c>
      <c r="R7" s="104" t="str">
        <f t="shared" si="2"/>
        <v/>
      </c>
      <c r="S7" s="104" t="str">
        <f t="shared" si="3"/>
        <v/>
      </c>
      <c r="T7" s="104" t="str">
        <f>IFERROR(VLOOKUP(R7,parametros!$E$2:$F$13,2,0),"")</f>
        <v/>
      </c>
      <c r="U7" s="104" t="str">
        <f>IFERROR(VLOOKUP(S7,parametros!$B$2:$C$21,2,0),"")</f>
        <v/>
      </c>
      <c r="V7" s="104" t="str">
        <f>IF(OR(L7=parametros!$G$2,L7=parametros!$G$3,L7=parametros!$G$4),parametros!$G$3,"")</f>
        <v/>
      </c>
      <c r="W7" s="104" t="str">
        <f t="shared" si="1"/>
        <v/>
      </c>
      <c r="X7" s="104" t="str">
        <f>IFERROR(_xlfn.XLOOKUP(C7,me_log,'est3'!$B$59:$B$66),"")</f>
        <v/>
      </c>
    </row>
    <row r="8" spans="3:24" ht="22.05" customHeight="1" x14ac:dyDescent="0.4">
      <c r="C8" s="66"/>
      <c r="D8" s="67"/>
      <c r="E8" s="67"/>
      <c r="F8" s="67"/>
      <c r="G8" s="67"/>
      <c r="H8" s="82"/>
      <c r="I8" s="80"/>
      <c r="J8" s="83" t="str">
        <f t="shared" si="0"/>
        <v/>
      </c>
      <c r="K8" s="84" t="str">
        <f>IFERROR(IF(H8="","",NETWORKDAYS.INTL(parametros!$A$2,J8,1,feriados)),"")</f>
        <v/>
      </c>
      <c r="L8" s="80"/>
      <c r="M8" s="85" t="str">
        <f ca="1">IF(J8&lt;parametros!$A$2,parametros!$L$2,IF(H8="","",IF(L8=parametros!$G$5,parametros!$L$3,IF(OR(L8=parametros!$G$3,L8=parametros!$G$4),parametros!$L$4,parametros!$L$5))))</f>
        <v/>
      </c>
      <c r="N8" s="86" t="str">
        <f>IFERROR(IF(H8="","",VLOOKUP(L8,parametros!$G$2:$H$5,2,0)),0)</f>
        <v/>
      </c>
      <c r="R8" s="104" t="str">
        <f t="shared" si="2"/>
        <v/>
      </c>
      <c r="S8" s="104" t="str">
        <f t="shared" si="3"/>
        <v/>
      </c>
      <c r="T8" s="104" t="str">
        <f>IFERROR(VLOOKUP(R8,parametros!$E$2:$F$13,2,0),"")</f>
        <v/>
      </c>
      <c r="U8" s="104" t="str">
        <f>IFERROR(VLOOKUP(S8,parametros!$B$2:$C$21,2,0),"")</f>
        <v/>
      </c>
      <c r="V8" s="104" t="str">
        <f>IF(OR(L8=parametros!$G$2,L8=parametros!$G$3,L8=parametros!$G$4),parametros!$G$3,"")</f>
        <v/>
      </c>
      <c r="W8" s="104" t="str">
        <f t="shared" si="1"/>
        <v/>
      </c>
      <c r="X8" s="104" t="str">
        <f>IFERROR(_xlfn.XLOOKUP(C8,me_log,'est3'!$B$59:$B$66),"")</f>
        <v/>
      </c>
    </row>
    <row r="9" spans="3:24" ht="22.05" customHeight="1" x14ac:dyDescent="0.4">
      <c r="C9" s="66"/>
      <c r="D9" s="67"/>
      <c r="E9" s="67"/>
      <c r="F9" s="67"/>
      <c r="G9" s="67"/>
      <c r="H9" s="82"/>
      <c r="I9" s="80"/>
      <c r="J9" s="83" t="str">
        <f t="shared" si="0"/>
        <v/>
      </c>
      <c r="K9" s="84" t="str">
        <f>IFERROR(IF(H9="","",NETWORKDAYS.INTL(parametros!$A$2,J9,1,feriados)),"")</f>
        <v/>
      </c>
      <c r="L9" s="80"/>
      <c r="M9" s="85" t="str">
        <f ca="1">IF(J9&lt;parametros!$A$2,parametros!$L$2,IF(H9="","",IF(L9=parametros!$G$5,parametros!$L$3,IF(OR(L9=parametros!$G$3,L9=parametros!$G$4),parametros!$L$4,parametros!$L$5))))</f>
        <v/>
      </c>
      <c r="N9" s="86" t="str">
        <f>IFERROR(IF(H9="","",VLOOKUP(L9,parametros!$G$2:$H$5,2,0)),0)</f>
        <v/>
      </c>
      <c r="R9" s="104" t="str">
        <f t="shared" si="2"/>
        <v/>
      </c>
      <c r="S9" s="104" t="str">
        <f t="shared" si="3"/>
        <v/>
      </c>
      <c r="T9" s="104" t="str">
        <f>IFERROR(VLOOKUP(R9,parametros!$E$2:$F$13,2,0),"")</f>
        <v/>
      </c>
      <c r="U9" s="104" t="str">
        <f>IFERROR(VLOOKUP(S9,parametros!$B$2:$C$21,2,0),"")</f>
        <v/>
      </c>
      <c r="V9" s="104" t="str">
        <f>IF(OR(L9=parametros!$G$2,L9=parametros!$G$3,L9=parametros!$G$4),parametros!$G$3,"")</f>
        <v/>
      </c>
      <c r="W9" s="104" t="str">
        <f t="shared" si="1"/>
        <v/>
      </c>
      <c r="X9" s="104" t="str">
        <f>IFERROR(_xlfn.XLOOKUP(C9,me_log,'est3'!$B$59:$B$66),"")</f>
        <v/>
      </c>
    </row>
    <row r="10" spans="3:24" ht="22.05" customHeight="1" x14ac:dyDescent="0.4">
      <c r="C10" s="66"/>
      <c r="D10" s="67"/>
      <c r="E10" s="67"/>
      <c r="F10" s="67"/>
      <c r="G10" s="67"/>
      <c r="H10" s="82"/>
      <c r="I10" s="80"/>
      <c r="J10" s="83" t="str">
        <f t="shared" si="0"/>
        <v/>
      </c>
      <c r="K10" s="84" t="str">
        <f>IFERROR(IF(H10="","",NETWORKDAYS.INTL(parametros!$A$2,J10,1,feriados)),"")</f>
        <v/>
      </c>
      <c r="L10" s="80"/>
      <c r="M10" s="85" t="str">
        <f ca="1">IF(J10&lt;parametros!$A$2,parametros!$L$2,IF(H10="","",IF(L10=parametros!$G$5,parametros!$L$3,IF(OR(L10=parametros!$G$3,L10=parametros!$G$4),parametros!$L$4,parametros!$L$5))))</f>
        <v/>
      </c>
      <c r="N10" s="86" t="str">
        <f>IFERROR(IF(H10="","",VLOOKUP(L10,parametros!$G$2:$H$5,2,0)),0)</f>
        <v/>
      </c>
      <c r="R10" s="104" t="str">
        <f t="shared" si="2"/>
        <v/>
      </c>
      <c r="S10" s="104" t="str">
        <f t="shared" si="3"/>
        <v/>
      </c>
      <c r="T10" s="104" t="str">
        <f>IFERROR(VLOOKUP(R10,parametros!$E$2:$F$13,2,0),"")</f>
        <v/>
      </c>
      <c r="U10" s="104" t="str">
        <f>IFERROR(VLOOKUP(S10,parametros!$B$2:$C$21,2,0),"")</f>
        <v/>
      </c>
      <c r="V10" s="104" t="str">
        <f>IF(OR(L10=parametros!$G$2,L10=parametros!$G$3,L10=parametros!$G$4),parametros!$G$3,"")</f>
        <v/>
      </c>
      <c r="W10" s="104" t="str">
        <f t="shared" si="1"/>
        <v/>
      </c>
      <c r="X10" s="104" t="str">
        <f>IFERROR(_xlfn.XLOOKUP(C10,me_log,'est3'!$B$59:$B$66),"")</f>
        <v/>
      </c>
    </row>
    <row r="11" spans="3:24" ht="22.05" customHeight="1" x14ac:dyDescent="0.4">
      <c r="C11" s="66"/>
      <c r="D11" s="67"/>
      <c r="E11" s="67"/>
      <c r="F11" s="67"/>
      <c r="G11" s="67"/>
      <c r="H11" s="82"/>
      <c r="I11" s="80"/>
      <c r="J11" s="83" t="str">
        <f t="shared" si="0"/>
        <v/>
      </c>
      <c r="K11" s="84" t="str">
        <f>IFERROR(IF(H11="","",NETWORKDAYS.INTL(parametros!$A$2,J11,1,feriados)),"")</f>
        <v/>
      </c>
      <c r="L11" s="80"/>
      <c r="M11" s="85" t="str">
        <f ca="1">IF(J11&lt;parametros!$A$2,parametros!$L$2,IF(H11="","",IF(L11=parametros!$G$5,parametros!$L$3,IF(OR(L11=parametros!$G$3,L11=parametros!$G$4),parametros!$L$4,parametros!$L$5))))</f>
        <v/>
      </c>
      <c r="N11" s="86" t="str">
        <f>IFERROR(IF(H11="","",VLOOKUP(L11,parametros!$G$2:$H$5,2,0)),0)</f>
        <v/>
      </c>
      <c r="R11" s="104" t="str">
        <f t="shared" si="2"/>
        <v/>
      </c>
      <c r="S11" s="104" t="str">
        <f t="shared" si="3"/>
        <v/>
      </c>
      <c r="T11" s="104" t="str">
        <f>IFERROR(VLOOKUP(R11,parametros!$E$2:$F$13,2,0),"")</f>
        <v/>
      </c>
      <c r="U11" s="104" t="str">
        <f>IFERROR(VLOOKUP(S11,parametros!$B$2:$C$21,2,0),"")</f>
        <v/>
      </c>
      <c r="V11" s="104" t="str">
        <f>IF(OR(L11=parametros!$G$2,L11=parametros!$G$3,L11=parametros!$G$4),parametros!$G$3,"")</f>
        <v/>
      </c>
      <c r="W11" s="104" t="str">
        <f t="shared" si="1"/>
        <v/>
      </c>
      <c r="X11" s="104" t="str">
        <f>IFERROR(_xlfn.XLOOKUP(C11,me_log,'est3'!$B$59:$B$66),"")</f>
        <v/>
      </c>
    </row>
    <row r="12" spans="3:24" ht="22.05" customHeight="1" x14ac:dyDescent="0.4">
      <c r="C12" s="66"/>
      <c r="D12" s="67"/>
      <c r="E12" s="67"/>
      <c r="F12" s="67"/>
      <c r="G12" s="67"/>
      <c r="H12" s="82"/>
      <c r="I12" s="80"/>
      <c r="J12" s="83" t="str">
        <f t="shared" si="0"/>
        <v/>
      </c>
      <c r="K12" s="84" t="str">
        <f>IFERROR(IF(H12="","",NETWORKDAYS.INTL(parametros!$A$2,J12,1,feriados)),"")</f>
        <v/>
      </c>
      <c r="L12" s="80"/>
      <c r="M12" s="85" t="str">
        <f ca="1">IF(J12&lt;parametros!$A$2,parametros!$L$2,IF(H12="","",IF(L12=parametros!$G$5,parametros!$L$3,IF(OR(L12=parametros!$G$3,L12=parametros!$G$4),parametros!$L$4,parametros!$L$5))))</f>
        <v/>
      </c>
      <c r="N12" s="86" t="str">
        <f>IFERROR(IF(H12="","",VLOOKUP(L12,parametros!$G$2:$H$5,2,0)),0)</f>
        <v/>
      </c>
      <c r="R12" s="104" t="str">
        <f t="shared" si="2"/>
        <v/>
      </c>
      <c r="S12" s="104" t="str">
        <f t="shared" si="3"/>
        <v/>
      </c>
      <c r="T12" s="104" t="str">
        <f>IFERROR(VLOOKUP(R12,parametros!$E$2:$F$13,2,0),"")</f>
        <v/>
      </c>
      <c r="U12" s="104" t="str">
        <f>IFERROR(VLOOKUP(S12,parametros!$B$2:$C$21,2,0),"")</f>
        <v/>
      </c>
      <c r="V12" s="104" t="str">
        <f>IF(OR(L12=parametros!$G$2,L12=parametros!$G$3,L12=parametros!$G$4),parametros!$G$3,"")</f>
        <v/>
      </c>
      <c r="W12" s="104" t="str">
        <f t="shared" si="1"/>
        <v/>
      </c>
      <c r="X12" s="104" t="str">
        <f>IFERROR(_xlfn.XLOOKUP(C12,me_log,'est3'!$B$59:$B$66),"")</f>
        <v/>
      </c>
    </row>
    <row r="13" spans="3:24" ht="22.05" customHeight="1" x14ac:dyDescent="0.4">
      <c r="C13" s="66"/>
      <c r="D13" s="67"/>
      <c r="E13" s="67"/>
      <c r="F13" s="67"/>
      <c r="G13" s="67"/>
      <c r="H13" s="82"/>
      <c r="I13" s="80"/>
      <c r="J13" s="83" t="str">
        <f t="shared" si="0"/>
        <v/>
      </c>
      <c r="K13" s="84" t="str">
        <f>IFERROR(IF(H13="","",NETWORKDAYS.INTL(parametros!$A$2,J13,1,feriados)),"")</f>
        <v/>
      </c>
      <c r="L13" s="80"/>
      <c r="M13" s="85" t="str">
        <f ca="1">IF(J13&lt;parametros!$A$2,parametros!$L$2,IF(H13="","",IF(L13=parametros!$G$5,parametros!$L$3,IF(OR(L13=parametros!$G$3,L13=parametros!$G$4),parametros!$L$4,parametros!$L$5))))</f>
        <v/>
      </c>
      <c r="N13" s="86" t="str">
        <f>IFERROR(IF(H13="","",VLOOKUP(L13,parametros!$G$2:$H$5,2,0)),0)</f>
        <v/>
      </c>
      <c r="R13" s="104" t="str">
        <f t="shared" si="2"/>
        <v/>
      </c>
      <c r="S13" s="104" t="str">
        <f t="shared" si="3"/>
        <v/>
      </c>
      <c r="T13" s="104" t="str">
        <f>IFERROR(VLOOKUP(R13,parametros!$E$2:$F$13,2,0),"")</f>
        <v/>
      </c>
      <c r="U13" s="104" t="str">
        <f>IFERROR(VLOOKUP(S13,parametros!$B$2:$C$21,2,0),"")</f>
        <v/>
      </c>
      <c r="V13" s="104" t="str">
        <f>IF(OR(L13=parametros!$G$2,L13=parametros!$G$3,L13=parametros!$G$4),parametros!$G$3,"")</f>
        <v/>
      </c>
      <c r="W13" s="104" t="str">
        <f t="shared" si="1"/>
        <v/>
      </c>
      <c r="X13" s="104" t="str">
        <f>IFERROR(_xlfn.XLOOKUP(C13,me_log,'est3'!$B$59:$B$66),"")</f>
        <v/>
      </c>
    </row>
    <row r="14" spans="3:24" ht="22.05" customHeight="1" x14ac:dyDescent="0.4">
      <c r="C14" s="66"/>
      <c r="D14" s="67"/>
      <c r="E14" s="67"/>
      <c r="F14" s="67"/>
      <c r="G14" s="67"/>
      <c r="H14" s="82"/>
      <c r="I14" s="80"/>
      <c r="J14" s="83" t="str">
        <f t="shared" si="0"/>
        <v/>
      </c>
      <c r="K14" s="84" t="str">
        <f>IFERROR(IF(H14="","",NETWORKDAYS.INTL(parametros!$A$2,J14,1,feriados)),"")</f>
        <v/>
      </c>
      <c r="L14" s="80"/>
      <c r="M14" s="85" t="str">
        <f ca="1">IF(J14&lt;parametros!$A$2,parametros!$L$2,IF(H14="","",IF(L14=parametros!$G$5,parametros!$L$3,IF(OR(L14=parametros!$G$3,L14=parametros!$G$4),parametros!$L$4,parametros!$L$5))))</f>
        <v/>
      </c>
      <c r="N14" s="86" t="str">
        <f>IFERROR(IF(H14="","",VLOOKUP(L14,parametros!$G$2:$H$5,2,0)),0)</f>
        <v/>
      </c>
      <c r="R14" s="104" t="str">
        <f t="shared" si="2"/>
        <v/>
      </c>
      <c r="S14" s="104" t="str">
        <f t="shared" si="3"/>
        <v/>
      </c>
      <c r="T14" s="104" t="str">
        <f>IFERROR(VLOOKUP(R14,parametros!$E$2:$F$13,2,0),"")</f>
        <v/>
      </c>
      <c r="U14" s="104" t="str">
        <f>IFERROR(VLOOKUP(S14,parametros!$B$2:$C$21,2,0),"")</f>
        <v/>
      </c>
      <c r="V14" s="104" t="str">
        <f>IF(OR(L14=parametros!$G$2,L14=parametros!$G$3,L14=parametros!$G$4),parametros!$G$3,"")</f>
        <v/>
      </c>
      <c r="W14" s="104" t="str">
        <f t="shared" si="1"/>
        <v/>
      </c>
      <c r="X14" s="104" t="str">
        <f>IFERROR(_xlfn.XLOOKUP(C14,me_log,'est3'!$B$59:$B$66),"")</f>
        <v/>
      </c>
    </row>
    <row r="15" spans="3:24" ht="22.05" customHeight="1" x14ac:dyDescent="0.4">
      <c r="C15" s="66"/>
      <c r="D15" s="67"/>
      <c r="E15" s="67"/>
      <c r="F15" s="67"/>
      <c r="G15" s="67"/>
      <c r="H15" s="82"/>
      <c r="I15" s="80"/>
      <c r="J15" s="83" t="str">
        <f t="shared" si="0"/>
        <v/>
      </c>
      <c r="K15" s="84" t="str">
        <f>IFERROR(IF(H15="","",NETWORKDAYS.INTL(parametros!$A$2,J15,1,feriados)),"")</f>
        <v/>
      </c>
      <c r="L15" s="80"/>
      <c r="M15" s="85" t="str">
        <f ca="1">IF(J15&lt;parametros!$A$2,parametros!$L$2,IF(H15="","",IF(L15=parametros!$G$5,parametros!$L$3,IF(OR(L15=parametros!$G$3,L15=parametros!$G$4),parametros!$L$4,parametros!$L$5))))</f>
        <v/>
      </c>
      <c r="N15" s="86" t="str">
        <f>IFERROR(IF(H15="","",VLOOKUP(L15,parametros!$G$2:$H$5,2,0)),0)</f>
        <v/>
      </c>
      <c r="R15" s="104" t="str">
        <f t="shared" si="2"/>
        <v/>
      </c>
      <c r="S15" s="104" t="str">
        <f t="shared" si="3"/>
        <v/>
      </c>
      <c r="T15" s="104" t="str">
        <f>IFERROR(VLOOKUP(R15,parametros!$E$2:$F$13,2,0),"")</f>
        <v/>
      </c>
      <c r="U15" s="104" t="str">
        <f>IFERROR(VLOOKUP(S15,parametros!$B$2:$C$21,2,0),"")</f>
        <v/>
      </c>
      <c r="V15" s="104" t="str">
        <f>IF(OR(L15=parametros!$G$2,L15=parametros!$G$3,L15=parametros!$G$4),parametros!$G$3,"")</f>
        <v/>
      </c>
      <c r="W15" s="104" t="str">
        <f t="shared" si="1"/>
        <v/>
      </c>
      <c r="X15" s="104" t="str">
        <f>IFERROR(_xlfn.XLOOKUP(C15,me_log,'est3'!$B$59:$B$66),"")</f>
        <v/>
      </c>
    </row>
    <row r="16" spans="3:24" ht="22.05" customHeight="1" x14ac:dyDescent="0.4">
      <c r="C16" s="66"/>
      <c r="D16" s="67"/>
      <c r="E16" s="67"/>
      <c r="F16" s="67"/>
      <c r="G16" s="67"/>
      <c r="H16" s="82"/>
      <c r="I16" s="80"/>
      <c r="J16" s="83" t="str">
        <f t="shared" si="0"/>
        <v/>
      </c>
      <c r="K16" s="84" t="str">
        <f>IFERROR(IF(H16="","",NETWORKDAYS.INTL(parametros!$A$2,J16,1,feriados)),"")</f>
        <v/>
      </c>
      <c r="L16" s="80"/>
      <c r="M16" s="85" t="str">
        <f ca="1">IF(J16&lt;parametros!$A$2,parametros!$L$2,IF(H16="","",IF(L16=parametros!$G$5,parametros!$L$3,IF(OR(L16=parametros!$G$3,L16=parametros!$G$4),parametros!$L$4,parametros!$L$5))))</f>
        <v/>
      </c>
      <c r="N16" s="86" t="str">
        <f>IFERROR(IF(H16="","",VLOOKUP(L16,parametros!$G$2:$H$5,2,0)),0)</f>
        <v/>
      </c>
      <c r="R16" s="104" t="str">
        <f t="shared" si="2"/>
        <v/>
      </c>
      <c r="S16" s="104" t="str">
        <f t="shared" si="3"/>
        <v/>
      </c>
      <c r="T16" s="104" t="str">
        <f>IFERROR(VLOOKUP(R16,parametros!$E$2:$F$13,2,0),"")</f>
        <v/>
      </c>
      <c r="U16" s="104" t="str">
        <f>IFERROR(VLOOKUP(S16,parametros!$B$2:$C$21,2,0),"")</f>
        <v/>
      </c>
      <c r="V16" s="104" t="str">
        <f>IF(OR(L16=parametros!$G$2,L16=parametros!$G$3,L16=parametros!$G$4),parametros!$G$3,"")</f>
        <v/>
      </c>
      <c r="W16" s="104" t="str">
        <f t="shared" si="1"/>
        <v/>
      </c>
      <c r="X16" s="104" t="str">
        <f>IFERROR(_xlfn.XLOOKUP(C16,me_log,'est3'!$B$59:$B$66),"")</f>
        <v/>
      </c>
    </row>
    <row r="17" spans="3:24" ht="22.05" customHeight="1" x14ac:dyDescent="0.4">
      <c r="C17" s="66"/>
      <c r="D17" s="67"/>
      <c r="E17" s="67"/>
      <c r="F17" s="67"/>
      <c r="G17" s="67"/>
      <c r="H17" s="82"/>
      <c r="I17" s="80"/>
      <c r="J17" s="83" t="str">
        <f t="shared" si="0"/>
        <v/>
      </c>
      <c r="K17" s="84" t="str">
        <f>IFERROR(IF(H17="","",NETWORKDAYS.INTL(parametros!$A$2,J17,1,feriados)),"")</f>
        <v/>
      </c>
      <c r="L17" s="80"/>
      <c r="M17" s="85" t="str">
        <f ca="1">IF(J17&lt;parametros!$A$2,parametros!$L$2,IF(H17="","",IF(L17=parametros!$G$5,parametros!$L$3,IF(OR(L17=parametros!$G$3,L17=parametros!$G$4),parametros!$L$4,parametros!$L$5))))</f>
        <v/>
      </c>
      <c r="N17" s="86" t="str">
        <f>IFERROR(IF(H17="","",VLOOKUP(L17,parametros!$G$2:$H$5,2,0)),0)</f>
        <v/>
      </c>
      <c r="R17" s="104" t="str">
        <f t="shared" si="2"/>
        <v/>
      </c>
      <c r="S17" s="104" t="str">
        <f t="shared" si="3"/>
        <v/>
      </c>
      <c r="T17" s="104" t="str">
        <f>IFERROR(VLOOKUP(R17,parametros!$E$2:$F$13,2,0),"")</f>
        <v/>
      </c>
      <c r="U17" s="104" t="str">
        <f>IFERROR(VLOOKUP(S17,parametros!$B$2:$C$21,2,0),"")</f>
        <v/>
      </c>
      <c r="V17" s="104" t="str">
        <f>IF(OR(L17=parametros!$G$2,L17=parametros!$G$3,L17=parametros!$G$4),parametros!$G$3,"")</f>
        <v/>
      </c>
      <c r="W17" s="104" t="str">
        <f t="shared" si="1"/>
        <v/>
      </c>
      <c r="X17" s="104" t="str">
        <f>IFERROR(_xlfn.XLOOKUP(C17,me_log,'est3'!$B$59:$B$66),"")</f>
        <v/>
      </c>
    </row>
    <row r="18" spans="3:24" ht="22.05" customHeight="1" x14ac:dyDescent="0.4">
      <c r="C18" s="66"/>
      <c r="D18" s="67"/>
      <c r="E18" s="67"/>
      <c r="F18" s="67"/>
      <c r="G18" s="67"/>
      <c r="H18" s="82"/>
      <c r="I18" s="80"/>
      <c r="J18" s="83" t="str">
        <f t="shared" si="0"/>
        <v/>
      </c>
      <c r="K18" s="84" t="str">
        <f>IFERROR(IF(H18="","",NETWORKDAYS.INTL(parametros!$A$2,J18,1,feriados)),"")</f>
        <v/>
      </c>
      <c r="L18" s="80"/>
      <c r="M18" s="85" t="str">
        <f ca="1">IF(J18&lt;parametros!$A$2,parametros!$L$2,IF(H18="","",IF(L18=parametros!$G$5,parametros!$L$3,IF(OR(L18=parametros!$G$3,L18=parametros!$G$4),parametros!$L$4,parametros!$L$5))))</f>
        <v/>
      </c>
      <c r="N18" s="86" t="str">
        <f>IFERROR(IF(H18="","",VLOOKUP(L18,parametros!$G$2:$H$5,2,0)),0)</f>
        <v/>
      </c>
      <c r="R18" s="104" t="str">
        <f t="shared" si="2"/>
        <v/>
      </c>
      <c r="S18" s="104" t="str">
        <f t="shared" si="3"/>
        <v/>
      </c>
      <c r="T18" s="104" t="str">
        <f>IFERROR(VLOOKUP(R18,parametros!$E$2:$F$13,2,0),"")</f>
        <v/>
      </c>
      <c r="U18" s="104" t="str">
        <f>IFERROR(VLOOKUP(S18,parametros!$B$2:$C$21,2,0),"")</f>
        <v/>
      </c>
      <c r="V18" s="104" t="str">
        <f>IF(OR(L18=parametros!$G$2,L18=parametros!$G$3,L18=parametros!$G$4),parametros!$G$3,"")</f>
        <v/>
      </c>
      <c r="W18" s="104" t="str">
        <f t="shared" si="1"/>
        <v/>
      </c>
      <c r="X18" s="104" t="str">
        <f>IFERROR(_xlfn.XLOOKUP(C18,me_log,'est3'!$B$59:$B$66),"")</f>
        <v/>
      </c>
    </row>
    <row r="19" spans="3:24" ht="22.05" customHeight="1" x14ac:dyDescent="0.4">
      <c r="C19" s="66"/>
      <c r="D19" s="67"/>
      <c r="E19" s="67"/>
      <c r="F19" s="67"/>
      <c r="G19" s="67"/>
      <c r="H19" s="82"/>
      <c r="I19" s="80"/>
      <c r="J19" s="83" t="str">
        <f t="shared" si="0"/>
        <v/>
      </c>
      <c r="K19" s="84" t="str">
        <f>IFERROR(IF(H19="","",NETWORKDAYS.INTL(parametros!$A$2,J19,1,feriados)),"")</f>
        <v/>
      </c>
      <c r="L19" s="80"/>
      <c r="M19" s="85" t="str">
        <f ca="1">IF(J19&lt;parametros!$A$2,parametros!$L$2,IF(H19="","",IF(L19=parametros!$G$5,parametros!$L$3,IF(OR(L19=parametros!$G$3,L19=parametros!$G$4),parametros!$L$4,parametros!$L$5))))</f>
        <v/>
      </c>
      <c r="N19" s="86" t="str">
        <f>IFERROR(IF(H19="","",VLOOKUP(L19,parametros!$G$2:$H$5,2,0)),0)</f>
        <v/>
      </c>
      <c r="R19" s="104" t="str">
        <f t="shared" si="2"/>
        <v/>
      </c>
      <c r="S19" s="104" t="str">
        <f t="shared" si="3"/>
        <v/>
      </c>
      <c r="T19" s="104" t="str">
        <f>IFERROR(VLOOKUP(R19,parametros!$E$2:$F$13,2,0),"")</f>
        <v/>
      </c>
      <c r="U19" s="104" t="str">
        <f>IFERROR(VLOOKUP(S19,parametros!$B$2:$C$21,2,0),"")</f>
        <v/>
      </c>
      <c r="V19" s="104" t="str">
        <f>IF(OR(L19=parametros!$G$2,L19=parametros!$G$3,L19=parametros!$G$4),parametros!$G$3,"")</f>
        <v/>
      </c>
      <c r="W19" s="104" t="str">
        <f t="shared" si="1"/>
        <v/>
      </c>
      <c r="X19" s="104" t="str">
        <f>IFERROR(_xlfn.XLOOKUP(C19,me_log,'est3'!$B$59:$B$66),"")</f>
        <v/>
      </c>
    </row>
    <row r="20" spans="3:24" ht="22.05" customHeight="1" x14ac:dyDescent="0.4">
      <c r="C20" s="66"/>
      <c r="D20" s="67"/>
      <c r="E20" s="67"/>
      <c r="F20" s="67"/>
      <c r="G20" s="67"/>
      <c r="H20" s="82"/>
      <c r="I20" s="80"/>
      <c r="J20" s="83" t="str">
        <f t="shared" si="0"/>
        <v/>
      </c>
      <c r="K20" s="84" t="str">
        <f>IFERROR(IF(H20="","",NETWORKDAYS.INTL(parametros!$A$2,J20,1,feriados)),"")</f>
        <v/>
      </c>
      <c r="L20" s="80"/>
      <c r="M20" s="85" t="str">
        <f ca="1">IF(J20&lt;parametros!$A$2,parametros!$L$2,IF(H20="","",IF(L20=parametros!$G$5,parametros!$L$3,IF(OR(L20=parametros!$G$3,L20=parametros!$G$4),parametros!$L$4,parametros!$L$5))))</f>
        <v/>
      </c>
      <c r="N20" s="86" t="str">
        <f>IFERROR(IF(H20="","",VLOOKUP(L20,parametros!$G$2:$H$5,2,0)),0)</f>
        <v/>
      </c>
      <c r="R20" s="104" t="str">
        <f t="shared" si="2"/>
        <v/>
      </c>
      <c r="S20" s="104" t="str">
        <f t="shared" si="3"/>
        <v/>
      </c>
      <c r="T20" s="104" t="str">
        <f>IFERROR(VLOOKUP(R20,parametros!$E$2:$F$13,2,0),"")</f>
        <v/>
      </c>
      <c r="U20" s="104" t="str">
        <f>IFERROR(VLOOKUP(S20,parametros!$B$2:$C$21,2,0),"")</f>
        <v/>
      </c>
      <c r="V20" s="104" t="str">
        <f>IF(OR(L20=parametros!$G$2,L20=parametros!$G$3,L20=parametros!$G$4),parametros!$G$3,"")</f>
        <v/>
      </c>
      <c r="W20" s="104" t="str">
        <f t="shared" si="1"/>
        <v/>
      </c>
      <c r="X20" s="104" t="str">
        <f>IFERROR(_xlfn.XLOOKUP(C20,me_log,'est3'!$B$59:$B$66),"")</f>
        <v/>
      </c>
    </row>
    <row r="21" spans="3:24" ht="22.05" customHeight="1" x14ac:dyDescent="0.4">
      <c r="C21" s="66"/>
      <c r="D21" s="67"/>
      <c r="E21" s="67"/>
      <c r="F21" s="67"/>
      <c r="G21" s="67"/>
      <c r="H21" s="82"/>
      <c r="I21" s="80"/>
      <c r="J21" s="83" t="str">
        <f t="shared" si="0"/>
        <v/>
      </c>
      <c r="K21" s="84" t="str">
        <f>IFERROR(IF(H21="","",NETWORKDAYS.INTL(parametros!$A$2,J21,1,feriados)),"")</f>
        <v/>
      </c>
      <c r="L21" s="80"/>
      <c r="M21" s="85" t="str">
        <f ca="1">IF(J21&lt;parametros!$A$2,parametros!$L$2,IF(H21="","",IF(L21=parametros!$G$5,parametros!$L$3,IF(OR(L21=parametros!$G$3,L21=parametros!$G$4),parametros!$L$4,parametros!$L$5))))</f>
        <v/>
      </c>
      <c r="N21" s="86" t="str">
        <f>IFERROR(IF(H21="","",VLOOKUP(L21,parametros!$G$2:$H$5,2,0)),0)</f>
        <v/>
      </c>
      <c r="R21" s="104" t="str">
        <f t="shared" si="2"/>
        <v/>
      </c>
      <c r="S21" s="104" t="str">
        <f t="shared" si="3"/>
        <v/>
      </c>
      <c r="T21" s="104" t="str">
        <f>IFERROR(VLOOKUP(R21,parametros!$E$2:$F$13,2,0),"")</f>
        <v/>
      </c>
      <c r="U21" s="104" t="str">
        <f>IFERROR(VLOOKUP(S21,parametros!$B$2:$C$21,2,0),"")</f>
        <v/>
      </c>
      <c r="V21" s="104" t="str">
        <f>IF(OR(L21=parametros!$G$2,L21=parametros!$G$3,L21=parametros!$G$4),parametros!$G$3,"")</f>
        <v/>
      </c>
      <c r="W21" s="104" t="str">
        <f t="shared" si="1"/>
        <v/>
      </c>
      <c r="X21" s="104" t="str">
        <f>IFERROR(_xlfn.XLOOKUP(C21,me_log,'est3'!$B$59:$B$66),"")</f>
        <v/>
      </c>
    </row>
    <row r="22" spans="3:24" ht="22.05" customHeight="1" x14ac:dyDescent="0.4">
      <c r="C22" s="66"/>
      <c r="D22" s="67"/>
      <c r="E22" s="67"/>
      <c r="F22" s="67"/>
      <c r="G22" s="67"/>
      <c r="H22" s="82"/>
      <c r="I22" s="80"/>
      <c r="J22" s="83" t="str">
        <f t="shared" si="0"/>
        <v/>
      </c>
      <c r="K22" s="84" t="str">
        <f>IFERROR(IF(H22="","",NETWORKDAYS.INTL(parametros!$A$2,J22,1,feriados)),"")</f>
        <v/>
      </c>
      <c r="L22" s="80"/>
      <c r="M22" s="85" t="str">
        <f ca="1">IF(J22&lt;parametros!$A$2,parametros!$L$2,IF(H22="","",IF(L22=parametros!$G$5,parametros!$L$3,IF(OR(L22=parametros!$G$3,L22=parametros!$G$4),parametros!$L$4,parametros!$L$5))))</f>
        <v/>
      </c>
      <c r="N22" s="86" t="str">
        <f>IFERROR(IF(H22="","",VLOOKUP(L22,parametros!$G$2:$H$5,2,0)),0)</f>
        <v/>
      </c>
      <c r="R22" s="104" t="str">
        <f t="shared" si="2"/>
        <v/>
      </c>
      <c r="S22" s="104" t="str">
        <f t="shared" si="3"/>
        <v/>
      </c>
      <c r="T22" s="104" t="str">
        <f>IFERROR(VLOOKUP(R22,parametros!$E$2:$F$13,2,0),"")</f>
        <v/>
      </c>
      <c r="U22" s="104" t="str">
        <f>IFERROR(VLOOKUP(S22,parametros!$B$2:$C$21,2,0),"")</f>
        <v/>
      </c>
      <c r="V22" s="104" t="str">
        <f>IF(OR(L22=parametros!$G$2,L22=parametros!$G$3,L22=parametros!$G$4),parametros!$G$3,"")</f>
        <v/>
      </c>
      <c r="W22" s="104" t="str">
        <f t="shared" si="1"/>
        <v/>
      </c>
      <c r="X22" s="104" t="str">
        <f>IFERROR(_xlfn.XLOOKUP(C22,me_log,'est3'!$B$59:$B$66),"")</f>
        <v/>
      </c>
    </row>
    <row r="23" spans="3:24" ht="22.05" customHeight="1" thickBot="1" x14ac:dyDescent="0.45">
      <c r="C23" s="68"/>
      <c r="D23" s="69"/>
      <c r="E23" s="69"/>
      <c r="F23" s="69"/>
      <c r="G23" s="69"/>
      <c r="H23" s="87"/>
      <c r="I23" s="81"/>
      <c r="J23" s="88" t="str">
        <f t="shared" si="0"/>
        <v/>
      </c>
      <c r="K23" s="89" t="str">
        <f>IFERROR(IF(H23="","",NETWORKDAYS.INTL(parametros!$A$2,J23,1,feriados)),"")</f>
        <v/>
      </c>
      <c r="L23" s="81"/>
      <c r="M23" s="90" t="str">
        <f ca="1">IF(J23&lt;parametros!$A$2,parametros!$L$2,IF(H23="","",IF(L23=parametros!$G$5,parametros!$L$3,IF(OR(L23=parametros!$G$3,L23=parametros!$G$4),parametros!$L$4,parametros!$L$5))))</f>
        <v/>
      </c>
      <c r="N23" s="91" t="str">
        <f>IFERROR(IF(H23="","",VLOOKUP(L23,parametros!$G$2:$H$5,2,0)),0)</f>
        <v/>
      </c>
      <c r="R23" s="104" t="str">
        <f t="shared" si="2"/>
        <v/>
      </c>
      <c r="S23" s="104" t="str">
        <f t="shared" si="3"/>
        <v/>
      </c>
      <c r="T23" s="104" t="str">
        <f>IFERROR(VLOOKUP(R23,parametros!$E$2:$F$13,2,0),"")</f>
        <v/>
      </c>
      <c r="U23" s="104" t="str">
        <f>IFERROR(VLOOKUP(S23,parametros!$B$2:$C$21,2,0),"")</f>
        <v/>
      </c>
      <c r="V23" s="104" t="str">
        <f>IF(OR(L23=parametros!$G$2,L23=parametros!$G$3,L23=parametros!$G$4),parametros!$G$3,"")</f>
        <v/>
      </c>
      <c r="W23" s="104" t="str">
        <f t="shared" si="1"/>
        <v/>
      </c>
      <c r="X23" s="104" t="str">
        <f>IFERROR(_xlfn.XLOOKUP(C23,me_log,'est3'!$B$59:$B$66),"")</f>
        <v/>
      </c>
    </row>
  </sheetData>
  <dataValidations count="4">
    <dataValidation type="list" allowBlank="1" showInputMessage="1" showErrorMessage="1" sqref="L5:L23" xr:uid="{4762762B-9195-4CDC-BC48-0C291F3048D0}">
      <formula1>params_status</formula1>
    </dataValidation>
    <dataValidation type="list" allowBlank="1" showInputMessage="1" showErrorMessage="1" sqref="E5:E23" xr:uid="{732A30DF-612A-4743-BC5E-49F562CE8B71}">
      <formula1>equipes</formula1>
    </dataValidation>
    <dataValidation type="list" allowBlank="1" showInputMessage="1" showErrorMessage="1" sqref="F5:F23" xr:uid="{9AC4329A-EBBD-4C4A-9DA9-255D71F6599F}">
      <formula1>funcionarios</formula1>
    </dataValidation>
    <dataValidation type="list" allowBlank="1" showInputMessage="1" showErrorMessage="1" sqref="C5:C23" xr:uid="{5CCBB495-E28E-43EE-BED9-3037DC33FC6C}">
      <formula1>me_log</formula1>
    </dataValidation>
  </dataValidations>
  <pageMargins left="0.511811024" right="0.511811024" top="0.78740157499999996" bottom="0.78740157499999996" header="0.31496062000000002" footer="0.31496062000000002"/>
  <pageSetup paperSize="9" scale="59" orientation="landscape" r:id="rId1"/>
  <colBreaks count="1" manualBreakCount="1">
    <brk id="14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D2D3-BA94-4BC9-87CD-93EF09EF09A3}">
  <sheetPr>
    <pageSetUpPr fitToPage="1"/>
  </sheetPr>
  <dimension ref="C1:X23"/>
  <sheetViews>
    <sheetView zoomScale="107" zoomScaleNormal="107" workbookViewId="0">
      <selection activeCell="E5" sqref="E5:I5"/>
    </sheetView>
  </sheetViews>
  <sheetFormatPr defaultRowHeight="13.2" x14ac:dyDescent="0.4"/>
  <cols>
    <col min="1" max="2" width="2.21875" style="7" customWidth="1"/>
    <col min="3" max="3" width="27.21875" style="7" customWidth="1"/>
    <col min="4" max="4" width="37.33203125" style="7" customWidth="1"/>
    <col min="5" max="5" width="10.6640625" style="7" bestFit="1" customWidth="1"/>
    <col min="6" max="6" width="18.44140625" style="7" customWidth="1"/>
    <col min="7" max="7" width="43.33203125" style="7" customWidth="1"/>
    <col min="8" max="10" width="13.109375" style="7" customWidth="1"/>
    <col min="11" max="11" width="10.5546875" style="7" bestFit="1" customWidth="1"/>
    <col min="12" max="12" width="15" style="7" bestFit="1" customWidth="1"/>
    <col min="13" max="13" width="15" style="7" customWidth="1"/>
    <col min="14" max="15" width="8.88671875" style="7"/>
    <col min="16" max="16" width="9" style="7" customWidth="1"/>
    <col min="17" max="16384" width="8.88671875" style="7"/>
  </cols>
  <sheetData>
    <row r="1" spans="3:24" s="3" customFormat="1" ht="27.6" customHeight="1" x14ac:dyDescent="0.4"/>
    <row r="2" spans="3:24" s="5" customFormat="1" ht="21.6" customHeight="1" x14ac:dyDescent="0.4"/>
    <row r="3" spans="3:24" ht="4.95" customHeight="1" thickBot="1" x14ac:dyDescent="0.45"/>
    <row r="4" spans="3:24" ht="22.05" customHeight="1" x14ac:dyDescent="0.4">
      <c r="C4" s="58" t="s">
        <v>80</v>
      </c>
      <c r="D4" s="59" t="s">
        <v>77</v>
      </c>
      <c r="E4" s="59" t="s">
        <v>81</v>
      </c>
      <c r="F4" s="59" t="s">
        <v>78</v>
      </c>
      <c r="G4" s="59" t="s">
        <v>79</v>
      </c>
      <c r="H4" s="59" t="s">
        <v>97</v>
      </c>
      <c r="I4" s="59" t="s">
        <v>99</v>
      </c>
      <c r="J4" s="59" t="s">
        <v>98</v>
      </c>
      <c r="K4" s="59" t="s">
        <v>83</v>
      </c>
      <c r="L4" s="59" t="s">
        <v>82</v>
      </c>
      <c r="M4" s="70" t="s">
        <v>134</v>
      </c>
      <c r="N4" s="60" t="s">
        <v>45</v>
      </c>
    </row>
    <row r="5" spans="3:24" ht="22.05" customHeight="1" x14ac:dyDescent="0.4">
      <c r="C5" s="61"/>
      <c r="D5" s="62"/>
      <c r="E5" s="62"/>
      <c r="F5" s="62"/>
      <c r="G5" s="62"/>
      <c r="H5" s="63"/>
      <c r="I5" s="65"/>
      <c r="J5" s="73" t="str">
        <f t="shared" ref="J5:J23" si="0">IF(H5="","",WORKDAY(H5,I5,feriados))</f>
        <v/>
      </c>
      <c r="K5" s="64" t="str">
        <f>IFERROR(IF(H5="","",NETWORKDAYS.INTL(parametros!$A$2,J5,1,feriados)),"")</f>
        <v/>
      </c>
      <c r="L5" s="65" t="s">
        <v>102</v>
      </c>
      <c r="M5" s="71" t="str">
        <f ca="1">IF(J5&lt;parametros!$A$2,parametros!$L$2,IF(H5="","",IF(L5=parametros!$G$5,parametros!$L$3,IF(OR(L5=parametros!$G$3,L5=parametros!$G$4),parametros!$L$4,parametros!$L$5))))</f>
        <v/>
      </c>
      <c r="N5" s="72" t="str">
        <f>IFERROR(IF(H5="","",VLOOKUP(L5,parametros!$G$2:$H$5,2,0)),0)</f>
        <v/>
      </c>
      <c r="P5" s="55"/>
      <c r="R5" s="7" t="str">
        <f>IFERROR(MONTH(J5),"")</f>
        <v/>
      </c>
      <c r="S5" s="7" t="str">
        <f>IFERROR(YEAR(J5),"")</f>
        <v/>
      </c>
      <c r="T5" s="7" t="str">
        <f>IFERROR(VLOOKUP(R5,parametros!$E$2:$F$13,2,0),"")</f>
        <v/>
      </c>
      <c r="U5" s="7" t="str">
        <f>IFERROR(VLOOKUP(S5,parametros!$B$2:$C$21,2,0),"")</f>
        <v/>
      </c>
      <c r="V5" s="7" t="str">
        <f>IF(OR(L5=parametros!$G$2,L5=parametros!$G$3,L5=parametros!$G$4),parametros!$G$3,"")</f>
        <v>Em Andamento</v>
      </c>
      <c r="W5" s="7" t="str">
        <f t="shared" ref="W5:W23" si="1">IFERROR(VLOOKUP(X5,perspectiva_rh,2,0),"")</f>
        <v/>
      </c>
      <c r="X5" s="7" t="str">
        <f>IFERROR(_xlfn.XLOOKUP(C5,me_rh,'est4'!$B$59:$B$66),"")</f>
        <v/>
      </c>
    </row>
    <row r="6" spans="3:24" ht="22.05" customHeight="1" x14ac:dyDescent="0.4">
      <c r="C6" s="66"/>
      <c r="D6" s="67"/>
      <c r="E6" s="67"/>
      <c r="F6" s="67"/>
      <c r="G6" s="67"/>
      <c r="H6" s="82"/>
      <c r="I6" s="80"/>
      <c r="J6" s="83" t="str">
        <f t="shared" si="0"/>
        <v/>
      </c>
      <c r="K6" s="84" t="str">
        <f>IFERROR(IF(H6="","",NETWORKDAYS.INTL(parametros!$A$2,J6,1,feriados)),"")</f>
        <v/>
      </c>
      <c r="L6" s="80"/>
      <c r="M6" s="85" t="str">
        <f ca="1">IF(J6&lt;parametros!$A$2,parametros!$L$2,IF(H6="","",IF(L6=parametros!$G$5,parametros!$L$3,IF(OR(L6=parametros!$G$3,L6=parametros!$G$4),parametros!$L$4,parametros!$L$5))))</f>
        <v/>
      </c>
      <c r="N6" s="86" t="str">
        <f>IFERROR(IF(H6="","",VLOOKUP(L6,parametros!$G$2:$H$5,2,0)),0)</f>
        <v/>
      </c>
      <c r="P6" s="56"/>
      <c r="R6" s="7" t="str">
        <f t="shared" ref="R6:R23" si="2">IFERROR(MONTH(J6),"")</f>
        <v/>
      </c>
      <c r="S6" s="7" t="str">
        <f t="shared" ref="S6:S23" si="3">IFERROR(YEAR(J6),"")</f>
        <v/>
      </c>
      <c r="T6" s="7" t="str">
        <f>IFERROR(VLOOKUP(R6,parametros!$E$2:$F$13,2,0),"")</f>
        <v/>
      </c>
      <c r="U6" s="7" t="str">
        <f>IFERROR(VLOOKUP(S6,parametros!$B$2:$C$21,2,0),"")</f>
        <v/>
      </c>
      <c r="V6" s="7" t="str">
        <f>IF(OR(L6=parametros!$G$2,L6=parametros!$G$3,L6=parametros!$G$4),parametros!$G$3,"")</f>
        <v/>
      </c>
      <c r="W6" s="7" t="str">
        <f t="shared" si="1"/>
        <v/>
      </c>
      <c r="X6" s="7" t="str">
        <f>IFERROR(_xlfn.XLOOKUP(C6,me_rh,'est4'!$B$59:$B$66),"")</f>
        <v/>
      </c>
    </row>
    <row r="7" spans="3:24" ht="22.05" customHeight="1" x14ac:dyDescent="0.4">
      <c r="C7" s="66"/>
      <c r="D7" s="67"/>
      <c r="E7" s="67"/>
      <c r="F7" s="67"/>
      <c r="G7" s="67"/>
      <c r="H7" s="82"/>
      <c r="I7" s="80"/>
      <c r="J7" s="83" t="str">
        <f t="shared" si="0"/>
        <v/>
      </c>
      <c r="K7" s="84" t="str">
        <f>IFERROR(IF(H7="","",NETWORKDAYS.INTL(parametros!$A$2,J7,1,feriados)),"")</f>
        <v/>
      </c>
      <c r="L7" s="80"/>
      <c r="M7" s="85" t="str">
        <f ca="1">IF(J7&lt;parametros!$A$2,parametros!$L$2,IF(H7="","",IF(L7=parametros!$G$5,parametros!$L$3,IF(OR(L7=parametros!$G$3,L7=parametros!$G$4),parametros!$L$4,parametros!$L$5))))</f>
        <v/>
      </c>
      <c r="N7" s="86" t="str">
        <f>IFERROR(IF(H7="","",VLOOKUP(L7,parametros!$G$2:$H$5,2,0)),0)</f>
        <v/>
      </c>
      <c r="R7" s="7" t="str">
        <f t="shared" si="2"/>
        <v/>
      </c>
      <c r="S7" s="7" t="str">
        <f t="shared" si="3"/>
        <v/>
      </c>
      <c r="T7" s="7" t="str">
        <f>IFERROR(VLOOKUP(R7,parametros!$E$2:$F$13,2,0),"")</f>
        <v/>
      </c>
      <c r="U7" s="7" t="str">
        <f>IFERROR(VLOOKUP(S7,parametros!$B$2:$C$21,2,0),"")</f>
        <v/>
      </c>
      <c r="V7" s="7" t="str">
        <f>IF(OR(L7=parametros!$G$2,L7=parametros!$G$3,L7=parametros!$G$4),parametros!$G$3,"")</f>
        <v/>
      </c>
      <c r="W7" s="7" t="str">
        <f t="shared" si="1"/>
        <v/>
      </c>
      <c r="X7" s="7" t="str">
        <f>IFERROR(_xlfn.XLOOKUP(C7,me_rh,'est4'!$B$59:$B$66),"")</f>
        <v/>
      </c>
    </row>
    <row r="8" spans="3:24" ht="22.05" customHeight="1" x14ac:dyDescent="0.4">
      <c r="C8" s="66"/>
      <c r="D8" s="67"/>
      <c r="E8" s="67"/>
      <c r="F8" s="67"/>
      <c r="G8" s="67"/>
      <c r="H8" s="82"/>
      <c r="I8" s="80"/>
      <c r="J8" s="83" t="str">
        <f t="shared" si="0"/>
        <v/>
      </c>
      <c r="K8" s="84" t="str">
        <f>IFERROR(IF(H8="","",NETWORKDAYS.INTL(parametros!$A$2,J8,1,feriados)),"")</f>
        <v/>
      </c>
      <c r="L8" s="80"/>
      <c r="M8" s="85" t="str">
        <f ca="1">IF(J8&lt;parametros!$A$2,parametros!$L$2,IF(H8="","",IF(L8=parametros!$G$5,parametros!$L$3,IF(OR(L8=parametros!$G$3,L8=parametros!$G$4),parametros!$L$4,parametros!$L$5))))</f>
        <v/>
      </c>
      <c r="N8" s="86" t="str">
        <f>IFERROR(IF(H8="","",VLOOKUP(L8,parametros!$G$2:$H$5,2,0)),0)</f>
        <v/>
      </c>
      <c r="R8" s="7" t="str">
        <f t="shared" si="2"/>
        <v/>
      </c>
      <c r="S8" s="7" t="str">
        <f t="shared" si="3"/>
        <v/>
      </c>
      <c r="T8" s="7" t="str">
        <f>IFERROR(VLOOKUP(R8,parametros!$E$2:$F$13,2,0),"")</f>
        <v/>
      </c>
      <c r="U8" s="7" t="str">
        <f>IFERROR(VLOOKUP(S8,parametros!$B$2:$C$21,2,0),"")</f>
        <v/>
      </c>
      <c r="V8" s="7" t="str">
        <f>IF(OR(L8=parametros!$G$2,L8=parametros!$G$3,L8=parametros!$G$4),parametros!$G$3,"")</f>
        <v/>
      </c>
      <c r="W8" s="7" t="str">
        <f t="shared" si="1"/>
        <v/>
      </c>
      <c r="X8" s="7" t="str">
        <f>IFERROR(_xlfn.XLOOKUP(C8,me_rh,'est4'!$B$59:$B$66),"")</f>
        <v/>
      </c>
    </row>
    <row r="9" spans="3:24" ht="22.05" customHeight="1" x14ac:dyDescent="0.4">
      <c r="C9" s="66"/>
      <c r="D9" s="67"/>
      <c r="E9" s="67"/>
      <c r="F9" s="67"/>
      <c r="G9" s="67"/>
      <c r="H9" s="82"/>
      <c r="I9" s="80"/>
      <c r="J9" s="83" t="str">
        <f t="shared" si="0"/>
        <v/>
      </c>
      <c r="K9" s="84" t="str">
        <f>IFERROR(IF(H9="","",NETWORKDAYS.INTL(parametros!$A$2,J9,1,feriados)),"")</f>
        <v/>
      </c>
      <c r="L9" s="80"/>
      <c r="M9" s="85" t="str">
        <f ca="1">IF(J9&lt;parametros!$A$2,parametros!$L$2,IF(H9="","",IF(L9=parametros!$G$5,parametros!$L$3,IF(OR(L9=parametros!$G$3,L9=parametros!$G$4),parametros!$L$4,parametros!$L$5))))</f>
        <v/>
      </c>
      <c r="N9" s="86" t="str">
        <f>IFERROR(IF(H9="","",VLOOKUP(L9,parametros!$G$2:$H$5,2,0)),0)</f>
        <v/>
      </c>
      <c r="R9" s="7" t="str">
        <f t="shared" si="2"/>
        <v/>
      </c>
      <c r="S9" s="7" t="str">
        <f t="shared" si="3"/>
        <v/>
      </c>
      <c r="T9" s="7" t="str">
        <f>IFERROR(VLOOKUP(R9,parametros!$E$2:$F$13,2,0),"")</f>
        <v/>
      </c>
      <c r="U9" s="7" t="str">
        <f>IFERROR(VLOOKUP(S9,parametros!$B$2:$C$21,2,0),"")</f>
        <v/>
      </c>
      <c r="V9" s="7" t="str">
        <f>IF(OR(L9=parametros!$G$2,L9=parametros!$G$3,L9=parametros!$G$4),parametros!$G$3,"")</f>
        <v/>
      </c>
      <c r="W9" s="7" t="str">
        <f t="shared" si="1"/>
        <v/>
      </c>
      <c r="X9" s="7" t="str">
        <f>IFERROR(_xlfn.XLOOKUP(C9,me_rh,'est4'!$B$59:$B$66),"")</f>
        <v/>
      </c>
    </row>
    <row r="10" spans="3:24" ht="22.05" customHeight="1" x14ac:dyDescent="0.4">
      <c r="C10" s="66"/>
      <c r="D10" s="67"/>
      <c r="E10" s="67"/>
      <c r="F10" s="67"/>
      <c r="G10" s="67"/>
      <c r="H10" s="82"/>
      <c r="I10" s="80"/>
      <c r="J10" s="83" t="str">
        <f t="shared" si="0"/>
        <v/>
      </c>
      <c r="K10" s="84" t="str">
        <f>IFERROR(IF(H10="","",NETWORKDAYS.INTL(parametros!$A$2,J10,1,feriados)),"")</f>
        <v/>
      </c>
      <c r="L10" s="80"/>
      <c r="M10" s="85" t="str">
        <f ca="1">IF(J10&lt;parametros!$A$2,parametros!$L$2,IF(H10="","",IF(L10=parametros!$G$5,parametros!$L$3,IF(OR(L10=parametros!$G$3,L10=parametros!$G$4),parametros!$L$4,parametros!$L$5))))</f>
        <v/>
      </c>
      <c r="N10" s="86" t="str">
        <f>IFERROR(IF(H10="","",VLOOKUP(L10,parametros!$G$2:$H$5,2,0)),0)</f>
        <v/>
      </c>
      <c r="R10" s="7" t="str">
        <f t="shared" si="2"/>
        <v/>
      </c>
      <c r="S10" s="7" t="str">
        <f t="shared" si="3"/>
        <v/>
      </c>
      <c r="T10" s="7" t="str">
        <f>IFERROR(VLOOKUP(R10,parametros!$E$2:$F$13,2,0),"")</f>
        <v/>
      </c>
      <c r="U10" s="7" t="str">
        <f>IFERROR(VLOOKUP(S10,parametros!$B$2:$C$21,2,0),"")</f>
        <v/>
      </c>
      <c r="V10" s="7" t="str">
        <f>IF(OR(L10=parametros!$G$2,L10=parametros!$G$3,L10=parametros!$G$4),parametros!$G$3,"")</f>
        <v/>
      </c>
      <c r="W10" s="7" t="str">
        <f t="shared" si="1"/>
        <v/>
      </c>
      <c r="X10" s="7" t="str">
        <f>IFERROR(_xlfn.XLOOKUP(C10,me_rh,'est4'!$B$59:$B$66),"")</f>
        <v/>
      </c>
    </row>
    <row r="11" spans="3:24" ht="22.05" customHeight="1" x14ac:dyDescent="0.4">
      <c r="C11" s="66"/>
      <c r="D11" s="67"/>
      <c r="E11" s="67"/>
      <c r="F11" s="67"/>
      <c r="G11" s="67"/>
      <c r="H11" s="82"/>
      <c r="I11" s="80"/>
      <c r="J11" s="83" t="str">
        <f t="shared" si="0"/>
        <v/>
      </c>
      <c r="K11" s="84" t="str">
        <f>IFERROR(IF(H11="","",NETWORKDAYS.INTL(parametros!$A$2,J11,1,feriados)),"")</f>
        <v/>
      </c>
      <c r="L11" s="80"/>
      <c r="M11" s="85" t="str">
        <f ca="1">IF(J11&lt;parametros!$A$2,parametros!$L$2,IF(H11="","",IF(L11=parametros!$G$5,parametros!$L$3,IF(OR(L11=parametros!$G$3,L11=parametros!$G$4),parametros!$L$4,parametros!$L$5))))</f>
        <v/>
      </c>
      <c r="N11" s="86" t="str">
        <f>IFERROR(IF(H11="","",VLOOKUP(L11,parametros!$G$2:$H$5,2,0)),0)</f>
        <v/>
      </c>
      <c r="R11" s="7" t="str">
        <f t="shared" si="2"/>
        <v/>
      </c>
      <c r="S11" s="7" t="str">
        <f t="shared" si="3"/>
        <v/>
      </c>
      <c r="T11" s="7" t="str">
        <f>IFERROR(VLOOKUP(R11,parametros!$E$2:$F$13,2,0),"")</f>
        <v/>
      </c>
      <c r="U11" s="7" t="str">
        <f>IFERROR(VLOOKUP(S11,parametros!$B$2:$C$21,2,0),"")</f>
        <v/>
      </c>
      <c r="V11" s="7" t="str">
        <f>IF(OR(L11=parametros!$G$2,L11=parametros!$G$3,L11=parametros!$G$4),parametros!$G$3,"")</f>
        <v/>
      </c>
      <c r="W11" s="7" t="str">
        <f t="shared" si="1"/>
        <v/>
      </c>
      <c r="X11" s="7" t="str">
        <f>IFERROR(_xlfn.XLOOKUP(C11,me_rh,'est4'!$B$59:$B$66),"")</f>
        <v/>
      </c>
    </row>
    <row r="12" spans="3:24" ht="22.05" customHeight="1" x14ac:dyDescent="0.4">
      <c r="C12" s="66"/>
      <c r="D12" s="67"/>
      <c r="E12" s="67"/>
      <c r="F12" s="67"/>
      <c r="G12" s="67"/>
      <c r="H12" s="82"/>
      <c r="I12" s="80"/>
      <c r="J12" s="83" t="str">
        <f t="shared" si="0"/>
        <v/>
      </c>
      <c r="K12" s="84" t="str">
        <f>IFERROR(IF(H12="","",NETWORKDAYS.INTL(parametros!$A$2,J12,1,feriados)),"")</f>
        <v/>
      </c>
      <c r="L12" s="80"/>
      <c r="M12" s="85" t="str">
        <f ca="1">IF(J12&lt;parametros!$A$2,parametros!$L$2,IF(H12="","",IF(L12=parametros!$G$5,parametros!$L$3,IF(OR(L12=parametros!$G$3,L12=parametros!$G$4),parametros!$L$4,parametros!$L$5))))</f>
        <v/>
      </c>
      <c r="N12" s="86" t="str">
        <f>IFERROR(IF(H12="","",VLOOKUP(L12,parametros!$G$2:$H$5,2,0)),0)</f>
        <v/>
      </c>
      <c r="R12" s="7" t="str">
        <f t="shared" si="2"/>
        <v/>
      </c>
      <c r="S12" s="7" t="str">
        <f t="shared" si="3"/>
        <v/>
      </c>
      <c r="T12" s="7" t="str">
        <f>IFERROR(VLOOKUP(R12,parametros!$E$2:$F$13,2,0),"")</f>
        <v/>
      </c>
      <c r="U12" s="7" t="str">
        <f>IFERROR(VLOOKUP(S12,parametros!$B$2:$C$21,2,0),"")</f>
        <v/>
      </c>
      <c r="V12" s="7" t="str">
        <f>IF(OR(L12=parametros!$G$2,L12=parametros!$G$3,L12=parametros!$G$4),parametros!$G$3,"")</f>
        <v/>
      </c>
      <c r="W12" s="7" t="str">
        <f t="shared" si="1"/>
        <v/>
      </c>
      <c r="X12" s="7" t="str">
        <f>IFERROR(_xlfn.XLOOKUP(C12,me_rh,'est4'!$B$59:$B$66),"")</f>
        <v/>
      </c>
    </row>
    <row r="13" spans="3:24" ht="22.05" customHeight="1" x14ac:dyDescent="0.4">
      <c r="C13" s="66"/>
      <c r="D13" s="67"/>
      <c r="E13" s="67"/>
      <c r="F13" s="67"/>
      <c r="G13" s="67"/>
      <c r="H13" s="82"/>
      <c r="I13" s="80"/>
      <c r="J13" s="83" t="str">
        <f t="shared" si="0"/>
        <v/>
      </c>
      <c r="K13" s="84" t="str">
        <f>IFERROR(IF(H13="","",NETWORKDAYS.INTL(parametros!$A$2,J13,1,feriados)),"")</f>
        <v/>
      </c>
      <c r="L13" s="80"/>
      <c r="M13" s="85" t="str">
        <f ca="1">IF(J13&lt;parametros!$A$2,parametros!$L$2,IF(H13="","",IF(L13=parametros!$G$5,parametros!$L$3,IF(OR(L13=parametros!$G$3,L13=parametros!$G$4),parametros!$L$4,parametros!$L$5))))</f>
        <v/>
      </c>
      <c r="N13" s="86" t="str">
        <f>IFERROR(IF(H13="","",VLOOKUP(L13,parametros!$G$2:$H$5,2,0)),0)</f>
        <v/>
      </c>
      <c r="R13" s="7" t="str">
        <f t="shared" si="2"/>
        <v/>
      </c>
      <c r="S13" s="7" t="str">
        <f t="shared" si="3"/>
        <v/>
      </c>
      <c r="T13" s="7" t="str">
        <f>IFERROR(VLOOKUP(R13,parametros!$E$2:$F$13,2,0),"")</f>
        <v/>
      </c>
      <c r="U13" s="7" t="str">
        <f>IFERROR(VLOOKUP(S13,parametros!$B$2:$C$21,2,0),"")</f>
        <v/>
      </c>
      <c r="V13" s="7" t="str">
        <f>IF(OR(L13=parametros!$G$2,L13=parametros!$G$3,L13=parametros!$G$4),parametros!$G$3,"")</f>
        <v/>
      </c>
      <c r="W13" s="7" t="str">
        <f t="shared" si="1"/>
        <v/>
      </c>
      <c r="X13" s="7" t="str">
        <f>IFERROR(_xlfn.XLOOKUP(C13,me_rh,'est4'!$B$59:$B$66),"")</f>
        <v/>
      </c>
    </row>
    <row r="14" spans="3:24" ht="22.05" customHeight="1" x14ac:dyDescent="0.4">
      <c r="C14" s="66"/>
      <c r="D14" s="67"/>
      <c r="E14" s="67"/>
      <c r="F14" s="67"/>
      <c r="G14" s="67"/>
      <c r="H14" s="82"/>
      <c r="I14" s="80"/>
      <c r="J14" s="83" t="str">
        <f t="shared" si="0"/>
        <v/>
      </c>
      <c r="K14" s="84" t="str">
        <f>IFERROR(IF(H14="","",NETWORKDAYS.INTL(parametros!$A$2,J14,1,feriados)),"")</f>
        <v/>
      </c>
      <c r="L14" s="80"/>
      <c r="M14" s="85" t="str">
        <f ca="1">IF(J14&lt;parametros!$A$2,parametros!$L$2,IF(H14="","",IF(L14=parametros!$G$5,parametros!$L$3,IF(OR(L14=parametros!$G$3,L14=parametros!$G$4),parametros!$L$4,parametros!$L$5))))</f>
        <v/>
      </c>
      <c r="N14" s="86" t="str">
        <f>IFERROR(IF(H14="","",VLOOKUP(L14,parametros!$G$2:$H$5,2,0)),0)</f>
        <v/>
      </c>
      <c r="R14" s="7" t="str">
        <f t="shared" si="2"/>
        <v/>
      </c>
      <c r="S14" s="7" t="str">
        <f t="shared" si="3"/>
        <v/>
      </c>
      <c r="T14" s="7" t="str">
        <f>IFERROR(VLOOKUP(R14,parametros!$E$2:$F$13,2,0),"")</f>
        <v/>
      </c>
      <c r="U14" s="7" t="str">
        <f>IFERROR(VLOOKUP(S14,parametros!$B$2:$C$21,2,0),"")</f>
        <v/>
      </c>
      <c r="V14" s="7" t="str">
        <f>IF(OR(L14=parametros!$G$2,L14=parametros!$G$3,L14=parametros!$G$4),parametros!$G$3,"")</f>
        <v/>
      </c>
      <c r="W14" s="7" t="str">
        <f t="shared" si="1"/>
        <v/>
      </c>
      <c r="X14" s="7" t="str">
        <f>IFERROR(_xlfn.XLOOKUP(C14,me_rh,'est4'!$B$59:$B$66),"")</f>
        <v/>
      </c>
    </row>
    <row r="15" spans="3:24" ht="22.05" customHeight="1" x14ac:dyDescent="0.4">
      <c r="C15" s="66"/>
      <c r="D15" s="67"/>
      <c r="E15" s="67"/>
      <c r="F15" s="67"/>
      <c r="G15" s="67"/>
      <c r="H15" s="82"/>
      <c r="I15" s="80"/>
      <c r="J15" s="83" t="str">
        <f t="shared" si="0"/>
        <v/>
      </c>
      <c r="K15" s="84" t="str">
        <f>IFERROR(IF(H15="","",NETWORKDAYS.INTL(parametros!$A$2,J15,1,feriados)),"")</f>
        <v/>
      </c>
      <c r="L15" s="80"/>
      <c r="M15" s="85" t="str">
        <f ca="1">IF(J15&lt;parametros!$A$2,parametros!$L$2,IF(H15="","",IF(L15=parametros!$G$5,parametros!$L$3,IF(OR(L15=parametros!$G$3,L15=parametros!$G$4),parametros!$L$4,parametros!$L$5))))</f>
        <v/>
      </c>
      <c r="N15" s="86" t="str">
        <f>IFERROR(IF(H15="","",VLOOKUP(L15,parametros!$G$2:$H$5,2,0)),0)</f>
        <v/>
      </c>
      <c r="R15" s="7" t="str">
        <f t="shared" si="2"/>
        <v/>
      </c>
      <c r="S15" s="7" t="str">
        <f t="shared" si="3"/>
        <v/>
      </c>
      <c r="T15" s="7" t="str">
        <f>IFERROR(VLOOKUP(R15,parametros!$E$2:$F$13,2,0),"")</f>
        <v/>
      </c>
      <c r="U15" s="7" t="str">
        <f>IFERROR(VLOOKUP(S15,parametros!$B$2:$C$21,2,0),"")</f>
        <v/>
      </c>
      <c r="V15" s="7" t="str">
        <f>IF(OR(L15=parametros!$G$2,L15=parametros!$G$3,L15=parametros!$G$4),parametros!$G$3,"")</f>
        <v/>
      </c>
      <c r="W15" s="7" t="str">
        <f t="shared" si="1"/>
        <v/>
      </c>
      <c r="X15" s="7" t="str">
        <f>IFERROR(_xlfn.XLOOKUP(C15,me_rh,'est4'!$B$59:$B$66),"")</f>
        <v/>
      </c>
    </row>
    <row r="16" spans="3:24" ht="22.05" customHeight="1" x14ac:dyDescent="0.4">
      <c r="C16" s="66"/>
      <c r="D16" s="67"/>
      <c r="E16" s="67"/>
      <c r="F16" s="67"/>
      <c r="G16" s="67"/>
      <c r="H16" s="82"/>
      <c r="I16" s="80"/>
      <c r="J16" s="83" t="str">
        <f t="shared" si="0"/>
        <v/>
      </c>
      <c r="K16" s="84" t="str">
        <f>IFERROR(IF(H16="","",NETWORKDAYS.INTL(parametros!$A$2,J16,1,feriados)),"")</f>
        <v/>
      </c>
      <c r="L16" s="80"/>
      <c r="M16" s="85" t="str">
        <f ca="1">IF(J16&lt;parametros!$A$2,parametros!$L$2,IF(H16="","",IF(L16=parametros!$G$5,parametros!$L$3,IF(OR(L16=parametros!$G$3,L16=parametros!$G$4),parametros!$L$4,parametros!$L$5))))</f>
        <v/>
      </c>
      <c r="N16" s="86" t="str">
        <f>IFERROR(IF(H16="","",VLOOKUP(L16,parametros!$G$2:$H$5,2,0)),0)</f>
        <v/>
      </c>
      <c r="R16" s="7" t="str">
        <f t="shared" si="2"/>
        <v/>
      </c>
      <c r="S16" s="7" t="str">
        <f t="shared" si="3"/>
        <v/>
      </c>
      <c r="T16" s="7" t="str">
        <f>IFERROR(VLOOKUP(R16,parametros!$E$2:$F$13,2,0),"")</f>
        <v/>
      </c>
      <c r="U16" s="7" t="str">
        <f>IFERROR(VLOOKUP(S16,parametros!$B$2:$C$21,2,0),"")</f>
        <v/>
      </c>
      <c r="V16" s="7" t="str">
        <f>IF(OR(L16=parametros!$G$2,L16=parametros!$G$3,L16=parametros!$G$4),parametros!$G$3,"")</f>
        <v/>
      </c>
      <c r="W16" s="7" t="str">
        <f t="shared" si="1"/>
        <v/>
      </c>
      <c r="X16" s="7" t="str">
        <f>IFERROR(_xlfn.XLOOKUP(C16,me_rh,'est4'!$B$59:$B$66),"")</f>
        <v/>
      </c>
    </row>
    <row r="17" spans="3:24" ht="22.05" customHeight="1" x14ac:dyDescent="0.4">
      <c r="C17" s="66"/>
      <c r="D17" s="67"/>
      <c r="E17" s="67"/>
      <c r="F17" s="67"/>
      <c r="G17" s="67"/>
      <c r="H17" s="82"/>
      <c r="I17" s="80"/>
      <c r="J17" s="83" t="str">
        <f t="shared" si="0"/>
        <v/>
      </c>
      <c r="K17" s="84" t="str">
        <f>IFERROR(IF(H17="","",NETWORKDAYS.INTL(parametros!$A$2,J17,1,feriados)),"")</f>
        <v/>
      </c>
      <c r="L17" s="80"/>
      <c r="M17" s="85" t="str">
        <f ca="1">IF(J17&lt;parametros!$A$2,parametros!$L$2,IF(H17="","",IF(L17=parametros!$G$5,parametros!$L$3,IF(OR(L17=parametros!$G$3,L17=parametros!$G$4),parametros!$L$4,parametros!$L$5))))</f>
        <v/>
      </c>
      <c r="N17" s="86" t="str">
        <f>IFERROR(IF(H17="","",VLOOKUP(L17,parametros!$G$2:$H$5,2,0)),0)</f>
        <v/>
      </c>
      <c r="R17" s="7" t="str">
        <f t="shared" si="2"/>
        <v/>
      </c>
      <c r="S17" s="7" t="str">
        <f t="shared" si="3"/>
        <v/>
      </c>
      <c r="T17" s="7" t="str">
        <f>IFERROR(VLOOKUP(R17,parametros!$E$2:$F$13,2,0),"")</f>
        <v/>
      </c>
      <c r="U17" s="7" t="str">
        <f>IFERROR(VLOOKUP(S17,parametros!$B$2:$C$21,2,0),"")</f>
        <v/>
      </c>
      <c r="V17" s="7" t="str">
        <f>IF(OR(L17=parametros!$G$2,L17=parametros!$G$3,L17=parametros!$G$4),parametros!$G$3,"")</f>
        <v/>
      </c>
      <c r="W17" s="7" t="str">
        <f t="shared" si="1"/>
        <v/>
      </c>
      <c r="X17" s="7" t="str">
        <f>IFERROR(_xlfn.XLOOKUP(C17,me_rh,'est4'!$B$59:$B$66),"")</f>
        <v/>
      </c>
    </row>
    <row r="18" spans="3:24" ht="22.05" customHeight="1" x14ac:dyDescent="0.4">
      <c r="C18" s="66"/>
      <c r="D18" s="67"/>
      <c r="E18" s="67"/>
      <c r="F18" s="67"/>
      <c r="G18" s="67"/>
      <c r="H18" s="82"/>
      <c r="I18" s="80"/>
      <c r="J18" s="83" t="str">
        <f t="shared" si="0"/>
        <v/>
      </c>
      <c r="K18" s="84" t="str">
        <f>IFERROR(IF(H18="","",NETWORKDAYS.INTL(parametros!$A$2,J18,1,feriados)),"")</f>
        <v/>
      </c>
      <c r="L18" s="80"/>
      <c r="M18" s="85" t="str">
        <f ca="1">IF(J18&lt;parametros!$A$2,parametros!$L$2,IF(H18="","",IF(L18=parametros!$G$5,parametros!$L$3,IF(OR(L18=parametros!$G$3,L18=parametros!$G$4),parametros!$L$4,parametros!$L$5))))</f>
        <v/>
      </c>
      <c r="N18" s="86" t="str">
        <f>IFERROR(IF(H18="","",VLOOKUP(L18,parametros!$G$2:$H$5,2,0)),0)</f>
        <v/>
      </c>
      <c r="R18" s="7" t="str">
        <f t="shared" si="2"/>
        <v/>
      </c>
      <c r="S18" s="7" t="str">
        <f t="shared" si="3"/>
        <v/>
      </c>
      <c r="T18" s="7" t="str">
        <f>IFERROR(VLOOKUP(R18,parametros!$E$2:$F$13,2,0),"")</f>
        <v/>
      </c>
      <c r="U18" s="7" t="str">
        <f>IFERROR(VLOOKUP(S18,parametros!$B$2:$C$21,2,0),"")</f>
        <v/>
      </c>
      <c r="V18" s="7" t="str">
        <f>IF(OR(L18=parametros!$G$2,L18=parametros!$G$3,L18=parametros!$G$4),parametros!$G$3,"")</f>
        <v/>
      </c>
      <c r="W18" s="7" t="str">
        <f t="shared" si="1"/>
        <v/>
      </c>
      <c r="X18" s="7" t="str">
        <f>IFERROR(_xlfn.XLOOKUP(C18,me_rh,'est4'!$B$59:$B$66),"")</f>
        <v/>
      </c>
    </row>
    <row r="19" spans="3:24" ht="22.05" customHeight="1" x14ac:dyDescent="0.4">
      <c r="C19" s="66"/>
      <c r="D19" s="67"/>
      <c r="E19" s="67"/>
      <c r="F19" s="67"/>
      <c r="G19" s="67"/>
      <c r="H19" s="82"/>
      <c r="I19" s="80"/>
      <c r="J19" s="83" t="str">
        <f t="shared" si="0"/>
        <v/>
      </c>
      <c r="K19" s="84" t="str">
        <f>IFERROR(IF(H19="","",NETWORKDAYS.INTL(parametros!$A$2,J19,1,feriados)),"")</f>
        <v/>
      </c>
      <c r="L19" s="80"/>
      <c r="M19" s="85" t="str">
        <f ca="1">IF(J19&lt;parametros!$A$2,parametros!$L$2,IF(H19="","",IF(L19=parametros!$G$5,parametros!$L$3,IF(OR(L19=parametros!$G$3,L19=parametros!$G$4),parametros!$L$4,parametros!$L$5))))</f>
        <v/>
      </c>
      <c r="N19" s="86" t="str">
        <f>IFERROR(IF(H19="","",VLOOKUP(L19,parametros!$G$2:$H$5,2,0)),0)</f>
        <v/>
      </c>
      <c r="R19" s="7" t="str">
        <f t="shared" si="2"/>
        <v/>
      </c>
      <c r="S19" s="7" t="str">
        <f t="shared" si="3"/>
        <v/>
      </c>
      <c r="T19" s="7" t="str">
        <f>IFERROR(VLOOKUP(R19,parametros!$E$2:$F$13,2,0),"")</f>
        <v/>
      </c>
      <c r="U19" s="7" t="str">
        <f>IFERROR(VLOOKUP(S19,parametros!$B$2:$C$21,2,0),"")</f>
        <v/>
      </c>
      <c r="V19" s="7" t="str">
        <f>IF(OR(L19=parametros!$G$2,L19=parametros!$G$3,L19=parametros!$G$4),parametros!$G$3,"")</f>
        <v/>
      </c>
      <c r="W19" s="7" t="str">
        <f t="shared" si="1"/>
        <v/>
      </c>
      <c r="X19" s="7" t="str">
        <f>IFERROR(_xlfn.XLOOKUP(C19,me_rh,'est4'!$B$59:$B$66),"")</f>
        <v/>
      </c>
    </row>
    <row r="20" spans="3:24" ht="22.05" customHeight="1" x14ac:dyDescent="0.4">
      <c r="C20" s="66"/>
      <c r="D20" s="67"/>
      <c r="E20" s="67"/>
      <c r="F20" s="67"/>
      <c r="G20" s="67"/>
      <c r="H20" s="82"/>
      <c r="I20" s="80"/>
      <c r="J20" s="83" t="str">
        <f t="shared" si="0"/>
        <v/>
      </c>
      <c r="K20" s="84" t="str">
        <f>IFERROR(IF(H20="","",NETWORKDAYS.INTL(parametros!$A$2,J20,1,feriados)),"")</f>
        <v/>
      </c>
      <c r="L20" s="80"/>
      <c r="M20" s="85" t="str">
        <f ca="1">IF(J20&lt;parametros!$A$2,parametros!$L$2,IF(H20="","",IF(L20=parametros!$G$5,parametros!$L$3,IF(OR(L20=parametros!$G$3,L20=parametros!$G$4),parametros!$L$4,parametros!$L$5))))</f>
        <v/>
      </c>
      <c r="N20" s="86" t="str">
        <f>IFERROR(IF(H20="","",VLOOKUP(L20,parametros!$G$2:$H$5,2,0)),0)</f>
        <v/>
      </c>
      <c r="R20" s="7" t="str">
        <f t="shared" si="2"/>
        <v/>
      </c>
      <c r="S20" s="7" t="str">
        <f t="shared" si="3"/>
        <v/>
      </c>
      <c r="T20" s="7" t="str">
        <f>IFERROR(VLOOKUP(R20,parametros!$E$2:$F$13,2,0),"")</f>
        <v/>
      </c>
      <c r="U20" s="7" t="str">
        <f>IFERROR(VLOOKUP(S20,parametros!$B$2:$C$21,2,0),"")</f>
        <v/>
      </c>
      <c r="V20" s="7" t="str">
        <f>IF(OR(L20=parametros!$G$2,L20=parametros!$G$3,L20=parametros!$G$4),parametros!$G$3,"")</f>
        <v/>
      </c>
      <c r="W20" s="7" t="str">
        <f t="shared" si="1"/>
        <v/>
      </c>
      <c r="X20" s="7" t="str">
        <f>IFERROR(_xlfn.XLOOKUP(C20,me_rh,'est4'!$B$59:$B$66),"")</f>
        <v/>
      </c>
    </row>
    <row r="21" spans="3:24" ht="22.05" customHeight="1" x14ac:dyDescent="0.4">
      <c r="C21" s="66"/>
      <c r="D21" s="67"/>
      <c r="E21" s="67"/>
      <c r="F21" s="67"/>
      <c r="G21" s="67"/>
      <c r="H21" s="82"/>
      <c r="I21" s="80"/>
      <c r="J21" s="83" t="str">
        <f t="shared" si="0"/>
        <v/>
      </c>
      <c r="K21" s="84" t="str">
        <f>IFERROR(IF(H21="","",NETWORKDAYS.INTL(parametros!$A$2,J21,1,feriados)),"")</f>
        <v/>
      </c>
      <c r="L21" s="80"/>
      <c r="M21" s="85" t="str">
        <f ca="1">IF(J21&lt;parametros!$A$2,parametros!$L$2,IF(H21="","",IF(L21=parametros!$G$5,parametros!$L$3,IF(OR(L21=parametros!$G$3,L21=parametros!$G$4),parametros!$L$4,parametros!$L$5))))</f>
        <v/>
      </c>
      <c r="N21" s="86" t="str">
        <f>IFERROR(IF(H21="","",VLOOKUP(L21,parametros!$G$2:$H$5,2,0)),0)</f>
        <v/>
      </c>
      <c r="R21" s="7" t="str">
        <f t="shared" si="2"/>
        <v/>
      </c>
      <c r="S21" s="7" t="str">
        <f t="shared" si="3"/>
        <v/>
      </c>
      <c r="T21" s="7" t="str">
        <f>IFERROR(VLOOKUP(R21,parametros!$E$2:$F$13,2,0),"")</f>
        <v/>
      </c>
      <c r="U21" s="7" t="str">
        <f>IFERROR(VLOOKUP(S21,parametros!$B$2:$C$21,2,0),"")</f>
        <v/>
      </c>
      <c r="V21" s="7" t="str">
        <f>IF(OR(L21=parametros!$G$2,L21=parametros!$G$3,L21=parametros!$G$4),parametros!$G$3,"")</f>
        <v/>
      </c>
      <c r="W21" s="7" t="str">
        <f t="shared" si="1"/>
        <v/>
      </c>
      <c r="X21" s="7" t="str">
        <f>IFERROR(_xlfn.XLOOKUP(C21,me_rh,'est4'!$B$59:$B$66),"")</f>
        <v/>
      </c>
    </row>
    <row r="22" spans="3:24" ht="22.05" customHeight="1" x14ac:dyDescent="0.4">
      <c r="C22" s="66"/>
      <c r="D22" s="67"/>
      <c r="E22" s="67"/>
      <c r="F22" s="67"/>
      <c r="G22" s="67"/>
      <c r="H22" s="82"/>
      <c r="I22" s="80"/>
      <c r="J22" s="83" t="str">
        <f t="shared" si="0"/>
        <v/>
      </c>
      <c r="K22" s="84" t="str">
        <f>IFERROR(IF(H22="","",NETWORKDAYS.INTL(parametros!$A$2,J22,1,feriados)),"")</f>
        <v/>
      </c>
      <c r="L22" s="80"/>
      <c r="M22" s="85" t="str">
        <f ca="1">IF(J22&lt;parametros!$A$2,parametros!$L$2,IF(H22="","",IF(L22=parametros!$G$5,parametros!$L$3,IF(OR(L22=parametros!$G$3,L22=parametros!$G$4),parametros!$L$4,parametros!$L$5))))</f>
        <v/>
      </c>
      <c r="N22" s="86" t="str">
        <f>IFERROR(IF(H22="","",VLOOKUP(L22,parametros!$G$2:$H$5,2,0)),0)</f>
        <v/>
      </c>
      <c r="R22" s="7" t="str">
        <f t="shared" si="2"/>
        <v/>
      </c>
      <c r="S22" s="7" t="str">
        <f t="shared" si="3"/>
        <v/>
      </c>
      <c r="T22" s="7" t="str">
        <f>IFERROR(VLOOKUP(R22,parametros!$E$2:$F$13,2,0),"")</f>
        <v/>
      </c>
      <c r="U22" s="7" t="str">
        <f>IFERROR(VLOOKUP(S22,parametros!$B$2:$C$21,2,0),"")</f>
        <v/>
      </c>
      <c r="V22" s="7" t="str">
        <f>IF(OR(L22=parametros!$G$2,L22=parametros!$G$3,L22=parametros!$G$4),parametros!$G$3,"")</f>
        <v/>
      </c>
      <c r="W22" s="7" t="str">
        <f t="shared" si="1"/>
        <v/>
      </c>
      <c r="X22" s="7" t="str">
        <f>IFERROR(_xlfn.XLOOKUP(C22,me_rh,'est4'!$B$59:$B$66),"")</f>
        <v/>
      </c>
    </row>
    <row r="23" spans="3:24" ht="22.05" customHeight="1" thickBot="1" x14ac:dyDescent="0.45">
      <c r="C23" s="68"/>
      <c r="D23" s="69"/>
      <c r="E23" s="69"/>
      <c r="F23" s="69"/>
      <c r="G23" s="69"/>
      <c r="H23" s="87"/>
      <c r="I23" s="81"/>
      <c r="J23" s="88" t="str">
        <f t="shared" si="0"/>
        <v/>
      </c>
      <c r="K23" s="89" t="str">
        <f>IFERROR(IF(H23="","",NETWORKDAYS.INTL(parametros!$A$2,J23,1,feriados)),"")</f>
        <v/>
      </c>
      <c r="L23" s="81"/>
      <c r="M23" s="90" t="str">
        <f ca="1">IF(J23&lt;parametros!$A$2,parametros!$L$2,IF(H23="","",IF(L23=parametros!$G$5,parametros!$L$3,IF(OR(L23=parametros!$G$3,L23=parametros!$G$4),parametros!$L$4,parametros!$L$5))))</f>
        <v/>
      </c>
      <c r="N23" s="91" t="str">
        <f>IFERROR(IF(H23="","",VLOOKUP(L23,parametros!$G$2:$H$5,2,0)),0)</f>
        <v/>
      </c>
      <c r="R23" s="7" t="str">
        <f t="shared" si="2"/>
        <v/>
      </c>
      <c r="S23" s="7" t="str">
        <f t="shared" si="3"/>
        <v/>
      </c>
      <c r="T23" s="7" t="str">
        <f>IFERROR(VLOOKUP(R23,parametros!$E$2:$F$13,2,0),"")</f>
        <v/>
      </c>
      <c r="U23" s="7" t="str">
        <f>IFERROR(VLOOKUP(S23,parametros!$B$2:$C$21,2,0),"")</f>
        <v/>
      </c>
      <c r="V23" s="7" t="str">
        <f>IF(OR(L23=parametros!$G$2,L23=parametros!$G$3,L23=parametros!$G$4),parametros!$G$3,"")</f>
        <v/>
      </c>
      <c r="W23" s="7" t="str">
        <f t="shared" si="1"/>
        <v/>
      </c>
      <c r="X23" s="7" t="str">
        <f>IFERROR(_xlfn.XLOOKUP(C23,me_rh,'est4'!$B$59:$B$66),"")</f>
        <v/>
      </c>
    </row>
  </sheetData>
  <dataValidations count="4">
    <dataValidation type="list" allowBlank="1" showInputMessage="1" showErrorMessage="1" sqref="C5:C23" xr:uid="{2178A6F0-24B7-4B78-959C-8BC7B43AD79F}">
      <formula1>me_rh</formula1>
    </dataValidation>
    <dataValidation type="list" allowBlank="1" showInputMessage="1" showErrorMessage="1" sqref="F5:F23" xr:uid="{BE7C62D8-7F78-41E1-94E1-52A7B020F8AB}">
      <formula1>funcionarios</formula1>
    </dataValidation>
    <dataValidation type="list" allowBlank="1" showInputMessage="1" showErrorMessage="1" sqref="E5:E23" xr:uid="{D75FC46C-7EB0-496C-85A3-F8863C3655BF}">
      <formula1>equipes</formula1>
    </dataValidation>
    <dataValidation type="list" allowBlank="1" showInputMessage="1" showErrorMessage="1" sqref="L5:L23" xr:uid="{D600E089-5737-4D15-B38C-85A3E3E95C77}">
      <formula1>params_status</formula1>
    </dataValidation>
  </dataValidations>
  <pageMargins left="0.511811024" right="0.511811024" top="0.78740157499999996" bottom="0.78740157499999996" header="0.31496062000000002" footer="0.31496062000000002"/>
  <pageSetup paperSize="9" scale="5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48EC-E8BA-451E-9D8D-4B05AC754810}">
  <dimension ref="A1:L22"/>
  <sheetViews>
    <sheetView showGridLines="0" topLeftCell="C1" zoomScale="107" zoomScaleNormal="107" workbookViewId="0">
      <selection activeCell="C8" sqref="C8:C10"/>
    </sheetView>
  </sheetViews>
  <sheetFormatPr defaultRowHeight="13.2" x14ac:dyDescent="0.4"/>
  <cols>
    <col min="1" max="2" width="2.21875" style="7" customWidth="1"/>
    <col min="3" max="4" width="16.6640625" style="7" customWidth="1"/>
    <col min="5" max="6" width="8.88671875" style="7"/>
    <col min="7" max="7" width="15.6640625" style="7" customWidth="1"/>
    <col min="8" max="8" width="13.44140625" style="7" customWidth="1"/>
    <col min="9" max="9" width="54.44140625" style="7" customWidth="1"/>
    <col min="10" max="12" width="12.5546875" style="79" customWidth="1"/>
    <col min="13" max="16384" width="8.88671875" style="7"/>
  </cols>
  <sheetData>
    <row r="1" spans="1:12" s="3" customFormat="1" ht="28.2" customHeight="1" x14ac:dyDescent="0.4">
      <c r="E1" s="4"/>
      <c r="J1" s="77"/>
      <c r="K1" s="77"/>
      <c r="L1" s="77"/>
    </row>
    <row r="2" spans="1:12" s="5" customFormat="1" ht="21.6" customHeight="1" x14ac:dyDescent="0.4">
      <c r="J2" s="78"/>
      <c r="K2" s="78"/>
      <c r="L2" s="78"/>
    </row>
    <row r="5" spans="1:12" ht="22.05" customHeight="1" x14ac:dyDescent="0.4">
      <c r="C5" s="75" t="s">
        <v>138</v>
      </c>
      <c r="D5" s="7">
        <v>1</v>
      </c>
    </row>
    <row r="6" spans="1:12" ht="13.8" thickBot="1" x14ac:dyDescent="0.45"/>
    <row r="7" spans="1:12" ht="25.05" customHeight="1" thickTop="1" thickBot="1" x14ac:dyDescent="0.45">
      <c r="A7" s="104"/>
      <c r="B7" s="104"/>
      <c r="C7" s="151" t="s">
        <v>140</v>
      </c>
      <c r="D7" s="152"/>
      <c r="E7" s="152"/>
      <c r="F7" s="152"/>
      <c r="G7" s="153"/>
      <c r="I7" s="155" t="s">
        <v>141</v>
      </c>
      <c r="J7" s="155" t="s">
        <v>142</v>
      </c>
      <c r="K7" s="155" t="s">
        <v>143</v>
      </c>
      <c r="L7" s="155" t="s">
        <v>144</v>
      </c>
    </row>
    <row r="8" spans="1:12" ht="25.05" customHeight="1" thickTop="1" thickBot="1" x14ac:dyDescent="0.45">
      <c r="A8" s="104"/>
      <c r="B8" s="104" t="str">
        <f>IF(C8="","",IF(C8&gt;parametros!$Q$3,parametros!$R$4,IF(C8&lt;parametros!$Q$2,parametros!$R$2,2)))</f>
        <v/>
      </c>
      <c r="C8" s="250" t="str">
        <f>IF(ISERROR(AVERAGE(L8:L15)),"",AVERAGE(L8:L15))</f>
        <v/>
      </c>
      <c r="D8" s="253" t="str">
        <f>IFERROR(VLOOKUP(B8,parametros!$R$2:$S$4,2,0),parametros!$A$3)</f>
        <v>"Comunicar o diretor responsável pelo projeto imediatamente."</v>
      </c>
      <c r="E8" s="253"/>
      <c r="F8" s="253"/>
      <c r="G8" s="253" t="str">
        <f ca="1">_xlfn.CONCAT("Restam ",DATEDIF(DATE(YEAR(parametros!$A$2),MONTH(parametros!$A$2),1),DATE(_xlfn.XLOOKUP(id_org!$H$16,parametros!$C$2:$C$21,params_ano),12,31),"M")," meses para conclusão do planijamento estratégico")</f>
        <v>Restam 4 meses para conclusão do planijamento estratégico</v>
      </c>
      <c r="I8" s="156" t="str">
        <f>IF($D$5=1,'est1'!C59,IF($D$5=2,'est2'!C59,IF($D$5=3,'est3'!C59,IF($D$5=4,'est4'!C59,"OPS"))))</f>
        <v>Aumentar: Faturamento</v>
      </c>
      <c r="J8" s="157">
        <f>IF($D$5=1,'est1'!D59,IF($D$5=2,'est2'!D59,IF($D$5=3,'est3'!D59,IF($D$5=4,'est4'!D59,"OPS"))))</f>
        <v>0</v>
      </c>
      <c r="K8" s="157">
        <f>IF($D$5=1,'est1'!E59,IF($D$5=2,'est2'!E59,IF($D$5=3,'est3'!E59,IF($D$5=4,'est4'!E59,"OPS"))))</f>
        <v>0</v>
      </c>
      <c r="L8" s="158" t="str">
        <f>IF(ISERROR(K8/J8),"",(K8/J8))</f>
        <v/>
      </c>
    </row>
    <row r="9" spans="1:12" ht="25.05" customHeight="1" thickTop="1" thickBot="1" x14ac:dyDescent="0.45">
      <c r="A9" s="104"/>
      <c r="B9" s="104" t="e">
        <f>VLOOKUP(B8,parametros!$U$2:$W$4,3,0)</f>
        <v>#N/A</v>
      </c>
      <c r="C9" s="251"/>
      <c r="D9" s="254"/>
      <c r="E9" s="254"/>
      <c r="F9" s="254"/>
      <c r="G9" s="254"/>
      <c r="I9" s="156" t="str">
        <f>IF($D$5=1,'est1'!C60,IF($D$5=2,'est2'!C60,IF($D$5=3,'est3'!C60,IF($D$5=4,'est4'!C60,"OPS"))))</f>
        <v>Aumentar: Tiket Médio</v>
      </c>
      <c r="J9" s="157">
        <f>IF($D$5=1,'est1'!D60,IF($D$5=2,'est2'!D60,IF($D$5=3,'est3'!D60,IF($D$5=4,'est4'!D60,"OPS"))))</f>
        <v>0</v>
      </c>
      <c r="K9" s="157">
        <f>IF($D$5=1,'est1'!E60,IF($D$5=2,'est2'!E60,IF($D$5=3,'est3'!E60,IF($D$5=4,'est4'!E60,"OPS"))))</f>
        <v>0</v>
      </c>
      <c r="L9" s="158" t="str">
        <f t="shared" ref="L9:L15" si="0">IF(ISERROR(K9/J9),"",(K9/J9))</f>
        <v/>
      </c>
    </row>
    <row r="10" spans="1:12" ht="25.05" customHeight="1" thickTop="1" thickBot="1" x14ac:dyDescent="0.45">
      <c r="A10" s="104"/>
      <c r="B10" s="104"/>
      <c r="C10" s="252"/>
      <c r="D10" s="255"/>
      <c r="E10" s="255"/>
      <c r="F10" s="255"/>
      <c r="G10" s="255"/>
      <c r="I10" s="156" t="str">
        <f>IF($D$5=1,'est1'!C61,IF($D$5=2,'est2'!C61,IF($D$5=3,'est3'!C61,IF($D$5=4,'est4'!C61,"OPS"))))</f>
        <v xml:space="preserve">: </v>
      </c>
      <c r="J10" s="157">
        <f>IF($D$5=1,'est1'!D61,IF($D$5=2,'est2'!D61,IF($D$5=3,'est3'!D61,IF($D$5=4,'est4'!D61,"OPS"))))</f>
        <v>0</v>
      </c>
      <c r="K10" s="157">
        <f>IF($D$5=1,'est1'!E61,IF($D$5=2,'est2'!E61,IF($D$5=3,'est3'!E61,IF($D$5=4,'est4'!E61,"OPS"))))</f>
        <v>0</v>
      </c>
      <c r="L10" s="158" t="str">
        <f t="shared" si="0"/>
        <v/>
      </c>
    </row>
    <row r="11" spans="1:12" ht="25.05" customHeight="1" thickTop="1" thickBot="1" x14ac:dyDescent="0.45">
      <c r="A11" s="104"/>
      <c r="B11" s="104"/>
      <c r="I11" s="156" t="str">
        <f>IF($D$5=1,'est1'!C62,IF($D$5=2,'est2'!C62,IF($D$5=3,'est3'!C62,IF($D$5=4,'est4'!C62,"OPS"))))</f>
        <v xml:space="preserve">: </v>
      </c>
      <c r="J11" s="157">
        <f>IF($D$5=1,'est1'!D62,IF($D$5=2,'est2'!D62,IF($D$5=3,'est3'!D62,IF($D$5=4,'est4'!D62,"OPS"))))</f>
        <v>0</v>
      </c>
      <c r="K11" s="157">
        <f>IF($D$5=1,'est1'!E62,IF($D$5=2,'est2'!E62,IF($D$5=3,'est3'!E62,IF($D$5=4,'est4'!E62,"OPS"))))</f>
        <v>0</v>
      </c>
      <c r="L11" s="158" t="str">
        <f t="shared" si="0"/>
        <v/>
      </c>
    </row>
    <row r="12" spans="1:12" ht="25.05" customHeight="1" thickTop="1" thickBot="1" x14ac:dyDescent="0.45">
      <c r="A12" s="104" t="str">
        <f>IF(ISERROR(AVERAGE('PA1'!$N$5:$N$23)),"",AVERAGE('PA1'!$N$5:$N$23))</f>
        <v/>
      </c>
      <c r="B12" s="104"/>
      <c r="C12" s="151" t="s">
        <v>199</v>
      </c>
      <c r="D12" s="152"/>
      <c r="E12" s="152"/>
      <c r="F12" s="152"/>
      <c r="G12" s="153"/>
      <c r="I12" s="156" t="str">
        <f>IF($D$5=1,'est1'!C63,IF($D$5=2,'est2'!C63,IF($D$5=3,'est3'!C63,IF($D$5=4,'est4'!C63,"OPS"))))</f>
        <v xml:space="preserve">: </v>
      </c>
      <c r="J12" s="157">
        <f>IF($D$5=1,'est1'!D63,IF($D$5=2,'est2'!D63,IF($D$5=3,'est3'!D63,IF($D$5=4,'est4'!D63,"OPS"))))</f>
        <v>0</v>
      </c>
      <c r="K12" s="157">
        <f>IF($D$5=1,'est1'!E63,IF($D$5=2,'est2'!E63,IF($D$5=3,'est3'!E63,IF($D$5=4,'est4'!E63,"OPS"))))</f>
        <v>0</v>
      </c>
      <c r="L12" s="158" t="str">
        <f t="shared" si="0"/>
        <v/>
      </c>
    </row>
    <row r="13" spans="1:12" ht="25.05" customHeight="1" thickTop="1" thickBot="1" x14ac:dyDescent="0.45">
      <c r="A13" s="104" t="str">
        <f>IF(ISERROR(AVERAGE('PA2'!$N$5:$N$23)),"",AVERAGE('PA2'!$N$5:$N$23))</f>
        <v/>
      </c>
      <c r="B13" s="104">
        <f>IF(C13&gt;parametros!$T$3,parametros!$U$4,IF(C13&lt;parametros!$T$2,parametros!$U$2,2))</f>
        <v>3</v>
      </c>
      <c r="C13" s="250" t="str" cm="1">
        <f t="array" ref="C13">INDEX(A12:A15,D5)</f>
        <v/>
      </c>
      <c r="D13" s="256" t="e">
        <f>VLOOKUP(B8,parametros!$U$2:$V$4,2,0)</f>
        <v>#N/A</v>
      </c>
      <c r="E13" s="256"/>
      <c r="F13" s="256"/>
      <c r="G13" s="256" t="str">
        <f ca="1">_xlfn.CONCAT("Você já concluíu ",INDEX(A16:A19,D5)," planos de ação de um total de ",INDEX($B$16:$B$19,$D$5),".")</f>
        <v>Você já concluíu 0 planos de ação de um total de 0.</v>
      </c>
      <c r="I13" s="156" t="str">
        <f>IF($D$5=1,'est1'!C64,IF($D$5=2,'est2'!C64,IF($D$5=3,'est3'!C64,IF($D$5=4,'est4'!C64,"OPS"))))</f>
        <v xml:space="preserve">: </v>
      </c>
      <c r="J13" s="157">
        <f>IF($D$5=1,'est1'!D64,IF($D$5=2,'est2'!D64,IF($D$5=3,'est3'!D64,IF($D$5=4,'est4'!D64,"OPS"))))</f>
        <v>0</v>
      </c>
      <c r="K13" s="157">
        <f>IF($D$5=1,'est1'!E64,IF($D$5=2,'est2'!E64,IF($D$5=3,'est3'!E64,IF($D$5=4,'est4'!E64,"OPS"))))</f>
        <v>0</v>
      </c>
      <c r="L13" s="158" t="str">
        <f t="shared" si="0"/>
        <v/>
      </c>
    </row>
    <row r="14" spans="1:12" ht="25.05" customHeight="1" thickTop="1" thickBot="1" x14ac:dyDescent="0.45">
      <c r="A14" s="104" t="str">
        <f>IF(ISERROR(AVERAGE('PA3'!$N$5:$N$23)),"",AVERAGE('PA3'!$N$5:$N$23))</f>
        <v/>
      </c>
      <c r="B14" s="104" t="str">
        <f>VLOOKUP(B13,parametros!$U$2:$W$4,3,0)</f>
        <v>VERDE</v>
      </c>
      <c r="C14" s="251"/>
      <c r="D14" s="257"/>
      <c r="E14" s="257"/>
      <c r="F14" s="257"/>
      <c r="G14" s="257"/>
      <c r="I14" s="156" t="str">
        <f>IF($D$5=1,'est1'!C65,IF($D$5=2,'est2'!C65,IF($D$5=3,'est3'!C65,IF($D$5=4,'est4'!C65,"OPS"))))</f>
        <v xml:space="preserve">: </v>
      </c>
      <c r="J14" s="157">
        <f>IF($D$5=1,'est1'!D65,IF($D$5=2,'est2'!D65,IF($D$5=3,'est3'!D65,IF($D$5=4,'est4'!D65,"OPS"))))</f>
        <v>0</v>
      </c>
      <c r="K14" s="157">
        <f>IF($D$5=1,'est1'!E65,IF($D$5=2,'est2'!E65,IF($D$5=3,'est3'!E65,IF($D$5=4,'est4'!E65,"OPS"))))</f>
        <v>0</v>
      </c>
      <c r="L14" s="158" t="str">
        <f t="shared" si="0"/>
        <v/>
      </c>
    </row>
    <row r="15" spans="1:12" ht="25.05" customHeight="1" thickTop="1" thickBot="1" x14ac:dyDescent="0.45">
      <c r="A15" s="104" t="str">
        <f>IF(ISERROR(AVERAGE('PA4'!$N$5:$N$23)),"",AVERAGE('PA4'!$N$5:$N$23))</f>
        <v/>
      </c>
      <c r="B15" s="104"/>
      <c r="C15" s="252"/>
      <c r="D15" s="258"/>
      <c r="E15" s="258"/>
      <c r="F15" s="258"/>
      <c r="G15" s="258"/>
      <c r="I15" s="156" t="str">
        <f>IF($D$5=1,'est1'!C66,IF($D$5=2,'est2'!C66,IF($D$5=3,'est3'!C66,IF($D$5=4,'est4'!C66,"OPS"))))</f>
        <v xml:space="preserve">: </v>
      </c>
      <c r="J15" s="157">
        <f>IF($D$5=1,'est1'!D66,IF($D$5=2,'est2'!D66,IF($D$5=3,'est3'!D66,IF($D$5=4,'est4'!D66,"OPS"))))</f>
        <v>0</v>
      </c>
      <c r="K15" s="157">
        <f>IF($D$5=1,'est1'!E66,IF($D$5=2,'est2'!E66,IF($D$5=3,'est3'!E66,IF($D$5=4,'est4'!E66,"OPS"))))</f>
        <v>0</v>
      </c>
      <c r="L15" s="158" t="str">
        <f t="shared" si="0"/>
        <v/>
      </c>
    </row>
    <row r="16" spans="1:12" ht="25.05" customHeight="1" thickTop="1" thickBot="1" x14ac:dyDescent="0.45">
      <c r="A16" s="104">
        <f>COUNTA('PA1'!$C$5:$C$23)</f>
        <v>0</v>
      </c>
      <c r="B16" s="104">
        <f ca="1">COUNTIF('PA1'!$M$5:$M$23,parametros!$L$3)</f>
        <v>0</v>
      </c>
    </row>
    <row r="17" spans="1:7" ht="25.05" customHeight="1" thickTop="1" thickBot="1" x14ac:dyDescent="0.45">
      <c r="A17" s="104">
        <f>COUNTA('PA2'!$C$5:$C$23)</f>
        <v>0</v>
      </c>
      <c r="B17" s="104">
        <f ca="1">COUNTIF('PA2'!$M$5:$M$23,parametros!$L$3)</f>
        <v>0</v>
      </c>
      <c r="C17" s="151" t="s">
        <v>254</v>
      </c>
      <c r="D17" s="152"/>
      <c r="E17" s="152"/>
      <c r="F17" s="152"/>
      <c r="G17" s="153"/>
    </row>
    <row r="18" spans="1:7" ht="25.05" customHeight="1" thickTop="1" thickBot="1" x14ac:dyDescent="0.45">
      <c r="A18" s="104">
        <f>COUNTA('PA3'!$C$5:$C$23)</f>
        <v>0</v>
      </c>
      <c r="B18" s="104">
        <f ca="1">COUNTIF('PA3'!$M$5:$M$23,parametros!$L$3)</f>
        <v>0</v>
      </c>
      <c r="C18" s="250" t="e">
        <f>C13/C8</f>
        <v>#VALUE!</v>
      </c>
      <c r="D18" s="253" t="e">
        <f>VLOOKUP(MATCH(_xlfn.CONCAT($B$9,$B$14),parametros!$AF$2:$AF$10),parametros!$AG$2:$AK$10,4,0)</f>
        <v>#N/A</v>
      </c>
      <c r="E18" s="253"/>
      <c r="F18" s="253"/>
      <c r="G18" s="253" t="e">
        <f>VLOOKUP(MATCH(_xlfn.CONCAT($B$9,$B$14),parametros!$AF$2:$AF$10),parametros!$AG$2:$AK$10,5,0)</f>
        <v>#N/A</v>
      </c>
    </row>
    <row r="19" spans="1:7" ht="25.05" customHeight="1" thickTop="1" thickBot="1" x14ac:dyDescent="0.45">
      <c r="A19" s="104">
        <f>COUNTA('PA4'!$C$5:$C$23)</f>
        <v>0</v>
      </c>
      <c r="B19" s="104">
        <f ca="1">COUNTIF('PA4'!$M$5:$M$23,parametros!$L$3)</f>
        <v>0</v>
      </c>
      <c r="C19" s="251"/>
      <c r="D19" s="254"/>
      <c r="E19" s="254"/>
      <c r="F19" s="254"/>
      <c r="G19" s="254"/>
    </row>
    <row r="20" spans="1:7" ht="25.05" customHeight="1" thickTop="1" thickBot="1" x14ac:dyDescent="0.45">
      <c r="A20" s="104"/>
      <c r="B20" s="104"/>
      <c r="C20" s="252"/>
      <c r="D20" s="255"/>
      <c r="E20" s="255"/>
      <c r="F20" s="255"/>
      <c r="G20" s="255"/>
    </row>
    <row r="21" spans="1:7" ht="13.8" thickTop="1" x14ac:dyDescent="0.4">
      <c r="A21" s="104"/>
      <c r="B21" s="104"/>
      <c r="D21" s="149"/>
    </row>
    <row r="22" spans="1:7" x14ac:dyDescent="0.4">
      <c r="A22" s="104"/>
      <c r="B22" s="104"/>
    </row>
  </sheetData>
  <mergeCells count="9">
    <mergeCell ref="C18:C20"/>
    <mergeCell ref="D18:F20"/>
    <mergeCell ref="G18:G20"/>
    <mergeCell ref="C8:C10"/>
    <mergeCell ref="D8:F10"/>
    <mergeCell ref="G8:G10"/>
    <mergeCell ref="C13:C15"/>
    <mergeCell ref="D13:F15"/>
    <mergeCell ref="G13:G15"/>
  </mergeCells>
  <conditionalFormatting sqref="C8:G10">
    <cfRule type="expression" dxfId="134" priority="8">
      <formula>$C$8=""</formula>
    </cfRule>
  </conditionalFormatting>
  <conditionalFormatting sqref="C18:G20">
    <cfRule type="expression" dxfId="127" priority="1">
      <formula>$C$18=""</formula>
    </cfRule>
  </conditionalFormatting>
  <pageMargins left="0.511811024" right="0.511811024" top="0.78740157499999996" bottom="0.78740157499999996" header="0.31496062000000002" footer="0.31496062000000002"/>
  <pageSetup paperSize="9" scale="7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2</xdr:col>
                    <xdr:colOff>822960</xdr:colOff>
                    <xdr:row>4</xdr:row>
                    <xdr:rowOff>22860</xdr:rowOff>
                  </from>
                  <to>
                    <xdr:col>5</xdr:col>
                    <xdr:colOff>175260</xdr:colOff>
                    <xdr:row>4</xdr:row>
                    <xdr:rowOff>266700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788DCFCC-A89C-4DC4-8AE6-7E87F6E21F26}">
            <xm:f>AND($C$8&gt;parametros!$Q$2,$C$8&lt;=parametros!$Q$3)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13" id="{285A8257-1883-4EDF-935E-BB06A1620DEA}">
            <xm:f>$C$8&lt;=parametros!$Q$2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14" id="{66D24A28-6583-4FCF-A972-8F768B6E7E6B}">
            <xm:f>$C$8&gt;parametros!$Q$3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m:sqref>C8:G10</xm:sqref>
        </x14:conditionalFormatting>
        <x14:conditionalFormatting xmlns:xm="http://schemas.microsoft.com/office/excel/2006/main">
          <x14:cfRule type="expression" priority="9" id="{2E28B421-BC0B-4495-8123-0223446EE891}">
            <xm:f>AND($C$13&gt;parametros!$T$2,$C$13&lt;=parametros!$T$3)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10" id="{A4BE54D0-E5A9-47CF-81B7-58CB85612723}">
            <xm:f>$C$13&lt;=parametros!$T$2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11" id="{5063E106-5676-4D4E-91B0-A7127446D85F}">
            <xm:f>$C$13&gt;parametros!$T$3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m:sqref>C13:G15</xm:sqref>
        </x14:conditionalFormatting>
        <x14:conditionalFormatting xmlns:xm="http://schemas.microsoft.com/office/excel/2006/main">
          <x14:cfRule type="expression" priority="2" id="{E7E36633-BCBC-42DF-B696-FD088D8BDFB9}">
            <xm:f>AND($C$18&gt;parametros!$Q$2,$C$18&lt;=parametros!$Q$3)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3" id="{9F986953-4895-48EC-8CE5-332A928569F9}">
            <xm:f>$C$18&lt;=parametros!$Q$2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4" id="{31CBA386-37CD-41A0-9634-25C324CA3B60}">
            <xm:f>$C$18&gt;parametros!$Q$3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m:sqref>C18:G20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9719-7A9B-4A8A-B62A-4C0950E1C01B}">
  <dimension ref="A1:F11"/>
  <sheetViews>
    <sheetView showGridLines="0" zoomScale="107" zoomScaleNormal="107" workbookViewId="0">
      <selection activeCell="C5" sqref="C5:D10"/>
    </sheetView>
  </sheetViews>
  <sheetFormatPr defaultRowHeight="13.2" x14ac:dyDescent="0.4"/>
  <cols>
    <col min="1" max="2" width="2.21875" style="7" customWidth="1"/>
    <col min="3" max="3" width="37.5546875" style="7" customWidth="1"/>
    <col min="4" max="4" width="11" style="7" customWidth="1"/>
    <col min="5" max="5" width="1.44140625" style="7" customWidth="1"/>
    <col min="6" max="6" width="123.77734375" style="7" customWidth="1"/>
    <col min="7" max="7" width="13.44140625" style="7" customWidth="1"/>
    <col min="8" max="16384" width="8.88671875" style="7"/>
  </cols>
  <sheetData>
    <row r="1" spans="1:6" s="3" customFormat="1" ht="28.2" customHeight="1" x14ac:dyDescent="0.4">
      <c r="E1" s="4"/>
    </row>
    <row r="2" spans="1:6" s="5" customFormat="1" ht="21.6" customHeight="1" x14ac:dyDescent="0.4"/>
    <row r="3" spans="1:6" ht="13.8" thickBot="1" x14ac:dyDescent="0.45"/>
    <row r="4" spans="1:6" s="105" customFormat="1" ht="25.05" customHeight="1" thickTop="1" thickBot="1" x14ac:dyDescent="0.45">
      <c r="A4" s="104">
        <f>(COUNTA('PA1'!$W$5:$W$23)-COUNTBLANK('PA1'!W5:W23))+(COUNTA('PA2'!$W$5:$W$23)-COUNTBLANK('PA2'!W5:W23))+COUNTA('PA3'!$W$5:$W$23)-COUNTBLANK('PA3'!W5:W23)+(COUNTA('PA4'!$W$5:$W$23)-COUNTBLANK('PA4'!W5:W23))</f>
        <v>0</v>
      </c>
      <c r="C4" s="142" t="s">
        <v>162</v>
      </c>
      <c r="D4" s="143" t="s">
        <v>163</v>
      </c>
    </row>
    <row r="5" spans="1:6" s="105" customFormat="1" ht="25.05" customHeight="1" thickTop="1" thickBot="1" x14ac:dyDescent="0.45">
      <c r="A5" s="104">
        <f>IF(C5="",0,COUNTIF('PA1'!$W$5:$W$23,RC_mg!C5)+COUNTIF('PA2'!$W$5:$W$23,RC_mg!C5)+COUNTIF('PA3'!$W$5:$W$23,RC_mg!C5)+COUNTIF('PA4'!$W$5:$W$23,RC_mg!C5))</f>
        <v>0</v>
      </c>
      <c r="C5" s="144" t="str">
        <f>IF(mg!C6="","",mg!C6)</f>
        <v xml:space="preserve">Posicionamento premium </v>
      </c>
      <c r="D5" s="145" t="e">
        <f t="shared" ref="D5:D10" si="0">A5/$A$4</f>
        <v>#DIV/0!</v>
      </c>
      <c r="E5" s="146" t="e">
        <f>IF(D5&gt;parametros!$N$3,3,IF(D5&lt;parametros!$N$2,1,2))</f>
        <v>#DIV/0!</v>
      </c>
      <c r="F5" s="144" t="e">
        <f>VLOOKUP(E5,parametros!$O$2:$P$4,2,0)</f>
        <v>#DIV/0!</v>
      </c>
    </row>
    <row r="6" spans="1:6" s="105" customFormat="1" ht="25.05" customHeight="1" thickTop="1" thickBot="1" x14ac:dyDescent="0.45">
      <c r="A6" s="104">
        <f>IF(C6="",0,COUNTIF('PA1'!$W$5:$W$23,RC_mg!C6)+COUNTIF('PA2'!$W$5:$W$23,RC_mg!C6)+COUNTIF('PA3'!$W$5:$W$23,RC_mg!C6)+COUNTIF('PA4'!$W$5:$W$23,RC_mg!C6))</f>
        <v>0</v>
      </c>
      <c r="C6" s="144" t="str">
        <f>IF(mg!C7="","",mg!C7)</f>
        <v/>
      </c>
      <c r="D6" s="145" t="e">
        <f t="shared" si="0"/>
        <v>#DIV/0!</v>
      </c>
      <c r="E6" s="146" t="e">
        <f>IF(D6&gt;parametros!$N$3,3,IF(D6&lt;parametros!$N$2,1,2))</f>
        <v>#DIV/0!</v>
      </c>
      <c r="F6" s="144" t="e">
        <f>VLOOKUP(E6,parametros!$O$2:$P$4,2,0)</f>
        <v>#DIV/0!</v>
      </c>
    </row>
    <row r="7" spans="1:6" s="105" customFormat="1" ht="25.05" customHeight="1" thickTop="1" thickBot="1" x14ac:dyDescent="0.45">
      <c r="A7" s="104">
        <f>IF(C7="",0,COUNTIF('PA1'!$W$5:$W$23,RC_mg!C7)+COUNTIF('PA2'!$W$5:$W$23,RC_mg!C7)+COUNTIF('PA3'!$W$5:$W$23,RC_mg!C7)+COUNTIF('PA4'!$W$5:$W$23,RC_mg!C7))</f>
        <v>0</v>
      </c>
      <c r="C7" s="144" t="str">
        <f>IF(mg!C8="","",mg!C8)</f>
        <v/>
      </c>
      <c r="D7" s="145" t="e">
        <f t="shared" si="0"/>
        <v>#DIV/0!</v>
      </c>
      <c r="E7" s="146" t="e">
        <f>IF(D7&gt;parametros!$N$3,3,IF(D7&lt;parametros!$N$2,1,2))</f>
        <v>#DIV/0!</v>
      </c>
      <c r="F7" s="144" t="e">
        <f>VLOOKUP(E7,parametros!$O$2:$P$4,2,0)</f>
        <v>#DIV/0!</v>
      </c>
    </row>
    <row r="8" spans="1:6" s="105" customFormat="1" ht="25.05" customHeight="1" thickTop="1" thickBot="1" x14ac:dyDescent="0.45">
      <c r="A8" s="104">
        <f>IF(C8="",0,COUNTIF('PA1'!$W$5:$W$23,RC_mg!C8)+COUNTIF('PA2'!$W$5:$W$23,RC_mg!C8)+COUNTIF('PA3'!$W$5:$W$23,RC_mg!C8)+COUNTIF('PA4'!$W$5:$W$23,RC_mg!C8))</f>
        <v>0</v>
      </c>
      <c r="C8" s="144" t="str">
        <f>IF(mg!C9="","",mg!C9)</f>
        <v/>
      </c>
      <c r="D8" s="145" t="e">
        <f t="shared" si="0"/>
        <v>#DIV/0!</v>
      </c>
      <c r="E8" s="146" t="e">
        <f>IF(D8&gt;parametros!$N$3,3,IF(D8&lt;parametros!$N$2,1,2))</f>
        <v>#DIV/0!</v>
      </c>
      <c r="F8" s="144" t="e">
        <f>VLOOKUP(E8,parametros!$O$2:$P$4,2,0)</f>
        <v>#DIV/0!</v>
      </c>
    </row>
    <row r="9" spans="1:6" s="105" customFormat="1" ht="25.05" customHeight="1" thickTop="1" thickBot="1" x14ac:dyDescent="0.45">
      <c r="A9" s="104">
        <f>IF(C9="",0,COUNTIF('PA1'!$W$5:$W$23,RC_mg!C9)+COUNTIF('PA2'!$W$5:$W$23,RC_mg!C9)+COUNTIF('PA3'!$W$5:$W$23,RC_mg!C9)+COUNTIF('PA4'!$W$5:$W$23,RC_mg!C9))</f>
        <v>0</v>
      </c>
      <c r="C9" s="144" t="str">
        <f>IF(mg!C10="","",mg!C10)</f>
        <v/>
      </c>
      <c r="D9" s="145" t="e">
        <f t="shared" si="0"/>
        <v>#DIV/0!</v>
      </c>
      <c r="E9" s="146" t="e">
        <f>IF(D9&gt;parametros!$N$3,3,IF(D9&lt;parametros!$N$2,1,2))</f>
        <v>#DIV/0!</v>
      </c>
      <c r="F9" s="144" t="e">
        <f>VLOOKUP(E9,parametros!$O$2:$P$4,2,0)</f>
        <v>#DIV/0!</v>
      </c>
    </row>
    <row r="10" spans="1:6" s="105" customFormat="1" ht="25.05" customHeight="1" thickTop="1" thickBot="1" x14ac:dyDescent="0.45">
      <c r="A10" s="104">
        <f>IF(C10="",0,COUNTIF('PA1'!$W$5:$W$23,RC_mg!C10)+COUNTIF('PA2'!$W$5:$W$23,RC_mg!C10)+COUNTIF('PA3'!$W$5:$W$23,RC_mg!C10)+COUNTIF('PA4'!$W$5:$W$23,RC_mg!C10))</f>
        <v>0</v>
      </c>
      <c r="C10" s="144" t="str">
        <f>IF(mg!C11="","",mg!C11)</f>
        <v/>
      </c>
      <c r="D10" s="145" t="e">
        <f t="shared" si="0"/>
        <v>#DIV/0!</v>
      </c>
      <c r="E10" s="146" t="e">
        <f>IF(D10&gt;parametros!$N$3,3,IF(D10&lt;parametros!$N$2,1,2))</f>
        <v>#DIV/0!</v>
      </c>
      <c r="F10" s="144" t="e">
        <f>VLOOKUP(E10,parametros!$O$2:$P$4,2,0)</f>
        <v>#DIV/0!</v>
      </c>
    </row>
    <row r="11" spans="1:6" ht="13.8" thickTop="1" x14ac:dyDescent="0.4"/>
  </sheetData>
  <pageMargins left="0.511811024" right="0.511811024" top="0.78740157499999996" bottom="0.78740157499999996" header="0.31496062000000002" footer="0.31496062000000002"/>
  <pageSetup paperSize="9" scale="76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lessThan" id="{74881FEF-D142-4689-9603-C9095131248D}">
            <xm:f>parametros!$N$2</xm:f>
            <x14:dxf>
              <font>
                <color auto="1"/>
              </font>
              <fill>
                <patternFill>
                  <bgColor rgb="FFFF2525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cellIs" priority="1" operator="lessThan" id="{ED73958E-4FF7-47FB-B3F7-A82F51310D80}">
            <xm:f>parametros!$N$2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cellIs" priority="3" operator="between" id="{4B599F19-CA3F-4BA6-9696-02498FED2095}">
            <xm:f>parametros!$N$3+1</xm:f>
            <xm:f>parametros!$N$4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14:cfRule type="cellIs" priority="7" operator="between" id="{8FDA10A5-DB12-4E53-81CE-7DB588BC9653}">
            <xm:f>parametros!$N$2+1</xm:f>
            <xm:f>parametros!$N$3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m:sqref>D5:D10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B106-1874-4937-BC4E-C3444194A1CE}">
  <dimension ref="B1:Q62"/>
  <sheetViews>
    <sheetView showGridLines="0" zoomScale="107" zoomScaleNormal="107" workbookViewId="0">
      <selection activeCell="C36" sqref="C36:Q62"/>
    </sheetView>
  </sheetViews>
  <sheetFormatPr defaultRowHeight="13.2" x14ac:dyDescent="0.4"/>
  <cols>
    <col min="1" max="2" width="2.21875" style="7" customWidth="1"/>
    <col min="3" max="3" width="21.5546875" style="7" customWidth="1"/>
    <col min="4" max="16" width="11.44140625" style="7" customWidth="1"/>
    <col min="17" max="16384" width="8.88671875" style="7"/>
  </cols>
  <sheetData>
    <row r="1" spans="2:16" s="3" customFormat="1" ht="27.6" customHeight="1" x14ac:dyDescent="0.4"/>
    <row r="2" spans="2:16" s="5" customFormat="1" ht="21.6" customHeight="1" x14ac:dyDescent="0.4"/>
    <row r="5" spans="2:16" ht="25.05" customHeight="1" x14ac:dyDescent="0.4">
      <c r="C5" s="76" t="s">
        <v>149</v>
      </c>
      <c r="D5" s="7">
        <v>1</v>
      </c>
    </row>
    <row r="6" spans="2:16" ht="13.8" thickBot="1" x14ac:dyDescent="0.45"/>
    <row r="7" spans="2:16" ht="25.05" customHeight="1" thickBot="1" x14ac:dyDescent="0.45">
      <c r="C7" s="99" t="s">
        <v>146</v>
      </c>
      <c r="D7" s="100" t="s">
        <v>85</v>
      </c>
      <c r="E7" s="100" t="s">
        <v>86</v>
      </c>
      <c r="F7" s="100" t="s">
        <v>87</v>
      </c>
      <c r="G7" s="100" t="s">
        <v>88</v>
      </c>
      <c r="H7" s="100" t="s">
        <v>89</v>
      </c>
      <c r="I7" s="100" t="s">
        <v>90</v>
      </c>
      <c r="J7" s="100" t="s">
        <v>91</v>
      </c>
      <c r="K7" s="100" t="s">
        <v>92</v>
      </c>
      <c r="L7" s="100" t="s">
        <v>93</v>
      </c>
      <c r="M7" s="100" t="s">
        <v>94</v>
      </c>
      <c r="N7" s="100" t="s">
        <v>95</v>
      </c>
      <c r="O7" s="100" t="s">
        <v>96</v>
      </c>
      <c r="P7" s="100" t="s">
        <v>60</v>
      </c>
    </row>
    <row r="8" spans="2:16" ht="25.05" customHeight="1" thickBot="1" x14ac:dyDescent="0.45">
      <c r="B8" s="7">
        <v>1</v>
      </c>
      <c r="C8" s="99" t="s">
        <v>152</v>
      </c>
      <c r="D8" s="102">
        <f t="shared" ref="D8:O11" ca="1" si="0">SUMIFS(D$41:D$56,$C$41:$C$56,$B8)</f>
        <v>0</v>
      </c>
      <c r="E8" s="102">
        <f t="shared" ca="1" si="0"/>
        <v>0</v>
      </c>
      <c r="F8" s="102">
        <f t="shared" ca="1" si="0"/>
        <v>0</v>
      </c>
      <c r="G8" s="102">
        <f t="shared" ca="1" si="0"/>
        <v>0</v>
      </c>
      <c r="H8" s="102">
        <f t="shared" ca="1" si="0"/>
        <v>0</v>
      </c>
      <c r="I8" s="102">
        <f t="shared" ca="1" si="0"/>
        <v>0</v>
      </c>
      <c r="J8" s="102">
        <f t="shared" ca="1" si="0"/>
        <v>0</v>
      </c>
      <c r="K8" s="102">
        <f t="shared" ca="1" si="0"/>
        <v>0</v>
      </c>
      <c r="L8" s="102">
        <f t="shared" ca="1" si="0"/>
        <v>0</v>
      </c>
      <c r="M8" s="102">
        <f t="shared" ca="1" si="0"/>
        <v>0</v>
      </c>
      <c r="N8" s="102">
        <f t="shared" ca="1" si="0"/>
        <v>0</v>
      </c>
      <c r="O8" s="102">
        <f t="shared" ca="1" si="0"/>
        <v>0</v>
      </c>
      <c r="P8" s="103">
        <f ca="1">SUM(D8:O8)</f>
        <v>0</v>
      </c>
    </row>
    <row r="9" spans="2:16" ht="25.05" customHeight="1" thickBot="1" x14ac:dyDescent="0.45">
      <c r="B9" s="7">
        <v>2</v>
      </c>
      <c r="C9" s="99" t="s">
        <v>147</v>
      </c>
      <c r="D9" s="102">
        <f t="shared" ca="1" si="0"/>
        <v>0</v>
      </c>
      <c r="E9" s="102">
        <f t="shared" ca="1" si="0"/>
        <v>0</v>
      </c>
      <c r="F9" s="102">
        <f t="shared" ca="1" si="0"/>
        <v>0</v>
      </c>
      <c r="G9" s="102">
        <f t="shared" ca="1" si="0"/>
        <v>0</v>
      </c>
      <c r="H9" s="102">
        <f t="shared" ca="1" si="0"/>
        <v>0</v>
      </c>
      <c r="I9" s="102">
        <f t="shared" ca="1" si="0"/>
        <v>0</v>
      </c>
      <c r="J9" s="102">
        <f t="shared" ca="1" si="0"/>
        <v>0</v>
      </c>
      <c r="K9" s="102">
        <f t="shared" ca="1" si="0"/>
        <v>0</v>
      </c>
      <c r="L9" s="102">
        <f t="shared" ca="1" si="0"/>
        <v>0</v>
      </c>
      <c r="M9" s="102">
        <f t="shared" ca="1" si="0"/>
        <v>0</v>
      </c>
      <c r="N9" s="102">
        <f t="shared" ca="1" si="0"/>
        <v>0</v>
      </c>
      <c r="O9" s="102">
        <f t="shared" ca="1" si="0"/>
        <v>0</v>
      </c>
      <c r="P9" s="103">
        <f ca="1">SUM(D9:O9)</f>
        <v>0</v>
      </c>
    </row>
    <row r="10" spans="2:16" ht="25.05" customHeight="1" thickBot="1" x14ac:dyDescent="0.45">
      <c r="B10" s="7">
        <v>3</v>
      </c>
      <c r="C10" s="99" t="s">
        <v>102</v>
      </c>
      <c r="D10" s="102">
        <f t="shared" ca="1" si="0"/>
        <v>0</v>
      </c>
      <c r="E10" s="102">
        <f t="shared" ca="1" si="0"/>
        <v>0</v>
      </c>
      <c r="F10" s="102">
        <f t="shared" ca="1" si="0"/>
        <v>0</v>
      </c>
      <c r="G10" s="102">
        <f t="shared" ca="1" si="0"/>
        <v>0</v>
      </c>
      <c r="H10" s="102">
        <f t="shared" ca="1" si="0"/>
        <v>0</v>
      </c>
      <c r="I10" s="102">
        <f t="shared" ca="1" si="0"/>
        <v>0</v>
      </c>
      <c r="J10" s="102">
        <f t="shared" ca="1" si="0"/>
        <v>0</v>
      </c>
      <c r="K10" s="102">
        <f t="shared" ca="1" si="0"/>
        <v>0</v>
      </c>
      <c r="L10" s="102">
        <f t="shared" ca="1" si="0"/>
        <v>0</v>
      </c>
      <c r="M10" s="102">
        <f t="shared" ca="1" si="0"/>
        <v>0</v>
      </c>
      <c r="N10" s="102">
        <f t="shared" ca="1" si="0"/>
        <v>0</v>
      </c>
      <c r="O10" s="102">
        <f t="shared" ca="1" si="0"/>
        <v>0</v>
      </c>
      <c r="P10" s="103">
        <f ca="1">SUM(D10:O10)</f>
        <v>0</v>
      </c>
    </row>
    <row r="11" spans="2:16" ht="25.05" customHeight="1" thickBot="1" x14ac:dyDescent="0.45">
      <c r="B11" s="7">
        <v>4</v>
      </c>
      <c r="C11" s="99" t="s">
        <v>148</v>
      </c>
      <c r="D11" s="102">
        <f t="shared" ca="1" si="0"/>
        <v>0</v>
      </c>
      <c r="E11" s="102">
        <f t="shared" ca="1" si="0"/>
        <v>0</v>
      </c>
      <c r="F11" s="102">
        <f t="shared" ca="1" si="0"/>
        <v>0</v>
      </c>
      <c r="G11" s="102">
        <f t="shared" ca="1" si="0"/>
        <v>0</v>
      </c>
      <c r="H11" s="102">
        <f t="shared" ca="1" si="0"/>
        <v>0</v>
      </c>
      <c r="I11" s="102">
        <f t="shared" ca="1" si="0"/>
        <v>0</v>
      </c>
      <c r="J11" s="102">
        <f t="shared" ca="1" si="0"/>
        <v>0</v>
      </c>
      <c r="K11" s="102">
        <f t="shared" ca="1" si="0"/>
        <v>0</v>
      </c>
      <c r="L11" s="102">
        <f t="shared" ca="1" si="0"/>
        <v>0</v>
      </c>
      <c r="M11" s="102">
        <f t="shared" ca="1" si="0"/>
        <v>0</v>
      </c>
      <c r="N11" s="102">
        <f t="shared" ca="1" si="0"/>
        <v>0</v>
      </c>
      <c r="O11" s="102">
        <f t="shared" ca="1" si="0"/>
        <v>0</v>
      </c>
      <c r="P11" s="103">
        <f ca="1">SUM(D11:O11)</f>
        <v>0</v>
      </c>
    </row>
    <row r="12" spans="2:16" ht="25.05" customHeight="1" thickBot="1" x14ac:dyDescent="0.45">
      <c r="C12" s="99" t="s">
        <v>60</v>
      </c>
      <c r="D12" s="103">
        <f t="shared" ref="D12:P12" ca="1" si="1">SUM(D8:D11)</f>
        <v>0</v>
      </c>
      <c r="E12" s="103">
        <f t="shared" ca="1" si="1"/>
        <v>0</v>
      </c>
      <c r="F12" s="103">
        <f t="shared" ca="1" si="1"/>
        <v>0</v>
      </c>
      <c r="G12" s="103">
        <f t="shared" ca="1" si="1"/>
        <v>0</v>
      </c>
      <c r="H12" s="103">
        <f t="shared" ca="1" si="1"/>
        <v>0</v>
      </c>
      <c r="I12" s="103">
        <f t="shared" ca="1" si="1"/>
        <v>0</v>
      </c>
      <c r="J12" s="103">
        <f t="shared" ca="1" si="1"/>
        <v>0</v>
      </c>
      <c r="K12" s="103">
        <f t="shared" ca="1" si="1"/>
        <v>0</v>
      </c>
      <c r="L12" s="103">
        <f t="shared" ca="1" si="1"/>
        <v>0</v>
      </c>
      <c r="M12" s="103">
        <f t="shared" ca="1" si="1"/>
        <v>0</v>
      </c>
      <c r="N12" s="103">
        <f t="shared" ca="1" si="1"/>
        <v>0</v>
      </c>
      <c r="O12" s="103">
        <f t="shared" ca="1" si="1"/>
        <v>0</v>
      </c>
      <c r="P12" s="103">
        <f t="shared" ca="1" si="1"/>
        <v>0</v>
      </c>
    </row>
    <row r="14" spans="2:16" ht="25.05" customHeight="1" x14ac:dyDescent="0.4">
      <c r="C14" s="76" t="s">
        <v>150</v>
      </c>
      <c r="D14" s="7">
        <v>1</v>
      </c>
    </row>
    <row r="15" spans="2:16" ht="13.8" thickBot="1" x14ac:dyDescent="0.45"/>
    <row r="16" spans="2:16" ht="25.05" customHeight="1" thickBot="1" x14ac:dyDescent="0.45">
      <c r="C16" s="99" t="s">
        <v>152</v>
      </c>
      <c r="D16" s="102" cm="1">
        <f t="array" aca="1" ref="D16" ca="1">INDEX($D$41:$O$44,MATCH($D$14,$C$41:$C$44,0),D$40)</f>
        <v>0</v>
      </c>
      <c r="E16" s="102" cm="1">
        <f t="array" aca="1" ref="E16" ca="1">INDEX($D$41:$O$44,MATCH($D$14,$C$41:$C$44,0),E$40)</f>
        <v>0</v>
      </c>
      <c r="F16" s="102" cm="1">
        <f t="array" aca="1" ref="F16" ca="1">INDEX($D$41:$O$44,MATCH($D$14,$C$41:$C$44,0),F$40)</f>
        <v>0</v>
      </c>
      <c r="G16" s="102" cm="1">
        <f t="array" aca="1" ref="G16" ca="1">INDEX($D$41:$O$44,MATCH($D$14,$C$41:$C$44,0),G$40)</f>
        <v>0</v>
      </c>
      <c r="H16" s="102" cm="1">
        <f t="array" aca="1" ref="H16" ca="1">INDEX($D$41:$O$44,MATCH($D$14,$C$41:$C$44,0),H$40)</f>
        <v>0</v>
      </c>
      <c r="I16" s="102" cm="1">
        <f t="array" aca="1" ref="I16" ca="1">INDEX($D$41:$O$44,MATCH($D$14,$C$41:$C$44,0),I$40)</f>
        <v>0</v>
      </c>
      <c r="J16" s="102" cm="1">
        <f t="array" aca="1" ref="J16" ca="1">INDEX($D$41:$O$44,MATCH($D$14,$C$41:$C$44,0),J$40)</f>
        <v>0</v>
      </c>
      <c r="K16" s="102" cm="1">
        <f t="array" aca="1" ref="K16" ca="1">INDEX($D$41:$O$44,MATCH($D$14,$C$41:$C$44,0),K$40)</f>
        <v>0</v>
      </c>
      <c r="L16" s="102" cm="1">
        <f t="array" aca="1" ref="L16" ca="1">INDEX($D$41:$O$44,MATCH($D$14,$C$41:$C$44,0),L$40)</f>
        <v>0</v>
      </c>
      <c r="M16" s="102" cm="1">
        <f t="array" aca="1" ref="M16" ca="1">INDEX($D$41:$O$44,MATCH($D$14,$C$41:$C$44,0),M$40)</f>
        <v>0</v>
      </c>
      <c r="N16" s="102" cm="1">
        <f t="array" aca="1" ref="N16" ca="1">INDEX($D$41:$O$44,MATCH($D$14,$C$41:$C$44,0),N$40)</f>
        <v>0</v>
      </c>
      <c r="O16" s="102" cm="1">
        <f t="array" aca="1" ref="O16" ca="1">INDEX($D$41:$O$44,MATCH($D$14,$C$41:$C$44,0),O$40)</f>
        <v>0</v>
      </c>
      <c r="P16" s="103">
        <f ca="1">SUM(D16:O16)</f>
        <v>0</v>
      </c>
    </row>
    <row r="17" spans="3:16" ht="25.05" customHeight="1" thickBot="1" x14ac:dyDescent="0.45">
      <c r="C17" s="99" t="s">
        <v>147</v>
      </c>
      <c r="D17" s="102" cm="1">
        <f t="array" aca="1" ref="D17" ca="1">INDEX($D$45:$O$48,MATCH($D$14,$C$45:$C$48,0),D$40)</f>
        <v>0</v>
      </c>
      <c r="E17" s="102" cm="1">
        <f t="array" aca="1" ref="E17" ca="1">INDEX($D$45:$O$48,MATCH($D$14,$C$45:$C$48,0),E$40)</f>
        <v>0</v>
      </c>
      <c r="F17" s="102" cm="1">
        <f t="array" aca="1" ref="F17" ca="1">INDEX($D$45:$O$48,MATCH($D$14,$C$45:$C$48,0),F$40)</f>
        <v>0</v>
      </c>
      <c r="G17" s="102" cm="1">
        <f t="array" aca="1" ref="G17" ca="1">INDEX($D$45:$O$48,MATCH($D$14,$C$45:$C$48,0),G$40)</f>
        <v>0</v>
      </c>
      <c r="H17" s="102" cm="1">
        <f t="array" aca="1" ref="H17" ca="1">INDEX($D$45:$O$48,MATCH($D$14,$C$45:$C$48,0),H$40)</f>
        <v>0</v>
      </c>
      <c r="I17" s="102" cm="1">
        <f t="array" aca="1" ref="I17" ca="1">INDEX($D$45:$O$48,MATCH($D$14,$C$45:$C$48,0),I$40)</f>
        <v>0</v>
      </c>
      <c r="J17" s="102" cm="1">
        <f t="array" aca="1" ref="J17" ca="1">INDEX($D$45:$O$48,MATCH($D$14,$C$45:$C$48,0),J$40)</f>
        <v>0</v>
      </c>
      <c r="K17" s="102" cm="1">
        <f t="array" aca="1" ref="K17" ca="1">INDEX($D$45:$O$48,MATCH($D$14,$C$45:$C$48,0),K$40)</f>
        <v>0</v>
      </c>
      <c r="L17" s="102" cm="1">
        <f t="array" aca="1" ref="L17" ca="1">INDEX($D$45:$O$48,MATCH($D$14,$C$45:$C$48,0),L$40)</f>
        <v>0</v>
      </c>
      <c r="M17" s="102" cm="1">
        <f t="array" aca="1" ref="M17" ca="1">INDEX($D$45:$O$48,MATCH($D$14,$C$45:$C$48,0),M$40)</f>
        <v>0</v>
      </c>
      <c r="N17" s="102" cm="1">
        <f t="array" aca="1" ref="N17" ca="1">INDEX($D$45:$O$48,MATCH($D$14,$C$45:$C$48,0),N$40)</f>
        <v>0</v>
      </c>
      <c r="O17" s="102" cm="1">
        <f t="array" aca="1" ref="O17" ca="1">INDEX($D$45:$O$48,MATCH($D$14,$C$45:$C$48,0),O$40)</f>
        <v>0</v>
      </c>
      <c r="P17" s="103">
        <f ca="1">SUM(D17:O17)</f>
        <v>0</v>
      </c>
    </row>
    <row r="18" spans="3:16" ht="25.05" customHeight="1" thickBot="1" x14ac:dyDescent="0.45">
      <c r="C18" s="99" t="s">
        <v>102</v>
      </c>
      <c r="D18" s="102" cm="1">
        <f t="array" aca="1" ref="D18" ca="1">INDEX($D$49:$O$52,MATCH($D$14,$C$49:$C$52,0),D$40)</f>
        <v>0</v>
      </c>
      <c r="E18" s="102" cm="1">
        <f t="array" aca="1" ref="E18" ca="1">INDEX($D$49:$O$52,MATCH($D$14,$C$49:$C$52,0),E$40)</f>
        <v>0</v>
      </c>
      <c r="F18" s="102" cm="1">
        <f t="array" aca="1" ref="F18" ca="1">INDEX($D$49:$O$52,MATCH($D$14,$C$49:$C$52,0),F$40)</f>
        <v>0</v>
      </c>
      <c r="G18" s="102" cm="1">
        <f t="array" aca="1" ref="G18" ca="1">INDEX($D$49:$O$52,MATCH($D$14,$C$49:$C$52,0),G$40)</f>
        <v>0</v>
      </c>
      <c r="H18" s="102" cm="1">
        <f t="array" aca="1" ref="H18" ca="1">INDEX($D$49:$O$52,MATCH($D$14,$C$49:$C$52,0),H$40)</f>
        <v>0</v>
      </c>
      <c r="I18" s="102" cm="1">
        <f t="array" aca="1" ref="I18" ca="1">INDEX($D$49:$O$52,MATCH($D$14,$C$49:$C$52,0),I$40)</f>
        <v>0</v>
      </c>
      <c r="J18" s="102" cm="1">
        <f t="array" aca="1" ref="J18" ca="1">INDEX($D$49:$O$52,MATCH($D$14,$C$49:$C$52,0),J$40)</f>
        <v>0</v>
      </c>
      <c r="K18" s="102" cm="1">
        <f t="array" aca="1" ref="K18" ca="1">INDEX($D$49:$O$52,MATCH($D$14,$C$49:$C$52,0),K$40)</f>
        <v>0</v>
      </c>
      <c r="L18" s="102" cm="1">
        <f t="array" aca="1" ref="L18" ca="1">INDEX($D$49:$O$52,MATCH($D$14,$C$49:$C$52,0),L$40)</f>
        <v>0</v>
      </c>
      <c r="M18" s="102" cm="1">
        <f t="array" aca="1" ref="M18" ca="1">INDEX($D$49:$O$52,MATCH($D$14,$C$49:$C$52,0),M$40)</f>
        <v>0</v>
      </c>
      <c r="N18" s="102" cm="1">
        <f t="array" aca="1" ref="N18" ca="1">INDEX($D$49:$O$52,MATCH($D$14,$C$49:$C$52,0),N$40)</f>
        <v>0</v>
      </c>
      <c r="O18" s="102" cm="1">
        <f t="array" aca="1" ref="O18" ca="1">INDEX($D$49:$O$52,MATCH($D$14,$C$49:$C$52,0),O$40)</f>
        <v>0</v>
      </c>
      <c r="P18" s="103">
        <f ca="1">SUM(D18:O18)</f>
        <v>0</v>
      </c>
    </row>
    <row r="19" spans="3:16" ht="25.05" customHeight="1" thickBot="1" x14ac:dyDescent="0.45">
      <c r="C19" s="99" t="s">
        <v>148</v>
      </c>
      <c r="D19" s="102" cm="1">
        <f t="array" aca="1" ref="D19" ca="1">INDEX($D$53:$O$56,MATCH($D$14,$C$53:$C$56,0),D$40)</f>
        <v>0</v>
      </c>
      <c r="E19" s="102" cm="1">
        <f t="array" aca="1" ref="E19" ca="1">INDEX($D$53:$O$56,MATCH($D$14,$C$53:$C$56,0),E$40)</f>
        <v>0</v>
      </c>
      <c r="F19" s="102" cm="1">
        <f t="array" aca="1" ref="F19" ca="1">INDEX($D$53:$O$56,MATCH($D$14,$C$53:$C$56,0),F$40)</f>
        <v>0</v>
      </c>
      <c r="G19" s="102" cm="1">
        <f t="array" aca="1" ref="G19" ca="1">INDEX($D$53:$O$56,MATCH($D$14,$C$53:$C$56,0),G$40)</f>
        <v>0</v>
      </c>
      <c r="H19" s="102" cm="1">
        <f t="array" aca="1" ref="H19" ca="1">INDEX($D$53:$O$56,MATCH($D$14,$C$53:$C$56,0),H$40)</f>
        <v>0</v>
      </c>
      <c r="I19" s="102" cm="1">
        <f t="array" aca="1" ref="I19" ca="1">INDEX($D$53:$O$56,MATCH($D$14,$C$53:$C$56,0),I$40)</f>
        <v>0</v>
      </c>
      <c r="J19" s="102" cm="1">
        <f t="array" aca="1" ref="J19" ca="1">INDEX($D$53:$O$56,MATCH($D$14,$C$53:$C$56,0),J$40)</f>
        <v>0</v>
      </c>
      <c r="K19" s="102" cm="1">
        <f t="array" aca="1" ref="K19" ca="1">INDEX($D$53:$O$56,MATCH($D$14,$C$53:$C$56,0),K$40)</f>
        <v>0</v>
      </c>
      <c r="L19" s="102" cm="1">
        <f t="array" aca="1" ref="L19" ca="1">INDEX($D$53:$O$56,MATCH($D$14,$C$53:$C$56,0),L$40)</f>
        <v>0</v>
      </c>
      <c r="M19" s="102" cm="1">
        <f t="array" aca="1" ref="M19" ca="1">INDEX($D$53:$O$56,MATCH($D$14,$C$53:$C$56,0),M$40)</f>
        <v>0</v>
      </c>
      <c r="N19" s="102" cm="1">
        <f t="array" aca="1" ref="N19" ca="1">INDEX($D$53:$O$56,MATCH($D$14,$C$53:$C$56,0),N$40)</f>
        <v>0</v>
      </c>
      <c r="O19" s="102" cm="1">
        <f t="array" aca="1" ref="O19" ca="1">INDEX($D$53:$O$56,MATCH($D$14,$C$53:$C$56,0),O$40)</f>
        <v>0</v>
      </c>
      <c r="P19" s="103">
        <f ca="1">SUM(D19:O19)</f>
        <v>0</v>
      </c>
    </row>
    <row r="20" spans="3:16" ht="25.05" customHeight="1" thickBot="1" x14ac:dyDescent="0.45">
      <c r="C20" s="99" t="s">
        <v>60</v>
      </c>
      <c r="D20" s="103">
        <f t="shared" ref="D20:O20" ca="1" si="2">SUM(D16:D19)</f>
        <v>0</v>
      </c>
      <c r="E20" s="103">
        <f t="shared" ca="1" si="2"/>
        <v>0</v>
      </c>
      <c r="F20" s="103">
        <f t="shared" ca="1" si="2"/>
        <v>0</v>
      </c>
      <c r="G20" s="103">
        <f t="shared" ca="1" si="2"/>
        <v>0</v>
      </c>
      <c r="H20" s="103">
        <f t="shared" ca="1" si="2"/>
        <v>0</v>
      </c>
      <c r="I20" s="103">
        <f t="shared" ca="1" si="2"/>
        <v>0</v>
      </c>
      <c r="J20" s="103">
        <f t="shared" ca="1" si="2"/>
        <v>0</v>
      </c>
      <c r="K20" s="103">
        <f t="shared" ca="1" si="2"/>
        <v>0</v>
      </c>
      <c r="L20" s="103">
        <f t="shared" ca="1" si="2"/>
        <v>0</v>
      </c>
      <c r="M20" s="103">
        <f t="shared" ca="1" si="2"/>
        <v>0</v>
      </c>
      <c r="N20" s="103">
        <f t="shared" ca="1" si="2"/>
        <v>0</v>
      </c>
      <c r="O20" s="103">
        <f t="shared" ca="1" si="2"/>
        <v>0</v>
      </c>
      <c r="P20" s="103">
        <f ca="1">SUM(D20:O20)</f>
        <v>0</v>
      </c>
    </row>
    <row r="36" spans="3:17" x14ac:dyDescent="0.4"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</row>
    <row r="37" spans="3:17" x14ac:dyDescent="0.4"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</row>
    <row r="38" spans="3:17" x14ac:dyDescent="0.4"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</row>
    <row r="39" spans="3:17" x14ac:dyDescent="0.4"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</row>
    <row r="40" spans="3:17" x14ac:dyDescent="0.4">
      <c r="C40" s="104"/>
      <c r="D40" s="104">
        <v>1</v>
      </c>
      <c r="E40" s="104">
        <v>2</v>
      </c>
      <c r="F40" s="104">
        <v>3</v>
      </c>
      <c r="G40" s="104">
        <v>4</v>
      </c>
      <c r="H40" s="104">
        <v>5</v>
      </c>
      <c r="I40" s="104">
        <v>6</v>
      </c>
      <c r="J40" s="104">
        <v>7</v>
      </c>
      <c r="K40" s="104">
        <v>8</v>
      </c>
      <c r="L40" s="104">
        <v>9</v>
      </c>
      <c r="M40" s="104">
        <v>10</v>
      </c>
      <c r="N40" s="104">
        <v>11</v>
      </c>
      <c r="O40" s="104">
        <v>12</v>
      </c>
      <c r="P40" s="104"/>
      <c r="Q40" s="104"/>
    </row>
    <row r="41" spans="3:17" x14ac:dyDescent="0.4">
      <c r="C41" s="104">
        <v>1</v>
      </c>
      <c r="D41" s="104">
        <f ca="1">COUNTIFS('PA1'!$M$5:$M$23,parametros!$L$5,'PA1'!$T$5:$T$23,RC_pa!D$7,'PA1'!$U$5:$U$23,$D$5)</f>
        <v>0</v>
      </c>
      <c r="E41" s="104">
        <f ca="1">COUNTIFS('PA1'!$M$5:$M$23,parametros!$L$5,'PA1'!$T$5:$T$23,RC_pa!E$7,'PA1'!$U$5:$U$23,$D$5)</f>
        <v>0</v>
      </c>
      <c r="F41" s="104">
        <f ca="1">COUNTIFS('PA1'!$M$5:$M$23,parametros!$L$5,'PA1'!$T$5:$T$23,RC_pa!F$7,'PA1'!$U$5:$U$23,$D$5)</f>
        <v>0</v>
      </c>
      <c r="G41" s="104">
        <f ca="1">COUNTIFS('PA1'!$M$5:$M$23,parametros!$L$5,'PA1'!$T$5:$T$23,RC_pa!G$7,'PA1'!$U$5:$U$23,$D$5)</f>
        <v>0</v>
      </c>
      <c r="H41" s="104">
        <f ca="1">COUNTIFS('PA1'!$M$5:$M$23,parametros!$L$5,'PA1'!$T$5:$T$23,RC_pa!H$7,'PA1'!$U$5:$U$23,$D$5)</f>
        <v>0</v>
      </c>
      <c r="I41" s="104">
        <f ca="1">COUNTIFS('PA1'!$M$5:$M$23,parametros!$L$5,'PA1'!$T$5:$T$23,RC_pa!I$7,'PA1'!$U$5:$U$23,$D$5)</f>
        <v>0</v>
      </c>
      <c r="J41" s="104">
        <f ca="1">COUNTIFS('PA1'!$M$5:$M$23,parametros!$L$5,'PA1'!$T$5:$T$23,RC_pa!J$7,'PA1'!$U$5:$U$23,$D$5)</f>
        <v>0</v>
      </c>
      <c r="K41" s="104">
        <f ca="1">COUNTIFS('PA1'!$M$5:$M$23,parametros!$L$5,'PA1'!$T$5:$T$23,RC_pa!K$7,'PA1'!$U$5:$U$23,$D$5)</f>
        <v>0</v>
      </c>
      <c r="L41" s="104">
        <f ca="1">COUNTIFS('PA1'!$M$5:$M$23,parametros!$L$5,'PA1'!$T$5:$T$23,RC_pa!L$7,'PA1'!$U$5:$U$23,$D$5)</f>
        <v>0</v>
      </c>
      <c r="M41" s="104">
        <f ca="1">COUNTIFS('PA1'!$M$5:$M$23,parametros!$L$5,'PA1'!$T$5:$T$23,RC_pa!M$7,'PA1'!$U$5:$U$23,$D$5)</f>
        <v>0</v>
      </c>
      <c r="N41" s="104">
        <f ca="1">COUNTIFS('PA1'!$M$5:$M$23,parametros!$L$5,'PA1'!$T$5:$T$23,RC_pa!N$7,'PA1'!$U$5:$U$23,$D$5)</f>
        <v>0</v>
      </c>
      <c r="O41" s="104">
        <f ca="1">COUNTIFS('PA1'!$M$5:$M$23,parametros!$L$5,'PA1'!$T$5:$T$23,RC_pa!O$7,'PA1'!$U$5:$U$23,$D$5)</f>
        <v>0</v>
      </c>
      <c r="P41" s="104">
        <f t="shared" ref="P41:P56" ca="1" si="3">SUM(D41:O41)</f>
        <v>0</v>
      </c>
      <c r="Q41" s="104"/>
    </row>
    <row r="42" spans="3:17" x14ac:dyDescent="0.4">
      <c r="C42" s="104">
        <v>2</v>
      </c>
      <c r="D42" s="104">
        <f ca="1">COUNTIFS('PA2'!$M$5:$M$23,parametros!$L$5,'PA2'!$T$5:$T$23,RC_pa!D$7,'PA2'!$U$5:$U$23,$D$5)</f>
        <v>0</v>
      </c>
      <c r="E42" s="104">
        <f ca="1">COUNTIFS('PA2'!$M$5:$M$23,parametros!$L$5,'PA2'!$T$5:$T$23,RC_pa!E$7,'PA2'!$U$5:$U$23,$D$5)</f>
        <v>0</v>
      </c>
      <c r="F42" s="104">
        <f ca="1">COUNTIFS('PA2'!$M$5:$M$23,parametros!$L$5,'PA2'!$T$5:$T$23,RC_pa!F$7,'PA2'!$U$5:$U$23,$D$5)</f>
        <v>0</v>
      </c>
      <c r="G42" s="104">
        <f ca="1">COUNTIFS('PA2'!$M$5:$M$23,parametros!$L$5,'PA2'!$T$5:$T$23,RC_pa!G$7,'PA2'!$U$5:$U$23,$D$5)</f>
        <v>0</v>
      </c>
      <c r="H42" s="104">
        <f ca="1">COUNTIFS('PA2'!$M$5:$M$23,parametros!$L$5,'PA2'!$T$5:$T$23,RC_pa!H$7,'PA2'!$U$5:$U$23,$D$5)</f>
        <v>0</v>
      </c>
      <c r="I42" s="104">
        <f ca="1">COUNTIFS('PA2'!$M$5:$M$23,parametros!$L$5,'PA2'!$T$5:$T$23,RC_pa!I$7,'PA2'!$U$5:$U$23,$D$5)</f>
        <v>0</v>
      </c>
      <c r="J42" s="104">
        <f ca="1">COUNTIFS('PA2'!$M$5:$M$23,parametros!$L$5,'PA2'!$T$5:$T$23,RC_pa!J$7,'PA2'!$U$5:$U$23,$D$5)</f>
        <v>0</v>
      </c>
      <c r="K42" s="104">
        <f ca="1">COUNTIFS('PA2'!$M$5:$M$23,parametros!$L$5,'PA2'!$T$5:$T$23,RC_pa!K$7,'PA2'!$U$5:$U$23,$D$5)</f>
        <v>0</v>
      </c>
      <c r="L42" s="104">
        <f ca="1">COUNTIFS('PA2'!$M$5:$M$23,parametros!$L$5,'PA2'!$T$5:$T$23,RC_pa!L$7,'PA2'!$U$5:$U$23,$D$5)</f>
        <v>0</v>
      </c>
      <c r="M42" s="104">
        <f ca="1">COUNTIFS('PA2'!$M$5:$M$23,parametros!$L$5,'PA2'!$T$5:$T$23,RC_pa!M$7,'PA2'!$U$5:$U$23,$D$5)</f>
        <v>0</v>
      </c>
      <c r="N42" s="104">
        <f ca="1">COUNTIFS('PA2'!$M$5:$M$23,parametros!$L$5,'PA2'!$T$5:$T$23,RC_pa!N$7,'PA2'!$U$5:$U$23,$D$5)</f>
        <v>0</v>
      </c>
      <c r="O42" s="104">
        <f ca="1">COUNTIFS('PA2'!$M$5:$M$23,parametros!$L$5,'PA2'!$T$5:$T$23,RC_pa!O$7,'PA2'!$U$5:$U$23,$D$5)</f>
        <v>0</v>
      </c>
      <c r="P42" s="104">
        <f t="shared" ca="1" si="3"/>
        <v>0</v>
      </c>
      <c r="Q42" s="104"/>
    </row>
    <row r="43" spans="3:17" x14ac:dyDescent="0.4">
      <c r="C43" s="104">
        <v>3</v>
      </c>
      <c r="D43" s="104">
        <f ca="1">COUNTIFS('PA3'!$M$5:$M$23,parametros!$L$5,'PA3'!$T$5:$T$23,RC_pa!D$7,'PA3'!$U$5:$U$23,$D$5)</f>
        <v>0</v>
      </c>
      <c r="E43" s="104">
        <f ca="1">COUNTIFS('PA3'!$M$5:$M$23,parametros!$L$5,'PA3'!$T$5:$T$23,RC_pa!E$7,'PA3'!$U$5:$U$23,$D$5)</f>
        <v>0</v>
      </c>
      <c r="F43" s="104">
        <f ca="1">COUNTIFS('PA3'!$M$5:$M$23,parametros!$L$5,'PA3'!$T$5:$T$23,RC_pa!F$7,'PA3'!$U$5:$U$23,$D$5)</f>
        <v>0</v>
      </c>
      <c r="G43" s="104">
        <f ca="1">COUNTIFS('PA3'!$M$5:$M$23,parametros!$L$5,'PA3'!$T$5:$T$23,RC_pa!G$7,'PA3'!$U$5:$U$23,$D$5)</f>
        <v>0</v>
      </c>
      <c r="H43" s="104">
        <f ca="1">COUNTIFS('PA3'!$M$5:$M$23,parametros!$L$5,'PA3'!$T$5:$T$23,RC_pa!H$7,'PA3'!$U$5:$U$23,$D$5)</f>
        <v>0</v>
      </c>
      <c r="I43" s="104">
        <f ca="1">COUNTIFS('PA3'!$M$5:$M$23,parametros!$L$5,'PA3'!$T$5:$T$23,RC_pa!I$7,'PA3'!$U$5:$U$23,$D$5)</f>
        <v>0</v>
      </c>
      <c r="J43" s="104">
        <f ca="1">COUNTIFS('PA3'!$M$5:$M$23,parametros!$L$5,'PA3'!$T$5:$T$23,RC_pa!J$7,'PA3'!$U$5:$U$23,$D$5)</f>
        <v>0</v>
      </c>
      <c r="K43" s="104">
        <f ca="1">COUNTIFS('PA3'!$M$5:$M$23,parametros!$L$5,'PA3'!$T$5:$T$23,RC_pa!K$7,'PA3'!$U$5:$U$23,$D$5)</f>
        <v>0</v>
      </c>
      <c r="L43" s="104">
        <f ca="1">COUNTIFS('PA3'!$M$5:$M$23,parametros!$L$5,'PA3'!$T$5:$T$23,RC_pa!L$7,'PA3'!$U$5:$U$23,$D$5)</f>
        <v>0</v>
      </c>
      <c r="M43" s="104">
        <f ca="1">COUNTIFS('PA3'!$M$5:$M$23,parametros!$L$5,'PA3'!$T$5:$T$23,RC_pa!M$7,'PA3'!$U$5:$U$23,$D$5)</f>
        <v>0</v>
      </c>
      <c r="N43" s="104">
        <f ca="1">COUNTIFS('PA3'!$M$5:$M$23,parametros!$L$5,'PA3'!$T$5:$T$23,RC_pa!N$7,'PA3'!$U$5:$U$23,$D$5)</f>
        <v>0</v>
      </c>
      <c r="O43" s="104">
        <f ca="1">COUNTIFS('PA3'!$M$5:$M$23,parametros!$L$5,'PA3'!$T$5:$T$23,RC_pa!O$7,'PA3'!$U$5:$U$23,$D$5)</f>
        <v>0</v>
      </c>
      <c r="P43" s="104">
        <f t="shared" ca="1" si="3"/>
        <v>0</v>
      </c>
      <c r="Q43" s="104"/>
    </row>
    <row r="44" spans="3:17" x14ac:dyDescent="0.4">
      <c r="C44" s="104">
        <v>4</v>
      </c>
      <c r="D44" s="104">
        <f ca="1">COUNTIFS('PA4'!$M$5:$M$23,parametros!$L$5,'PA4'!$T$5:$T$23,RC_pa!D$7,'PA4'!$U$5:$U$23,$D$5)</f>
        <v>0</v>
      </c>
      <c r="E44" s="104">
        <f ca="1">COUNTIFS('PA4'!$M$5:$M$23,parametros!$L$5,'PA4'!$T$5:$T$23,RC_pa!E$7,'PA4'!$U$5:$U$23,$D$5)</f>
        <v>0</v>
      </c>
      <c r="F44" s="104">
        <f ca="1">COUNTIFS('PA4'!$M$5:$M$23,parametros!$L$5,'PA4'!$T$5:$T$23,RC_pa!F$7,'PA4'!$U$5:$U$23,$D$5)</f>
        <v>0</v>
      </c>
      <c r="G44" s="104">
        <f ca="1">COUNTIFS('PA4'!$M$5:$M$23,parametros!$L$5,'PA4'!$T$5:$T$23,RC_pa!G$7,'PA4'!$U$5:$U$23,$D$5)</f>
        <v>0</v>
      </c>
      <c r="H44" s="104">
        <f ca="1">COUNTIFS('PA4'!$M$5:$M$23,parametros!$L$5,'PA4'!$T$5:$T$23,RC_pa!H$7,'PA4'!$U$5:$U$23,$D$5)</f>
        <v>0</v>
      </c>
      <c r="I44" s="104">
        <f ca="1">COUNTIFS('PA4'!$M$5:$M$23,parametros!$L$5,'PA4'!$T$5:$T$23,RC_pa!I$7,'PA4'!$U$5:$U$23,$D$5)</f>
        <v>0</v>
      </c>
      <c r="J44" s="104">
        <f ca="1">COUNTIFS('PA4'!$M$5:$M$23,parametros!$L$5,'PA4'!$T$5:$T$23,RC_pa!J$7,'PA4'!$U$5:$U$23,$D$5)</f>
        <v>0</v>
      </c>
      <c r="K44" s="104">
        <f ca="1">COUNTIFS('PA4'!$M$5:$M$23,parametros!$L$5,'PA4'!$T$5:$T$23,RC_pa!K$7,'PA4'!$U$5:$U$23,$D$5)</f>
        <v>0</v>
      </c>
      <c r="L44" s="104">
        <f ca="1">COUNTIFS('PA4'!$M$5:$M$23,parametros!$L$5,'PA4'!$T$5:$T$23,RC_pa!L$7,'PA4'!$U$5:$U$23,$D$5)</f>
        <v>0</v>
      </c>
      <c r="M44" s="104">
        <f ca="1">COUNTIFS('PA4'!$M$5:$M$23,parametros!$L$5,'PA4'!$T$5:$T$23,RC_pa!M$7,'PA4'!$U$5:$U$23,$D$5)</f>
        <v>0</v>
      </c>
      <c r="N44" s="104">
        <f ca="1">COUNTIFS('PA4'!$M$5:$M$23,parametros!$L$5,'PA4'!$T$5:$T$23,RC_pa!N$7,'PA4'!$U$5:$U$23,$D$5)</f>
        <v>0</v>
      </c>
      <c r="O44" s="104">
        <f ca="1">COUNTIFS('PA4'!$M$5:$M$23,parametros!$L$5,'PA4'!$T$5:$T$23,RC_pa!O$7,'PA4'!$U$5:$U$23,$D$5)</f>
        <v>0</v>
      </c>
      <c r="P44" s="104">
        <f t="shared" ca="1" si="3"/>
        <v>0</v>
      </c>
      <c r="Q44" s="104"/>
    </row>
    <row r="45" spans="3:17" x14ac:dyDescent="0.4">
      <c r="C45" s="104">
        <v>1</v>
      </c>
      <c r="D45" s="104">
        <f ca="1">COUNTIFS('PA1'!$M$5:$M$23,parametros!$L$3,'PA1'!$T$5:$T$23,RC_pa!D$7,'PA1'!$U$5:$U$23,$D$5)</f>
        <v>0</v>
      </c>
      <c r="E45" s="104">
        <f ca="1">COUNTIFS('PA1'!$M$5:$M$23,parametros!$L$3,'PA1'!$T$5:$T$23,RC_pa!E$7,'PA1'!$U$5:$U$23,$D$5)</f>
        <v>0</v>
      </c>
      <c r="F45" s="104">
        <f ca="1">COUNTIFS('PA1'!$M$5:$M$23,parametros!$L$3,'PA1'!$T$5:$T$23,RC_pa!F$7,'PA1'!$U$5:$U$23,$D$5)</f>
        <v>0</v>
      </c>
      <c r="G45" s="104">
        <f ca="1">COUNTIFS('PA1'!$M$5:$M$23,parametros!$L$3,'PA1'!$T$5:$T$23,RC_pa!G$7,'PA1'!$U$5:$U$23,$D$5)</f>
        <v>0</v>
      </c>
      <c r="H45" s="104">
        <f ca="1">COUNTIFS('PA1'!$M$5:$M$23,parametros!$L$3,'PA1'!$T$5:$T$23,RC_pa!H$7,'PA1'!$U$5:$U$23,$D$5)</f>
        <v>0</v>
      </c>
      <c r="I45" s="104">
        <f ca="1">COUNTIFS('PA1'!$M$5:$M$23,parametros!$L$3,'PA1'!$T$5:$T$23,RC_pa!I$7,'PA1'!$U$5:$U$23,$D$5)</f>
        <v>0</v>
      </c>
      <c r="J45" s="104">
        <f ca="1">COUNTIFS('PA1'!$M$5:$M$23,parametros!$L$3,'PA1'!$T$5:$T$23,RC_pa!J$7,'PA1'!$U$5:$U$23,$D$5)</f>
        <v>0</v>
      </c>
      <c r="K45" s="104">
        <f ca="1">COUNTIFS('PA1'!$M$5:$M$23,parametros!$L$3,'PA1'!$T$5:$T$23,RC_pa!K$7,'PA1'!$U$5:$U$23,$D$5)</f>
        <v>0</v>
      </c>
      <c r="L45" s="104">
        <f ca="1">COUNTIFS('PA1'!$M$5:$M$23,parametros!$L$3,'PA1'!$T$5:$T$23,RC_pa!L$7,'PA1'!$U$5:$U$23,$D$5)</f>
        <v>0</v>
      </c>
      <c r="M45" s="104">
        <f ca="1">COUNTIFS('PA1'!$M$5:$M$23,parametros!$L$3,'PA1'!$T$5:$T$23,RC_pa!M$7,'PA1'!$U$5:$U$23,$D$5)</f>
        <v>0</v>
      </c>
      <c r="N45" s="104">
        <f ca="1">COUNTIFS('PA1'!$M$5:$M$23,parametros!$L$3,'PA1'!$T$5:$T$23,RC_pa!N$7,'PA1'!$U$5:$U$23,$D$5)</f>
        <v>0</v>
      </c>
      <c r="O45" s="104">
        <f ca="1">COUNTIFS('PA1'!$M$5:$M$23,parametros!$L$3,'PA1'!$T$5:$T$23,RC_pa!O$7,'PA1'!$U$5:$U$23,$D$5)</f>
        <v>0</v>
      </c>
      <c r="P45" s="104">
        <f t="shared" ca="1" si="3"/>
        <v>0</v>
      </c>
      <c r="Q45" s="104"/>
    </row>
    <row r="46" spans="3:17" x14ac:dyDescent="0.4">
      <c r="C46" s="104">
        <v>2</v>
      </c>
      <c r="D46" s="104">
        <f ca="1">COUNTIFS('PA2'!$M$5:$M$23,parametros!$L$3,'PA2'!$T$5:$T$23,RC_pa!D$7,'PA2'!$U$5:$U$23,$D$5)</f>
        <v>0</v>
      </c>
      <c r="E46" s="104">
        <f ca="1">COUNTIFS('PA2'!$M$5:$M$23,parametros!$L$3,'PA2'!$T$5:$T$23,RC_pa!E$7,'PA2'!$U$5:$U$23,$D$5)</f>
        <v>0</v>
      </c>
      <c r="F46" s="104">
        <f ca="1">COUNTIFS('PA2'!$M$5:$M$23,parametros!$L$3,'PA2'!$T$5:$T$23,RC_pa!F$7,'PA2'!$U$5:$U$23,$D$5)</f>
        <v>0</v>
      </c>
      <c r="G46" s="104">
        <f ca="1">COUNTIFS('PA2'!$M$5:$M$23,parametros!$L$3,'PA2'!$T$5:$T$23,RC_pa!G$7,'PA2'!$U$5:$U$23,$D$5)</f>
        <v>0</v>
      </c>
      <c r="H46" s="104">
        <f ca="1">COUNTIFS('PA2'!$M$5:$M$23,parametros!$L$3,'PA2'!$T$5:$T$23,RC_pa!H$7,'PA2'!$U$5:$U$23,$D$5)</f>
        <v>0</v>
      </c>
      <c r="I46" s="104">
        <f ca="1">COUNTIFS('PA2'!$M$5:$M$23,parametros!$L$3,'PA2'!$T$5:$T$23,RC_pa!I$7,'PA2'!$U$5:$U$23,$D$5)</f>
        <v>0</v>
      </c>
      <c r="J46" s="104">
        <f ca="1">COUNTIFS('PA2'!$M$5:$M$23,parametros!$L$3,'PA2'!$T$5:$T$23,RC_pa!J$7,'PA2'!$U$5:$U$23,$D$5)</f>
        <v>0</v>
      </c>
      <c r="K46" s="104">
        <f ca="1">COUNTIFS('PA2'!$M$5:$M$23,parametros!$L$3,'PA2'!$T$5:$T$23,RC_pa!K$7,'PA2'!$U$5:$U$23,$D$5)</f>
        <v>0</v>
      </c>
      <c r="L46" s="104">
        <f ca="1">COUNTIFS('PA2'!$M$5:$M$23,parametros!$L$3,'PA2'!$T$5:$T$23,RC_pa!L$7,'PA2'!$U$5:$U$23,$D$5)</f>
        <v>0</v>
      </c>
      <c r="M46" s="104">
        <f ca="1">COUNTIFS('PA2'!$M$5:$M$23,parametros!$L$3,'PA2'!$T$5:$T$23,RC_pa!M$7,'PA2'!$U$5:$U$23,$D$5)</f>
        <v>0</v>
      </c>
      <c r="N46" s="104">
        <f ca="1">COUNTIFS('PA2'!$M$5:$M$23,parametros!$L$3,'PA2'!$T$5:$T$23,RC_pa!N$7,'PA2'!$U$5:$U$23,$D$5)</f>
        <v>0</v>
      </c>
      <c r="O46" s="104">
        <f ca="1">COUNTIFS('PA2'!$M$5:$M$23,parametros!$L$3,'PA2'!$T$5:$T$23,RC_pa!O$7,'PA2'!$U$5:$U$23,$D$5)</f>
        <v>0</v>
      </c>
      <c r="P46" s="104">
        <f t="shared" ca="1" si="3"/>
        <v>0</v>
      </c>
      <c r="Q46" s="104"/>
    </row>
    <row r="47" spans="3:17" x14ac:dyDescent="0.4">
      <c r="C47" s="104">
        <v>3</v>
      </c>
      <c r="D47" s="104">
        <f ca="1">COUNTIFS('PA3'!$M$5:$M$23,parametros!$L$3,'PA3'!$T$5:$T$23,RC_pa!D$7,'PA3'!$U$5:$U$23,$D$5)</f>
        <v>0</v>
      </c>
      <c r="E47" s="104">
        <f ca="1">COUNTIFS('PA3'!$M$5:$M$23,parametros!$L$3,'PA3'!$T$5:$T$23,RC_pa!E$7,'PA3'!$U$5:$U$23,$D$5)</f>
        <v>0</v>
      </c>
      <c r="F47" s="104">
        <f ca="1">COUNTIFS('PA3'!$M$5:$M$23,parametros!$L$3,'PA3'!$T$5:$T$23,RC_pa!F$7,'PA3'!$U$5:$U$23,$D$5)</f>
        <v>0</v>
      </c>
      <c r="G47" s="104">
        <f ca="1">COUNTIFS('PA3'!$M$5:$M$23,parametros!$L$3,'PA3'!$T$5:$T$23,RC_pa!G$7,'PA3'!$U$5:$U$23,$D$5)</f>
        <v>0</v>
      </c>
      <c r="H47" s="104">
        <f ca="1">COUNTIFS('PA3'!$M$5:$M$23,parametros!$L$3,'PA3'!$T$5:$T$23,RC_pa!H$7,'PA3'!$U$5:$U$23,$D$5)</f>
        <v>0</v>
      </c>
      <c r="I47" s="104">
        <f ca="1">COUNTIFS('PA3'!$M$5:$M$23,parametros!$L$3,'PA3'!$T$5:$T$23,RC_pa!I$7,'PA3'!$U$5:$U$23,$D$5)</f>
        <v>0</v>
      </c>
      <c r="J47" s="104">
        <f ca="1">COUNTIFS('PA3'!$M$5:$M$23,parametros!$L$3,'PA3'!$T$5:$T$23,RC_pa!J$7,'PA3'!$U$5:$U$23,$D$5)</f>
        <v>0</v>
      </c>
      <c r="K47" s="104">
        <f ca="1">COUNTIFS('PA3'!$M$5:$M$23,parametros!$L$3,'PA3'!$T$5:$T$23,RC_pa!K$7,'PA3'!$U$5:$U$23,$D$5)</f>
        <v>0</v>
      </c>
      <c r="L47" s="104">
        <f ca="1">COUNTIFS('PA3'!$M$5:$M$23,parametros!$L$3,'PA3'!$T$5:$T$23,RC_pa!L$7,'PA3'!$U$5:$U$23,$D$5)</f>
        <v>0</v>
      </c>
      <c r="M47" s="104">
        <f ca="1">COUNTIFS('PA3'!$M$5:$M$23,parametros!$L$3,'PA3'!$T$5:$T$23,RC_pa!M$7,'PA3'!$U$5:$U$23,$D$5)</f>
        <v>0</v>
      </c>
      <c r="N47" s="104">
        <f ca="1">COUNTIFS('PA3'!$M$5:$M$23,parametros!$L$3,'PA3'!$T$5:$T$23,RC_pa!N$7,'PA3'!$U$5:$U$23,$D$5)</f>
        <v>0</v>
      </c>
      <c r="O47" s="104">
        <f ca="1">COUNTIFS('PA3'!$M$5:$M$23,parametros!$L$3,'PA3'!$T$5:$T$23,RC_pa!O$7,'PA3'!$U$5:$U$23,$D$5)</f>
        <v>0</v>
      </c>
      <c r="P47" s="104">
        <f t="shared" ca="1" si="3"/>
        <v>0</v>
      </c>
      <c r="Q47" s="104"/>
    </row>
    <row r="48" spans="3:17" x14ac:dyDescent="0.4">
      <c r="C48" s="104">
        <v>4</v>
      </c>
      <c r="D48" s="104">
        <f ca="1">COUNTIFS('PA4'!$M$5:$M$23,parametros!$L$3,'PA4'!$T$5:$T$23,RC_pa!D$7,'PA4'!$U$5:$U$23,$D$5)</f>
        <v>0</v>
      </c>
      <c r="E48" s="104">
        <f ca="1">COUNTIFS('PA4'!$M$5:$M$23,parametros!$L$3,'PA4'!$T$5:$T$23,RC_pa!E$7,'PA4'!$U$5:$U$23,$D$5)</f>
        <v>0</v>
      </c>
      <c r="F48" s="104">
        <f ca="1">COUNTIFS('PA4'!$M$5:$M$23,parametros!$L$3,'PA4'!$T$5:$T$23,RC_pa!F$7,'PA4'!$U$5:$U$23,$D$5)</f>
        <v>0</v>
      </c>
      <c r="G48" s="104">
        <f ca="1">COUNTIFS('PA4'!$M$5:$M$23,parametros!$L$3,'PA4'!$T$5:$T$23,RC_pa!G$7,'PA4'!$U$5:$U$23,$D$5)</f>
        <v>0</v>
      </c>
      <c r="H48" s="104">
        <f ca="1">COUNTIFS('PA4'!$M$5:$M$23,parametros!$L$3,'PA4'!$T$5:$T$23,RC_pa!H$7,'PA4'!$U$5:$U$23,$D$5)</f>
        <v>0</v>
      </c>
      <c r="I48" s="104">
        <f ca="1">COUNTIFS('PA4'!$M$5:$M$23,parametros!$L$3,'PA4'!$T$5:$T$23,RC_pa!I$7,'PA4'!$U$5:$U$23,$D$5)</f>
        <v>0</v>
      </c>
      <c r="J48" s="104">
        <f ca="1">COUNTIFS('PA4'!$M$5:$M$23,parametros!$L$3,'PA4'!$T$5:$T$23,RC_pa!J$7,'PA4'!$U$5:$U$23,$D$5)</f>
        <v>0</v>
      </c>
      <c r="K48" s="104">
        <f ca="1">COUNTIFS('PA4'!$M$5:$M$23,parametros!$L$3,'PA4'!$T$5:$T$23,RC_pa!K$7,'PA4'!$U$5:$U$23,$D$5)</f>
        <v>0</v>
      </c>
      <c r="L48" s="104">
        <f ca="1">COUNTIFS('PA4'!$M$5:$M$23,parametros!$L$3,'PA4'!$T$5:$T$23,RC_pa!L$7,'PA4'!$U$5:$U$23,$D$5)</f>
        <v>0</v>
      </c>
      <c r="M48" s="104">
        <f ca="1">COUNTIFS('PA4'!$M$5:$M$23,parametros!$L$3,'PA4'!$T$5:$T$23,RC_pa!M$7,'PA4'!$U$5:$U$23,$D$5)</f>
        <v>0</v>
      </c>
      <c r="N48" s="104">
        <f ca="1">COUNTIFS('PA4'!$M$5:$M$23,parametros!$L$3,'PA4'!$T$5:$T$23,RC_pa!N$7,'PA4'!$U$5:$U$23,$D$5)</f>
        <v>0</v>
      </c>
      <c r="O48" s="104">
        <f ca="1">COUNTIFS('PA4'!$M$5:$M$23,parametros!$L$3,'PA4'!$T$5:$T$23,RC_pa!O$7,'PA4'!$U$5:$U$23,$D$5)</f>
        <v>0</v>
      </c>
      <c r="P48" s="104">
        <f t="shared" ca="1" si="3"/>
        <v>0</v>
      </c>
      <c r="Q48" s="104"/>
    </row>
    <row r="49" spans="3:17" x14ac:dyDescent="0.4">
      <c r="C49" s="104">
        <v>1</v>
      </c>
      <c r="D49" s="104">
        <f ca="1">COUNTIFS('PA1'!$M$5:$M$23,parametros!$L$4,'PA1'!$T$5:$T$23,RC_pa!D$7,'PA1'!$U$5:$U$23,$D$5)</f>
        <v>0</v>
      </c>
      <c r="E49" s="104">
        <f ca="1">COUNTIFS('PA1'!$M$5:$M$23,parametros!$L$4,'PA1'!$T$5:$T$23,RC_pa!E$7,'PA1'!$U$5:$U$23,$D$5)</f>
        <v>0</v>
      </c>
      <c r="F49" s="104">
        <f ca="1">COUNTIFS('PA1'!$M$5:$M$23,parametros!$L$4,'PA1'!$T$5:$T$23,RC_pa!F$7,'PA1'!$U$5:$U$23,$D$5)</f>
        <v>0</v>
      </c>
      <c r="G49" s="104">
        <f ca="1">COUNTIFS('PA1'!$M$5:$M$23,parametros!$L$4,'PA1'!$T$5:$T$23,RC_pa!G$7,'PA1'!$U$5:$U$23,$D$5)</f>
        <v>0</v>
      </c>
      <c r="H49" s="104">
        <f ca="1">COUNTIFS('PA1'!$M$5:$M$23,parametros!$L$4,'PA1'!$T$5:$T$23,RC_pa!H$7,'PA1'!$U$5:$U$23,$D$5)</f>
        <v>0</v>
      </c>
      <c r="I49" s="104">
        <f ca="1">COUNTIFS('PA1'!$M$5:$M$23,parametros!$L$4,'PA1'!$T$5:$T$23,RC_pa!I$7,'PA1'!$U$5:$U$23,$D$5)</f>
        <v>0</v>
      </c>
      <c r="J49" s="104">
        <f ca="1">COUNTIFS('PA1'!$M$5:$M$23,parametros!$L$4,'PA1'!$T$5:$T$23,RC_pa!J$7,'PA1'!$U$5:$U$23,$D$5)</f>
        <v>0</v>
      </c>
      <c r="K49" s="104">
        <f ca="1">COUNTIFS('PA1'!$M$5:$M$23,parametros!$L$4,'PA1'!$T$5:$T$23,RC_pa!K$7,'PA1'!$U$5:$U$23,$D$5)</f>
        <v>0</v>
      </c>
      <c r="L49" s="104">
        <f ca="1">COUNTIFS('PA1'!$M$5:$M$23,parametros!$L$4,'PA1'!$T$5:$T$23,RC_pa!L$7,'PA1'!$U$5:$U$23,$D$5)</f>
        <v>0</v>
      </c>
      <c r="M49" s="104">
        <f ca="1">COUNTIFS('PA1'!$M$5:$M$23,parametros!$L$4,'PA1'!$T$5:$T$23,RC_pa!M$7,'PA1'!$U$5:$U$23,$D$5)</f>
        <v>0</v>
      </c>
      <c r="N49" s="104">
        <f ca="1">COUNTIFS('PA1'!$M$5:$M$23,parametros!$L$4,'PA1'!$T$5:$T$23,RC_pa!N$7,'PA1'!$U$5:$U$23,$D$5)</f>
        <v>0</v>
      </c>
      <c r="O49" s="104">
        <f ca="1">COUNTIFS('PA1'!$M$5:$M$23,parametros!$L$4,'PA1'!$T$5:$T$23,RC_pa!O$7,'PA1'!$U$5:$U$23,$D$5)</f>
        <v>0</v>
      </c>
      <c r="P49" s="104">
        <f t="shared" ca="1" si="3"/>
        <v>0</v>
      </c>
      <c r="Q49" s="104"/>
    </row>
    <row r="50" spans="3:17" x14ac:dyDescent="0.4">
      <c r="C50" s="104">
        <v>2</v>
      </c>
      <c r="D50" s="104">
        <f ca="1">COUNTIFS('PA2'!$M$5:$M$23,parametros!$L$4,'PA2'!$T$5:$T$23,RC_pa!D$7,'PA2'!$U$5:$U$23,$D$5)</f>
        <v>0</v>
      </c>
      <c r="E50" s="104">
        <f ca="1">COUNTIFS('PA2'!$M$5:$M$23,parametros!$L$4,'PA2'!$T$5:$T$23,RC_pa!E$7,'PA2'!$U$5:$U$23,$D$5)</f>
        <v>0</v>
      </c>
      <c r="F50" s="104">
        <f ca="1">COUNTIFS('PA2'!$M$5:$M$23,parametros!$L$4,'PA2'!$T$5:$T$23,RC_pa!F$7,'PA2'!$U$5:$U$23,$D$5)</f>
        <v>0</v>
      </c>
      <c r="G50" s="104">
        <f ca="1">COUNTIFS('PA2'!$M$5:$M$23,parametros!$L$4,'PA2'!$T$5:$T$23,RC_pa!G$7,'PA2'!$U$5:$U$23,$D$5)</f>
        <v>0</v>
      </c>
      <c r="H50" s="104">
        <f ca="1">COUNTIFS('PA2'!$M$5:$M$23,parametros!$L$4,'PA2'!$T$5:$T$23,RC_pa!H$7,'PA2'!$U$5:$U$23,$D$5)</f>
        <v>0</v>
      </c>
      <c r="I50" s="104">
        <f ca="1">COUNTIFS('PA2'!$M$5:$M$23,parametros!$L$4,'PA2'!$T$5:$T$23,RC_pa!I$7,'PA2'!$U$5:$U$23,$D$5)</f>
        <v>0</v>
      </c>
      <c r="J50" s="104">
        <f ca="1">COUNTIFS('PA2'!$M$5:$M$23,parametros!$L$4,'PA2'!$T$5:$T$23,RC_pa!J$7,'PA2'!$U$5:$U$23,$D$5)</f>
        <v>0</v>
      </c>
      <c r="K50" s="104">
        <f ca="1">COUNTIFS('PA2'!$M$5:$M$23,parametros!$L$4,'PA2'!$T$5:$T$23,RC_pa!K$7,'PA2'!$U$5:$U$23,$D$5)</f>
        <v>0</v>
      </c>
      <c r="L50" s="104">
        <f ca="1">COUNTIFS('PA2'!$M$5:$M$23,parametros!$L$4,'PA2'!$T$5:$T$23,RC_pa!L$7,'PA2'!$U$5:$U$23,$D$5)</f>
        <v>0</v>
      </c>
      <c r="M50" s="104">
        <f ca="1">COUNTIFS('PA2'!$M$5:$M$23,parametros!$L$4,'PA2'!$T$5:$T$23,RC_pa!M$7,'PA2'!$U$5:$U$23,$D$5)</f>
        <v>0</v>
      </c>
      <c r="N50" s="104">
        <f ca="1">COUNTIFS('PA2'!$M$5:$M$23,parametros!$L$4,'PA2'!$T$5:$T$23,RC_pa!N$7,'PA2'!$U$5:$U$23,$D$5)</f>
        <v>0</v>
      </c>
      <c r="O50" s="104">
        <f ca="1">COUNTIFS('PA2'!$M$5:$M$23,parametros!$L$4,'PA2'!$T$5:$T$23,RC_pa!O$7,'PA2'!$U$5:$U$23,$D$5)</f>
        <v>0</v>
      </c>
      <c r="P50" s="104">
        <f t="shared" ca="1" si="3"/>
        <v>0</v>
      </c>
      <c r="Q50" s="104"/>
    </row>
    <row r="51" spans="3:17" x14ac:dyDescent="0.4">
      <c r="C51" s="104">
        <v>3</v>
      </c>
      <c r="D51" s="104">
        <f ca="1">COUNTIFS('PA3'!$M$5:$M$23,parametros!$L$4,'PA3'!$T$5:$T$23,RC_pa!D$7,'PA3'!$U$5:$U$23,$D$5)</f>
        <v>0</v>
      </c>
      <c r="E51" s="104">
        <f ca="1">COUNTIFS('PA3'!$M$5:$M$23,parametros!$L$4,'PA3'!$T$5:$T$23,RC_pa!E$7,'PA3'!$U$5:$U$23,$D$5)</f>
        <v>0</v>
      </c>
      <c r="F51" s="104">
        <f ca="1">COUNTIFS('PA3'!$M$5:$M$23,parametros!$L$4,'PA3'!$T$5:$T$23,RC_pa!F$7,'PA3'!$U$5:$U$23,$D$5)</f>
        <v>0</v>
      </c>
      <c r="G51" s="104">
        <f ca="1">COUNTIFS('PA3'!$M$5:$M$23,parametros!$L$4,'PA3'!$T$5:$T$23,RC_pa!G$7,'PA3'!$U$5:$U$23,$D$5)</f>
        <v>0</v>
      </c>
      <c r="H51" s="104">
        <f ca="1">COUNTIFS('PA3'!$M$5:$M$23,parametros!$L$4,'PA3'!$T$5:$T$23,RC_pa!H$7,'PA3'!$U$5:$U$23,$D$5)</f>
        <v>0</v>
      </c>
      <c r="I51" s="104">
        <f ca="1">COUNTIFS('PA3'!$M$5:$M$23,parametros!$L$4,'PA3'!$T$5:$T$23,RC_pa!I$7,'PA3'!$U$5:$U$23,$D$5)</f>
        <v>0</v>
      </c>
      <c r="J51" s="104">
        <f ca="1">COUNTIFS('PA3'!$M$5:$M$23,parametros!$L$4,'PA3'!$T$5:$T$23,RC_pa!J$7,'PA3'!$U$5:$U$23,$D$5)</f>
        <v>0</v>
      </c>
      <c r="K51" s="104">
        <f ca="1">COUNTIFS('PA3'!$M$5:$M$23,parametros!$L$4,'PA3'!$T$5:$T$23,RC_pa!K$7,'PA3'!$U$5:$U$23,$D$5)</f>
        <v>0</v>
      </c>
      <c r="L51" s="104">
        <f ca="1">COUNTIFS('PA3'!$M$5:$M$23,parametros!$L$4,'PA3'!$T$5:$T$23,RC_pa!L$7,'PA3'!$U$5:$U$23,$D$5)</f>
        <v>0</v>
      </c>
      <c r="M51" s="104">
        <f ca="1">COUNTIFS('PA3'!$M$5:$M$23,parametros!$L$4,'PA3'!$T$5:$T$23,RC_pa!M$7,'PA3'!$U$5:$U$23,$D$5)</f>
        <v>0</v>
      </c>
      <c r="N51" s="104">
        <f ca="1">COUNTIFS('PA3'!$M$5:$M$23,parametros!$L$4,'PA3'!$T$5:$T$23,RC_pa!N$7,'PA3'!$U$5:$U$23,$D$5)</f>
        <v>0</v>
      </c>
      <c r="O51" s="104">
        <f ca="1">COUNTIFS('PA3'!$M$5:$M$23,parametros!$L$4,'PA3'!$T$5:$T$23,RC_pa!O$7,'PA3'!$U$5:$U$23,$D$5)</f>
        <v>0</v>
      </c>
      <c r="P51" s="104">
        <f t="shared" ca="1" si="3"/>
        <v>0</v>
      </c>
      <c r="Q51" s="104"/>
    </row>
    <row r="52" spans="3:17" x14ac:dyDescent="0.4">
      <c r="C52" s="104">
        <v>4</v>
      </c>
      <c r="D52" s="104">
        <f ca="1">COUNTIFS('PA4'!$M$5:$M$23,parametros!$L$4,'PA4'!$T$5:$T$23,RC_pa!D$7,'PA4'!$U$5:$U$23,$D$5)</f>
        <v>0</v>
      </c>
      <c r="E52" s="104">
        <f ca="1">COUNTIFS('PA4'!$M$5:$M$23,parametros!$L$4,'PA4'!$T$5:$T$23,RC_pa!E$7,'PA4'!$U$5:$U$23,$D$5)</f>
        <v>0</v>
      </c>
      <c r="F52" s="104">
        <f ca="1">COUNTIFS('PA4'!$M$5:$M$23,parametros!$L$4,'PA4'!$T$5:$T$23,RC_pa!F$7,'PA4'!$U$5:$U$23,$D$5)</f>
        <v>0</v>
      </c>
      <c r="G52" s="104">
        <f ca="1">COUNTIFS('PA4'!$M$5:$M$23,parametros!$L$4,'PA4'!$T$5:$T$23,RC_pa!G$7,'PA4'!$U$5:$U$23,$D$5)</f>
        <v>0</v>
      </c>
      <c r="H52" s="104">
        <f ca="1">COUNTIFS('PA4'!$M$5:$M$23,parametros!$L$4,'PA4'!$T$5:$T$23,RC_pa!H$7,'PA4'!$U$5:$U$23,$D$5)</f>
        <v>0</v>
      </c>
      <c r="I52" s="104">
        <f ca="1">COUNTIFS('PA4'!$M$5:$M$23,parametros!$L$4,'PA4'!$T$5:$T$23,RC_pa!I$7,'PA4'!$U$5:$U$23,$D$5)</f>
        <v>0</v>
      </c>
      <c r="J52" s="104">
        <f ca="1">COUNTIFS('PA4'!$M$5:$M$23,parametros!$L$4,'PA4'!$T$5:$T$23,RC_pa!J$7,'PA4'!$U$5:$U$23,$D$5)</f>
        <v>0</v>
      </c>
      <c r="K52" s="104">
        <f ca="1">COUNTIFS('PA4'!$M$5:$M$23,parametros!$L$4,'PA4'!$T$5:$T$23,RC_pa!K$7,'PA4'!$U$5:$U$23,$D$5)</f>
        <v>0</v>
      </c>
      <c r="L52" s="104">
        <f ca="1">COUNTIFS('PA4'!$M$5:$M$23,parametros!$L$4,'PA4'!$T$5:$T$23,RC_pa!L$7,'PA4'!$U$5:$U$23,$D$5)</f>
        <v>0</v>
      </c>
      <c r="M52" s="104">
        <f ca="1">COUNTIFS('PA4'!$M$5:$M$23,parametros!$L$4,'PA4'!$T$5:$T$23,RC_pa!M$7,'PA4'!$U$5:$U$23,$D$5)</f>
        <v>0</v>
      </c>
      <c r="N52" s="104">
        <f ca="1">COUNTIFS('PA4'!$M$5:$M$23,parametros!$L$4,'PA4'!$T$5:$T$23,RC_pa!N$7,'PA4'!$U$5:$U$23,$D$5)</f>
        <v>0</v>
      </c>
      <c r="O52" s="104">
        <f ca="1">COUNTIFS('PA4'!$M$5:$M$23,parametros!$L$4,'PA4'!$T$5:$T$23,RC_pa!O$7,'PA4'!$U$5:$U$23,$D$5)</f>
        <v>0</v>
      </c>
      <c r="P52" s="104">
        <f t="shared" ca="1" si="3"/>
        <v>0</v>
      </c>
      <c r="Q52" s="104"/>
    </row>
    <row r="53" spans="3:17" x14ac:dyDescent="0.4">
      <c r="C53" s="104">
        <v>1</v>
      </c>
      <c r="D53" s="104">
        <f ca="1">COUNTIFS('PA1'!$M$5:$M$23,parametros!$L$2,'PA1'!$T$5:$T$23,RC_pa!D$7,'PA1'!$U$5:$U$23,$D$5)</f>
        <v>0</v>
      </c>
      <c r="E53" s="104">
        <f ca="1">COUNTIFS('PA1'!$M$5:$M$23,parametros!$L$2,'PA1'!$T$5:$T$23,RC_pa!E$7,'PA1'!$U$5:$U$23,$D$5)</f>
        <v>0</v>
      </c>
      <c r="F53" s="104">
        <f ca="1">COUNTIFS('PA1'!$M$5:$M$23,parametros!$L$2,'PA1'!$T$5:$T$23,RC_pa!F$7,'PA1'!$U$5:$U$23,$D$5)</f>
        <v>0</v>
      </c>
      <c r="G53" s="104">
        <f ca="1">COUNTIFS('PA1'!$M$5:$M$23,parametros!$L$2,'PA1'!$T$5:$T$23,RC_pa!G$7,'PA1'!$U$5:$U$23,$D$5)</f>
        <v>0</v>
      </c>
      <c r="H53" s="104">
        <f ca="1">COUNTIFS('PA1'!$M$5:$M$23,parametros!$L$2,'PA1'!$T$5:$T$23,RC_pa!H$7,'PA1'!$U$5:$U$23,$D$5)</f>
        <v>0</v>
      </c>
      <c r="I53" s="104">
        <f ca="1">COUNTIFS('PA1'!$M$5:$M$23,parametros!$L$2,'PA1'!$T$5:$T$23,RC_pa!I$7,'PA1'!$U$5:$U$23,$D$5)</f>
        <v>0</v>
      </c>
      <c r="J53" s="104">
        <f ca="1">COUNTIFS('PA1'!$M$5:$M$23,parametros!$L$2,'PA1'!$T$5:$T$23,RC_pa!J$7,'PA1'!$U$5:$U$23,$D$5)</f>
        <v>0</v>
      </c>
      <c r="K53" s="104">
        <f ca="1">COUNTIFS('PA1'!$M$5:$M$23,parametros!$L$2,'PA1'!$T$5:$T$23,RC_pa!K$7,'PA1'!$U$5:$U$23,$D$5)</f>
        <v>0</v>
      </c>
      <c r="L53" s="104">
        <f ca="1">COUNTIFS('PA1'!$M$5:$M$23,parametros!$L$2,'PA1'!$T$5:$T$23,RC_pa!L$7,'PA1'!$U$5:$U$23,$D$5)</f>
        <v>0</v>
      </c>
      <c r="M53" s="104">
        <f ca="1">COUNTIFS('PA1'!$M$5:$M$23,parametros!$L$2,'PA1'!$T$5:$T$23,RC_pa!M$7,'PA1'!$U$5:$U$23,$D$5)</f>
        <v>0</v>
      </c>
      <c r="N53" s="104">
        <f ca="1">COUNTIFS('PA1'!$M$5:$M$23,parametros!$L$2,'PA1'!$T$5:$T$23,RC_pa!N$7,'PA1'!$U$5:$U$23,$D$5)</f>
        <v>0</v>
      </c>
      <c r="O53" s="104">
        <f ca="1">COUNTIFS('PA1'!$M$5:$M$23,parametros!$L$2,'PA1'!$T$5:$T$23,RC_pa!O$7,'PA1'!$U$5:$U$23,$D$5)</f>
        <v>0</v>
      </c>
      <c r="P53" s="104">
        <f t="shared" ca="1" si="3"/>
        <v>0</v>
      </c>
      <c r="Q53" s="104"/>
    </row>
    <row r="54" spans="3:17" x14ac:dyDescent="0.4">
      <c r="C54" s="104">
        <v>2</v>
      </c>
      <c r="D54" s="104">
        <f ca="1">COUNTIFS('PA2'!$M$5:$M$23,parametros!$L$2,'PA2'!$T$5:$T$23,RC_pa!D$7,'PA2'!$U$5:$U$23,$D$5)</f>
        <v>0</v>
      </c>
      <c r="E54" s="104">
        <f ca="1">COUNTIFS('PA2'!$M$5:$M$23,parametros!$L$2,'PA2'!$T$5:$T$23,RC_pa!E$7,'PA2'!$U$5:$U$23,$D$5)</f>
        <v>0</v>
      </c>
      <c r="F54" s="104">
        <f ca="1">COUNTIFS('PA2'!$M$5:$M$23,parametros!$L$2,'PA2'!$T$5:$T$23,RC_pa!F$7,'PA2'!$U$5:$U$23,$D$5)</f>
        <v>0</v>
      </c>
      <c r="G54" s="104">
        <f ca="1">COUNTIFS('PA2'!$M$5:$M$23,parametros!$L$2,'PA2'!$T$5:$T$23,RC_pa!G$7,'PA2'!$U$5:$U$23,$D$5)</f>
        <v>0</v>
      </c>
      <c r="H54" s="104">
        <f ca="1">COUNTIFS('PA2'!$M$5:$M$23,parametros!$L$2,'PA2'!$T$5:$T$23,RC_pa!H$7,'PA2'!$U$5:$U$23,$D$5)</f>
        <v>0</v>
      </c>
      <c r="I54" s="104">
        <f ca="1">COUNTIFS('PA2'!$M$5:$M$23,parametros!$L$2,'PA2'!$T$5:$T$23,RC_pa!I$7,'PA2'!$U$5:$U$23,$D$5)</f>
        <v>0</v>
      </c>
      <c r="J54" s="104">
        <f ca="1">COUNTIFS('PA2'!$M$5:$M$23,parametros!$L$2,'PA2'!$T$5:$T$23,RC_pa!J$7,'PA2'!$U$5:$U$23,$D$5)</f>
        <v>0</v>
      </c>
      <c r="K54" s="104">
        <f ca="1">COUNTIFS('PA2'!$M$5:$M$23,parametros!$L$2,'PA2'!$T$5:$T$23,RC_pa!K$7,'PA2'!$U$5:$U$23,$D$5)</f>
        <v>0</v>
      </c>
      <c r="L54" s="104">
        <f ca="1">COUNTIFS('PA2'!$M$5:$M$23,parametros!$L$2,'PA2'!$T$5:$T$23,RC_pa!L$7,'PA2'!$U$5:$U$23,$D$5)</f>
        <v>0</v>
      </c>
      <c r="M54" s="104">
        <f ca="1">COUNTIFS('PA2'!$M$5:$M$23,parametros!$L$2,'PA2'!$T$5:$T$23,RC_pa!M$7,'PA2'!$U$5:$U$23,$D$5)</f>
        <v>0</v>
      </c>
      <c r="N54" s="104">
        <f ca="1">COUNTIFS('PA2'!$M$5:$M$23,parametros!$L$2,'PA2'!$T$5:$T$23,RC_pa!N$7,'PA2'!$U$5:$U$23,$D$5)</f>
        <v>0</v>
      </c>
      <c r="O54" s="104">
        <f ca="1">COUNTIFS('PA2'!$M$5:$M$23,parametros!$L$2,'PA2'!$T$5:$T$23,RC_pa!O$7,'PA2'!$U$5:$U$23,$D$5)</f>
        <v>0</v>
      </c>
      <c r="P54" s="104">
        <f t="shared" ca="1" si="3"/>
        <v>0</v>
      </c>
      <c r="Q54" s="104"/>
    </row>
    <row r="55" spans="3:17" x14ac:dyDescent="0.4">
      <c r="C55" s="104">
        <v>3</v>
      </c>
      <c r="D55" s="104">
        <f ca="1">COUNTIFS('PA3'!$M$5:$M$23,parametros!$L$2,'PA3'!$T$5:$T$23,RC_pa!D$7,'PA3'!$U$5:$U$23,$D$5)</f>
        <v>0</v>
      </c>
      <c r="E55" s="104">
        <f ca="1">COUNTIFS('PA3'!$M$5:$M$23,parametros!$L$2,'PA3'!$T$5:$T$23,RC_pa!E$7,'PA3'!$U$5:$U$23,$D$5)</f>
        <v>0</v>
      </c>
      <c r="F55" s="104">
        <f ca="1">COUNTIFS('PA3'!$M$5:$M$23,parametros!$L$2,'PA3'!$T$5:$T$23,RC_pa!F$7,'PA3'!$U$5:$U$23,$D$5)</f>
        <v>0</v>
      </c>
      <c r="G55" s="104">
        <f ca="1">COUNTIFS('PA3'!$M$5:$M$23,parametros!$L$2,'PA3'!$T$5:$T$23,RC_pa!G$7,'PA3'!$U$5:$U$23,$D$5)</f>
        <v>0</v>
      </c>
      <c r="H55" s="104">
        <f ca="1">COUNTIFS('PA3'!$M$5:$M$23,parametros!$L$2,'PA3'!$T$5:$T$23,RC_pa!H$7,'PA3'!$U$5:$U$23,$D$5)</f>
        <v>0</v>
      </c>
      <c r="I55" s="104">
        <f ca="1">COUNTIFS('PA3'!$M$5:$M$23,parametros!$L$2,'PA3'!$T$5:$T$23,RC_pa!I$7,'PA3'!$U$5:$U$23,$D$5)</f>
        <v>0</v>
      </c>
      <c r="J55" s="104">
        <f ca="1">COUNTIFS('PA3'!$M$5:$M$23,parametros!$L$2,'PA3'!$T$5:$T$23,RC_pa!J$7,'PA3'!$U$5:$U$23,$D$5)</f>
        <v>0</v>
      </c>
      <c r="K55" s="104">
        <f ca="1">COUNTIFS('PA3'!$M$5:$M$23,parametros!$L$2,'PA3'!$T$5:$T$23,RC_pa!K$7,'PA3'!$U$5:$U$23,$D$5)</f>
        <v>0</v>
      </c>
      <c r="L55" s="104">
        <f ca="1">COUNTIFS('PA3'!$M$5:$M$23,parametros!$L$2,'PA3'!$T$5:$T$23,RC_pa!L$7,'PA3'!$U$5:$U$23,$D$5)</f>
        <v>0</v>
      </c>
      <c r="M55" s="104">
        <f ca="1">COUNTIFS('PA3'!$M$5:$M$23,parametros!$L$2,'PA3'!$T$5:$T$23,RC_pa!M$7,'PA3'!$U$5:$U$23,$D$5)</f>
        <v>0</v>
      </c>
      <c r="N55" s="104">
        <f ca="1">COUNTIFS('PA3'!$M$5:$M$23,parametros!$L$2,'PA3'!$T$5:$T$23,RC_pa!N$7,'PA3'!$U$5:$U$23,$D$5)</f>
        <v>0</v>
      </c>
      <c r="O55" s="104">
        <f ca="1">COUNTIFS('PA3'!$M$5:$M$23,parametros!$L$2,'PA3'!$T$5:$T$23,RC_pa!O$7,'PA3'!$U$5:$U$23,$D$5)</f>
        <v>0</v>
      </c>
      <c r="P55" s="104">
        <f t="shared" ca="1" si="3"/>
        <v>0</v>
      </c>
      <c r="Q55" s="104"/>
    </row>
    <row r="56" spans="3:17" x14ac:dyDescent="0.4">
      <c r="C56" s="104">
        <v>4</v>
      </c>
      <c r="D56" s="104">
        <f ca="1">COUNTIFS('PA4'!$M$5:$M$23,parametros!$L$2,'PA4'!$T$5:$T$23,RC_pa!D$7,'PA4'!$U$5:$U$23,$D$5)</f>
        <v>0</v>
      </c>
      <c r="E56" s="104">
        <f ca="1">COUNTIFS('PA4'!$M$5:$M$23,parametros!$L$2,'PA4'!$T$5:$T$23,RC_pa!E$7,'PA4'!$U$5:$U$23,$D$5)</f>
        <v>0</v>
      </c>
      <c r="F56" s="104">
        <f ca="1">COUNTIFS('PA4'!$M$5:$M$23,parametros!$L$2,'PA4'!$T$5:$T$23,RC_pa!F$7,'PA4'!$U$5:$U$23,$D$5)</f>
        <v>0</v>
      </c>
      <c r="G56" s="104">
        <f ca="1">COUNTIFS('PA4'!$M$5:$M$23,parametros!$L$2,'PA4'!$T$5:$T$23,RC_pa!G$7,'PA4'!$U$5:$U$23,$D$5)</f>
        <v>0</v>
      </c>
      <c r="H56" s="104">
        <f ca="1">COUNTIFS('PA4'!$M$5:$M$23,parametros!$L$2,'PA4'!$T$5:$T$23,RC_pa!H$7,'PA4'!$U$5:$U$23,$D$5)</f>
        <v>0</v>
      </c>
      <c r="I56" s="104">
        <f ca="1">COUNTIFS('PA4'!$M$5:$M$23,parametros!$L$2,'PA4'!$T$5:$T$23,RC_pa!I$7,'PA4'!$U$5:$U$23,$D$5)</f>
        <v>0</v>
      </c>
      <c r="J56" s="104">
        <f ca="1">COUNTIFS('PA4'!$M$5:$M$23,parametros!$L$2,'PA4'!$T$5:$T$23,RC_pa!J$7,'PA4'!$U$5:$U$23,$D$5)</f>
        <v>0</v>
      </c>
      <c r="K56" s="104">
        <f ca="1">COUNTIFS('PA4'!$M$5:$M$23,parametros!$L$2,'PA4'!$T$5:$T$23,RC_pa!K$7,'PA4'!$U$5:$U$23,$D$5)</f>
        <v>0</v>
      </c>
      <c r="L56" s="104">
        <f ca="1">COUNTIFS('PA4'!$M$5:$M$23,parametros!$L$2,'PA4'!$T$5:$T$23,RC_pa!L$7,'PA4'!$U$5:$U$23,$D$5)</f>
        <v>0</v>
      </c>
      <c r="M56" s="104">
        <f ca="1">COUNTIFS('PA4'!$M$5:$M$23,parametros!$L$2,'PA4'!$T$5:$T$23,RC_pa!M$7,'PA4'!$U$5:$U$23,$D$5)</f>
        <v>0</v>
      </c>
      <c r="N56" s="104">
        <f ca="1">COUNTIFS('PA4'!$M$5:$M$23,parametros!$L$2,'PA4'!$T$5:$T$23,RC_pa!N$7,'PA4'!$U$5:$U$23,$D$5)</f>
        <v>0</v>
      </c>
      <c r="O56" s="104">
        <f ca="1">COUNTIFS('PA4'!$M$5:$M$23,parametros!$L$2,'PA4'!$T$5:$T$23,RC_pa!O$7,'PA4'!$U$5:$U$23,$D$5)</f>
        <v>0</v>
      </c>
      <c r="P56" s="104">
        <f t="shared" ca="1" si="3"/>
        <v>0</v>
      </c>
      <c r="Q56" s="104"/>
    </row>
    <row r="57" spans="3:17" x14ac:dyDescent="0.4"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</row>
    <row r="58" spans="3:17" x14ac:dyDescent="0.4"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</row>
    <row r="59" spans="3:17" x14ac:dyDescent="0.4"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</row>
    <row r="60" spans="3:17" x14ac:dyDescent="0.4"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</row>
    <row r="61" spans="3:17" x14ac:dyDescent="0.4"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</row>
    <row r="62" spans="3:17" x14ac:dyDescent="0.4"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</row>
  </sheetData>
  <phoneticPr fontId="5" type="noConversion"/>
  <pageMargins left="0.511811024" right="0.511811024" top="0.78740157499999996" bottom="0.78740157499999996" header="0.31496062000000002" footer="0.31496062000000002"/>
  <pageSetup paperSize="9" scale="7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Drop Down 1">
              <controlPr defaultSize="0" autoLine="0" autoPict="0">
                <anchor moveWithCells="1">
                  <from>
                    <xdr:col>3</xdr:col>
                    <xdr:colOff>15240</xdr:colOff>
                    <xdr:row>13</xdr:row>
                    <xdr:rowOff>53340</xdr:rowOff>
                  </from>
                  <to>
                    <xdr:col>5</xdr:col>
                    <xdr:colOff>701040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Drop Down 2">
              <controlPr defaultSize="0" autoLine="0" autoPict="0">
                <anchor moveWithCells="1">
                  <from>
                    <xdr:col>3</xdr:col>
                    <xdr:colOff>15240</xdr:colOff>
                    <xdr:row>4</xdr:row>
                    <xdr:rowOff>60960</xdr:rowOff>
                  </from>
                  <to>
                    <xdr:col>5</xdr:col>
                    <xdr:colOff>708660</xdr:colOff>
                    <xdr:row>4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F2C7-B7C5-4C80-BB7D-68928C5F10B4}">
  <dimension ref="A1:L12"/>
  <sheetViews>
    <sheetView showGridLines="0" zoomScale="107" zoomScaleNormal="107" workbookViewId="0">
      <selection activeCell="F16" sqref="F16"/>
    </sheetView>
  </sheetViews>
  <sheetFormatPr defaultRowHeight="13.2" x14ac:dyDescent="0.4"/>
  <cols>
    <col min="1" max="2" width="2.21875" style="7" customWidth="1"/>
    <col min="3" max="3" width="32.33203125" style="7" customWidth="1"/>
    <col min="4" max="4" width="21.77734375" style="7" customWidth="1"/>
    <col min="5" max="5" width="8.88671875" style="7"/>
    <col min="6" max="6" width="32.33203125" style="7" customWidth="1"/>
    <col min="7" max="7" width="21.77734375" style="7" customWidth="1"/>
    <col min="8" max="9" width="8.88671875" style="7" customWidth="1"/>
    <col min="10" max="12" width="8.88671875" style="79" customWidth="1"/>
    <col min="13" max="16384" width="8.88671875" style="7"/>
  </cols>
  <sheetData>
    <row r="1" spans="1:12" s="3" customFormat="1" ht="27" customHeight="1" x14ac:dyDescent="0.4">
      <c r="E1" s="4"/>
      <c r="J1" s="77"/>
      <c r="K1" s="77"/>
      <c r="L1" s="77"/>
    </row>
    <row r="2" spans="1:12" s="5" customFormat="1" ht="21.6" customHeight="1" x14ac:dyDescent="0.4">
      <c r="J2" s="78"/>
      <c r="K2" s="78"/>
      <c r="L2" s="78"/>
    </row>
    <row r="5" spans="1:12" ht="25.05" customHeight="1" x14ac:dyDescent="0.4">
      <c r="C5" s="167" t="s">
        <v>153</v>
      </c>
      <c r="D5" s="168" t="s">
        <v>22</v>
      </c>
      <c r="F5" s="76" t="s">
        <v>154</v>
      </c>
      <c r="G5" s="168" t="s">
        <v>161</v>
      </c>
    </row>
    <row r="6" spans="1:12" ht="13.8" thickBot="1" x14ac:dyDescent="0.45"/>
    <row r="7" spans="1:12" ht="25.05" customHeight="1" thickBot="1" x14ac:dyDescent="0.45">
      <c r="A7" s="7" t="e">
        <f>IF(G8&gt;parametros!$X$3,3,IF(G8&lt;parametros!$X$2,parametros!$Y$2,2))</f>
        <v>#DIV/0!</v>
      </c>
      <c r="C7" s="169" t="s">
        <v>155</v>
      </c>
      <c r="D7" s="165"/>
      <c r="F7" s="169" t="s">
        <v>156</v>
      </c>
      <c r="G7" s="165"/>
    </row>
    <row r="8" spans="1:12" ht="25.05" customHeight="1" thickBot="1" x14ac:dyDescent="0.45">
      <c r="C8" s="98" t="s">
        <v>30</v>
      </c>
      <c r="D8" s="166" t="str">
        <f>IFERROR(COUNTIF('PA1'!$E$5:$E$23,$D$5)/COUNTA('PA1'!$E$5:$E$23),"")</f>
        <v/>
      </c>
      <c r="F8" s="259" t="s">
        <v>160</v>
      </c>
      <c r="G8" s="260" t="e">
        <f>(COUNTIF('PA1'!$F$5:$F$23,$G$5)+COUNTIF('PA2'!$F$5:$F$23,$G$5)+COUNTIF('PA3'!$F$5:$F$23,$G$5)+COUNTIF('PA4'!$F$5:$F$23,$G$5))/(COUNTA('PA1'!$F$5:$F$23)+COUNTA('PA2'!$F$5:$F$23)+COUNTA('PA3'!$F$5:$F$23)+COUNTA('PA4'!$F$5:$F$23))</f>
        <v>#DIV/0!</v>
      </c>
    </row>
    <row r="9" spans="1:12" ht="25.05" customHeight="1" thickBot="1" x14ac:dyDescent="0.45">
      <c r="C9" s="98" t="s">
        <v>157</v>
      </c>
      <c r="D9" s="166" t="str">
        <f>IFERROR(COUNTIF('PA2'!$E$5:$E$23,$D$5)/COUNTA('PA2'!$E$5:$E$23),"")</f>
        <v/>
      </c>
      <c r="F9" s="259"/>
      <c r="G9" s="260" t="e">
        <f>(COUNTIF('PA1'!$F$5:$F$23,$G$5)+COUNTIF('PA2'!$F$5:$F$23,$G$5)+COUNTIF('PA3'!$F$5:$F$23,$G$5)+COUNTIF('PA4'!$F$5:$F$23,$G$5))/(COUNTA('PA1'!$F$5:$F$23)+COUNTA('PA2'!$F$5:$F$23)+COUNTA('PA3'!$F$5:$F$23)+COUNTA('PA4'!$F$5:$F$23))</f>
        <v>#DIV/0!</v>
      </c>
    </row>
    <row r="10" spans="1:12" ht="25.05" customHeight="1" thickBot="1" x14ac:dyDescent="0.45">
      <c r="C10" s="98" t="s">
        <v>158</v>
      </c>
      <c r="D10" s="166" t="str">
        <f>IFERROR(COUNTIF('PA3'!$E$5:$E$23,$D$5)/COUNTA('PA3'!$E$5:$E$23),"")</f>
        <v/>
      </c>
      <c r="F10" s="261" t="e">
        <f>VLOOKUP($A$7,parametros!$Y$2:$Z$4,2,0)</f>
        <v>#DIV/0!</v>
      </c>
      <c r="G10" s="262"/>
    </row>
    <row r="11" spans="1:12" ht="25.05" customHeight="1" thickBot="1" x14ac:dyDescent="0.45">
      <c r="C11" s="98" t="s">
        <v>159</v>
      </c>
      <c r="D11" s="166" t="str">
        <f>IFERROR(COUNTIF('PA4'!$E$5:$E$23,$D$5)/COUNTA('PA4'!$E$5:$E$23),"")</f>
        <v/>
      </c>
      <c r="F11" s="263"/>
      <c r="G11" s="264"/>
    </row>
    <row r="12" spans="1:12" ht="25.05" customHeight="1" x14ac:dyDescent="0.4"/>
  </sheetData>
  <mergeCells count="3">
    <mergeCell ref="F8:F9"/>
    <mergeCell ref="G8:G9"/>
    <mergeCell ref="F10:G11"/>
  </mergeCells>
  <conditionalFormatting sqref="D8:D11">
    <cfRule type="cellIs" dxfId="119" priority="1" operator="equal">
      <formula>""</formula>
    </cfRule>
  </conditionalFormatting>
  <dataValidations count="2">
    <dataValidation type="list" allowBlank="1" showInputMessage="1" showErrorMessage="1" sqref="G5" xr:uid="{039ADEA3-57A0-4EDA-892C-C1F2496DBEA7}">
      <formula1>funcionarios</formula1>
    </dataValidation>
    <dataValidation type="list" allowBlank="1" showInputMessage="1" showErrorMessage="1" sqref="D5" xr:uid="{13E69178-9596-4B73-B5D5-327490329876}">
      <formula1>equipes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between" id="{213A6CB6-1084-4AE0-8705-16C4627EF974}">
            <xm:f>parametros!$X$2+0.01</xm:f>
            <xm:f>parametros!$X$3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cellIs" priority="3" operator="lessThanOrEqual" id="{1BEA0F09-8843-41F6-8614-C7DAC8879690}">
            <xm:f>parametros!$X$2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cellIs" priority="4" operator="greaterThan" id="{7DB7AC7A-B51F-42BB-8ED0-A896C3CD1022}">
            <xm:f>parametros!$X$3</xm:f>
            <x14:dxf>
              <font>
                <color theme="0"/>
              </font>
              <fill>
                <patternFill>
                  <bgColor rgb="FF609443"/>
                </patternFill>
              </fill>
            </x14:dxf>
          </x14:cfRule>
          <xm:sqref>D8:D11</xm:sqref>
        </x14:conditionalFormatting>
        <x14:conditionalFormatting xmlns:xm="http://schemas.microsoft.com/office/excel/2006/main">
          <x14:cfRule type="expression" priority="5" id="{A84A8770-1BF2-4BA8-99A0-1C2C7F5957DF}">
            <xm:f>AND($G$8&gt;parametros!$X$2,$G$8&lt;=parametros!$X$3)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6" id="{01B97A5C-A66A-415D-82B3-3D7EBA6BE1C7}">
            <xm:f>$G$8&lt;=parametros!$X$2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7" id="{40DFE4F3-FD24-4AD9-B073-4FD7336AEF12}">
            <xm:f>$G$8&gt;parametros!$X$3</xm:f>
            <x14:dxf>
              <font>
                <color theme="0"/>
              </font>
              <fill>
                <patternFill>
                  <bgColor rgb="FF609443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cellIs" priority="8" operator="between" id="{ADCF4000-61F9-4C59-AB4A-1BD2496E626A}">
            <xm:f>parametros!$X$2+0.01</xm:f>
            <xm:f>parametros!$X$3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cellIs" priority="9" operator="lessThanOrEqual" id="{61B3C11D-E901-4CC5-B2E3-4C4DBF929BDB}">
            <xm:f>parametros!$X$2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cellIs" priority="10" operator="greaterThan" id="{CAC52873-44C7-439E-9A23-F75BE669E5EE}">
            <xm:f>parametros!$X$3</xm:f>
            <x14:dxf>
              <font>
                <color theme="0"/>
              </font>
              <fill>
                <patternFill>
                  <bgColor rgb="FF609443"/>
                </patternFill>
              </fill>
            </x14:dxf>
          </x14:cfRule>
          <xm:sqref>G8:G9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1CFC-7E92-4DD4-9EDF-1A2074A371A5}">
  <dimension ref="E1:L2"/>
  <sheetViews>
    <sheetView zoomScale="107" zoomScaleNormal="107" workbookViewId="0">
      <selection activeCell="D21" sqref="D21"/>
    </sheetView>
  </sheetViews>
  <sheetFormatPr defaultRowHeight="13.2" x14ac:dyDescent="0.4"/>
  <cols>
    <col min="1" max="2" width="2.21875" style="7" customWidth="1"/>
    <col min="3" max="4" width="16.6640625" style="7" customWidth="1"/>
    <col min="5" max="7" width="8.88671875" style="7"/>
    <col min="8" max="8" width="13.44140625" style="7" customWidth="1"/>
    <col min="9" max="9" width="54.44140625" style="7" customWidth="1"/>
    <col min="10" max="12" width="12.5546875" style="79" customWidth="1"/>
    <col min="13" max="16384" width="8.88671875" style="7"/>
  </cols>
  <sheetData>
    <row r="1" spans="5:12" s="3" customFormat="1" ht="27.6" customHeight="1" x14ac:dyDescent="0.4">
      <c r="E1" s="4"/>
      <c r="J1" s="77"/>
      <c r="K1" s="77"/>
      <c r="L1" s="77"/>
    </row>
    <row r="2" spans="5:12" s="5" customFormat="1" ht="21.6" customHeight="1" x14ac:dyDescent="0.4">
      <c r="J2" s="78"/>
      <c r="K2" s="78"/>
      <c r="L2" s="78"/>
    </row>
  </sheetData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5DCA-BF12-44CF-B26F-4F589948ACC3}">
  <dimension ref="C1:Y49"/>
  <sheetViews>
    <sheetView showGridLines="0" zoomScale="107" zoomScaleNormal="107" workbookViewId="0">
      <selection activeCell="AA16" sqref="AA16"/>
    </sheetView>
  </sheetViews>
  <sheetFormatPr defaultRowHeight="13.2" x14ac:dyDescent="0.4"/>
  <cols>
    <col min="1" max="2" width="2.21875" style="7" customWidth="1"/>
    <col min="3" max="3" width="8.109375" style="7" customWidth="1"/>
    <col min="4" max="4" width="12.88671875" style="7" customWidth="1"/>
    <col min="5" max="5" width="1.109375" style="7" customWidth="1"/>
    <col min="6" max="6" width="8.109375" style="7" customWidth="1"/>
    <col min="7" max="7" width="12.88671875" style="7" customWidth="1"/>
    <col min="8" max="8" width="1.109375" style="7" customWidth="1"/>
    <col min="9" max="9" width="8.109375" style="7" customWidth="1"/>
    <col min="10" max="10" width="12.88671875" style="7" customWidth="1"/>
    <col min="11" max="11" width="1.109375" style="7" customWidth="1"/>
    <col min="12" max="12" width="8.109375" style="7" customWidth="1"/>
    <col min="13" max="13" width="12.88671875" style="7" customWidth="1"/>
    <col min="14" max="14" width="1.109375" style="7" customWidth="1"/>
    <col min="15" max="15" width="8.109375" style="7" customWidth="1"/>
    <col min="16" max="16" width="12.88671875" style="7" customWidth="1"/>
    <col min="17" max="17" width="1.109375" style="7" customWidth="1"/>
    <col min="18" max="18" width="8.109375" style="7" customWidth="1"/>
    <col min="19" max="19" width="12.88671875" style="7" customWidth="1"/>
    <col min="20" max="20" width="1.109375" style="7" customWidth="1"/>
    <col min="21" max="21" width="8.109375" style="7" customWidth="1"/>
    <col min="22" max="22" width="12.88671875" style="7" customWidth="1"/>
    <col min="23" max="23" width="1.109375" style="7" customWidth="1"/>
    <col min="24" max="24" width="8.109375" style="7" customWidth="1"/>
    <col min="25" max="25" width="12.88671875" style="7" customWidth="1"/>
    <col min="26" max="16384" width="8.88671875" style="7"/>
  </cols>
  <sheetData>
    <row r="1" spans="3:25" s="3" customFormat="1" ht="27.6" customHeight="1" x14ac:dyDescent="0.4">
      <c r="F1" s="4"/>
    </row>
    <row r="2" spans="3:25" s="5" customFormat="1" ht="21.6" customHeight="1" x14ac:dyDescent="0.4"/>
    <row r="3" spans="3:25" ht="4.95" customHeight="1" thickBot="1" x14ac:dyDescent="0.45"/>
    <row r="4" spans="3:25" ht="25.05" customHeight="1" thickBot="1" x14ac:dyDescent="0.45">
      <c r="C4" s="266" t="s">
        <v>265</v>
      </c>
      <c r="D4" s="267"/>
      <c r="F4" s="268" t="s">
        <v>60</v>
      </c>
      <c r="G4" s="269"/>
    </row>
    <row r="5" spans="3:25" ht="4.95" customHeight="1" x14ac:dyDescent="0.4"/>
    <row r="6" spans="3:25" s="2" customFormat="1" ht="22.05" customHeight="1" x14ac:dyDescent="0.3">
      <c r="C6" s="173" t="s">
        <v>30</v>
      </c>
      <c r="D6" s="173"/>
      <c r="E6" s="173"/>
      <c r="F6" s="173"/>
    </row>
    <row r="7" spans="3:25" ht="4.95" customHeight="1" x14ac:dyDescent="0.4"/>
    <row r="8" spans="3:25" ht="7.95" customHeight="1" x14ac:dyDescent="0.4">
      <c r="C8" s="171"/>
      <c r="D8" s="171"/>
      <c r="F8" s="171"/>
      <c r="G8" s="171"/>
      <c r="I8" s="171"/>
      <c r="J8" s="171"/>
      <c r="L8" s="171"/>
      <c r="M8" s="171"/>
      <c r="O8" s="171"/>
      <c r="P8" s="171"/>
      <c r="R8" s="171"/>
      <c r="S8" s="171"/>
      <c r="U8" s="171"/>
      <c r="V8" s="171"/>
      <c r="X8" s="171"/>
      <c r="Y8" s="171"/>
    </row>
    <row r="9" spans="3:25" x14ac:dyDescent="0.4">
      <c r="C9" s="172" t="str">
        <f>'est1'!$C$59</f>
        <v>Aumentar: Faturamento</v>
      </c>
      <c r="D9" s="172"/>
      <c r="F9" s="172" t="str">
        <f>'est1'!$C$60</f>
        <v>Aumentar: Tiket Médio</v>
      </c>
      <c r="G9" s="172"/>
      <c r="I9" s="172" t="str">
        <f>'est1'!$C$61</f>
        <v xml:space="preserve">: </v>
      </c>
      <c r="J9" s="172"/>
      <c r="L9" s="172" t="str">
        <f>'est1'!$C$62</f>
        <v xml:space="preserve">: </v>
      </c>
      <c r="M9" s="172"/>
      <c r="O9" s="172" t="str">
        <f>'est1'!$C$63</f>
        <v xml:space="preserve">: </v>
      </c>
      <c r="P9" s="172"/>
      <c r="R9" s="172" t="str">
        <f>'est1'!$C$64</f>
        <v xml:space="preserve">: </v>
      </c>
      <c r="S9" s="172"/>
      <c r="U9" s="172" t="str">
        <f>'est1'!$C$65</f>
        <v xml:space="preserve">: </v>
      </c>
      <c r="V9" s="172"/>
      <c r="X9" s="172" t="str">
        <f>'est1'!$C$66</f>
        <v xml:space="preserve">: </v>
      </c>
      <c r="Y9" s="172"/>
    </row>
    <row r="10" spans="3:25" x14ac:dyDescent="0.4">
      <c r="C10" s="171" t="str">
        <f>'est1'!$D$7</f>
        <v>R$</v>
      </c>
      <c r="D10" s="171"/>
      <c r="F10" s="171" t="str">
        <f>'est1'!$D$12</f>
        <v>Número</v>
      </c>
      <c r="G10" s="171"/>
      <c r="I10" s="171" t="str">
        <f>'est1'!$D$17</f>
        <v>Número</v>
      </c>
      <c r="J10" s="171"/>
      <c r="L10" s="171" t="str">
        <f>'est1'!$D$22</f>
        <v>Número</v>
      </c>
      <c r="M10" s="171"/>
      <c r="O10" s="171" t="str">
        <f>'est1'!$D$27</f>
        <v>Número</v>
      </c>
      <c r="P10" s="171"/>
      <c r="R10" s="171" t="str">
        <f>'est1'!$D$32</f>
        <v>Número</v>
      </c>
      <c r="S10" s="171"/>
      <c r="U10" s="171" t="str">
        <f>'est1'!$D$37</f>
        <v>Número</v>
      </c>
      <c r="V10" s="171"/>
      <c r="X10" s="171" t="str">
        <f>'est1'!$D$42</f>
        <v>Número</v>
      </c>
      <c r="Y10" s="171"/>
    </row>
    <row r="11" spans="3:25" x14ac:dyDescent="0.4">
      <c r="C11" s="171" t="s">
        <v>267</v>
      </c>
      <c r="D11" s="171">
        <f>IF($F$4=parametros!$K$2,'est1'!$D$69,'est1'!$E$69)</f>
        <v>0</v>
      </c>
      <c r="F11" s="171" t="s">
        <v>267</v>
      </c>
      <c r="G11" s="171">
        <f>IF($F$4=parametros!$K$2,'est1'!$D$71,'est1'!$E$71)</f>
        <v>0</v>
      </c>
      <c r="I11" s="171" t="s">
        <v>267</v>
      </c>
      <c r="J11" s="171">
        <f>IF($F$4=parametros!$K$2,'est1'!$D$73,'est1'!$E$73)</f>
        <v>0</v>
      </c>
      <c r="L11" s="171" t="s">
        <v>267</v>
      </c>
      <c r="M11" s="171">
        <f>IF($F$4=parametros!$K$2,'est1'!$D$75,'est1'!$E$75)</f>
        <v>0</v>
      </c>
      <c r="O11" s="171" t="s">
        <v>267</v>
      </c>
      <c r="P11" s="171">
        <f>IF($F$4=parametros!$K$2,'est1'!$D$77,'est1'!$E$77)</f>
        <v>0</v>
      </c>
      <c r="R11" s="171" t="s">
        <v>267</v>
      </c>
      <c r="S11" s="171">
        <f>IF($F$4=parametros!$K$2,'est1'!$D$79,'est1'!$E$79)</f>
        <v>0</v>
      </c>
      <c r="U11" s="171" t="s">
        <v>267</v>
      </c>
      <c r="V11" s="171">
        <f>IF($F$4=parametros!$K$2,'est1'!$D$81,'est1'!$E$81)</f>
        <v>0</v>
      </c>
      <c r="X11" s="171" t="s">
        <v>267</v>
      </c>
      <c r="Y11" s="171">
        <f>IF($F$4=parametros!$K$2,'est1'!$D$83,'est1'!$E$83)</f>
        <v>0</v>
      </c>
    </row>
    <row r="12" spans="3:25" x14ac:dyDescent="0.4">
      <c r="C12" s="171" t="s">
        <v>268</v>
      </c>
      <c r="D12" s="171">
        <f>IF($F$4=parametros!$K$2,'est1'!$D$70,'est1'!$E$70)</f>
        <v>0</v>
      </c>
      <c r="F12" s="171" t="s">
        <v>268</v>
      </c>
      <c r="G12" s="171">
        <f>IF($F$4=parametros!$K$2,'est1'!$D$72,'est1'!$E$72)</f>
        <v>0</v>
      </c>
      <c r="I12" s="171" t="s">
        <v>268</v>
      </c>
      <c r="J12" s="171">
        <f>IF($F$4=parametros!$K$2,'est1'!$D$74,'est1'!$E$74)</f>
        <v>0</v>
      </c>
      <c r="L12" s="171" t="s">
        <v>268</v>
      </c>
      <c r="M12" s="171">
        <f>IF($F$4=parametros!$K$2,'est1'!$D$76,'est1'!$E$76)</f>
        <v>0</v>
      </c>
      <c r="O12" s="171" t="s">
        <v>268</v>
      </c>
      <c r="P12" s="171">
        <f>IF($F$4=parametros!$K$2,'est1'!$D$78,'est1'!$E$78)</f>
        <v>0</v>
      </c>
      <c r="R12" s="171" t="s">
        <v>268</v>
      </c>
      <c r="S12" s="171">
        <f>IF($F$4=parametros!$K$2,'est1'!$D$80,'est1'!$E$80)</f>
        <v>0</v>
      </c>
      <c r="U12" s="171" t="s">
        <v>268</v>
      </c>
      <c r="V12" s="171">
        <f>IF($F$4=parametros!$K$2,'est1'!$D$82,'est1'!$E$82)</f>
        <v>0</v>
      </c>
      <c r="X12" s="171" t="s">
        <v>268</v>
      </c>
      <c r="Y12" s="171">
        <f>IF($F$4=parametros!$K$2,'est1'!$D$84,'est1'!$E$84)</f>
        <v>0</v>
      </c>
    </row>
    <row r="13" spans="3:25" ht="7.95" customHeight="1" x14ac:dyDescent="0.4">
      <c r="C13" s="171"/>
      <c r="D13" s="171"/>
      <c r="F13" s="171"/>
      <c r="G13" s="171"/>
      <c r="I13" s="171"/>
      <c r="J13" s="171"/>
      <c r="L13" s="171"/>
      <c r="M13" s="171"/>
      <c r="O13" s="171"/>
      <c r="P13" s="171"/>
      <c r="R13" s="171"/>
      <c r="S13" s="171"/>
      <c r="U13" s="171"/>
      <c r="V13" s="171"/>
      <c r="X13" s="171"/>
      <c r="Y13" s="171"/>
    </row>
    <row r="14" spans="3:25" x14ac:dyDescent="0.4">
      <c r="C14" s="265">
        <f>IFERROR(IF(D11&gt;D12,D12/D11,D11/D12),0)</f>
        <v>0</v>
      </c>
      <c r="D14" s="265"/>
      <c r="E14" s="150"/>
      <c r="F14" s="265">
        <f>IFERROR(IF(G11&gt;G12,G12/G11,G11/G12),0)</f>
        <v>0</v>
      </c>
      <c r="G14" s="265"/>
      <c r="H14" s="150"/>
      <c r="I14" s="265">
        <f>IFERROR(IF(J11&gt;J12,J12/J11,J11/J12),0)</f>
        <v>0</v>
      </c>
      <c r="J14" s="265"/>
      <c r="K14" s="150"/>
      <c r="L14" s="265">
        <f>IFERROR(IF(M11&gt;M12,M12/M11,M11/M12),0)</f>
        <v>0</v>
      </c>
      <c r="M14" s="265"/>
      <c r="N14" s="150"/>
      <c r="O14" s="265">
        <f>IFERROR(IF(P11&gt;P12,P12/P11,P11/P12),0)</f>
        <v>0</v>
      </c>
      <c r="P14" s="265"/>
      <c r="Q14" s="150"/>
      <c r="R14" s="265">
        <f>IFERROR(IF(S11&gt;S12,S12/S11,S11/S12),0)</f>
        <v>0</v>
      </c>
      <c r="S14" s="265"/>
      <c r="T14" s="150"/>
      <c r="U14" s="265">
        <f>IFERROR(IF(V11&gt;V12,V12/V11,V11/V12),0)</f>
        <v>0</v>
      </c>
      <c r="V14" s="265"/>
      <c r="W14" s="150"/>
      <c r="X14" s="265">
        <f>IFERROR(IF(Y11&gt;Y12,Y12/Y11,Y11/Y12),0)</f>
        <v>0</v>
      </c>
      <c r="Y14" s="265"/>
    </row>
    <row r="15" spans="3:25" ht="7.95" customHeight="1" x14ac:dyDescent="0.4">
      <c r="C15" s="171"/>
      <c r="D15" s="171"/>
      <c r="F15" s="171"/>
      <c r="G15" s="171"/>
      <c r="I15" s="171"/>
      <c r="J15" s="171"/>
      <c r="L15" s="171"/>
      <c r="M15" s="171"/>
      <c r="O15" s="171"/>
      <c r="P15" s="171"/>
      <c r="R15" s="171"/>
      <c r="S15" s="171"/>
      <c r="U15" s="171"/>
      <c r="V15" s="171"/>
      <c r="X15" s="171"/>
      <c r="Y15" s="171"/>
    </row>
    <row r="16" spans="3:25" ht="4.95" customHeight="1" x14ac:dyDescent="0.4"/>
    <row r="17" spans="3:25" s="2" customFormat="1" ht="22.05" customHeight="1" x14ac:dyDescent="0.3">
      <c r="C17" s="173" t="s">
        <v>33</v>
      </c>
      <c r="D17" s="173"/>
      <c r="E17" s="173"/>
      <c r="F17" s="173"/>
    </row>
    <row r="18" spans="3:25" ht="4.95" customHeight="1" x14ac:dyDescent="0.4"/>
    <row r="19" spans="3:25" ht="7.95" customHeight="1" x14ac:dyDescent="0.4">
      <c r="C19" s="171"/>
      <c r="D19" s="171"/>
      <c r="F19" s="171"/>
      <c r="G19" s="171"/>
      <c r="I19" s="171"/>
      <c r="J19" s="171"/>
      <c r="L19" s="171"/>
      <c r="M19" s="171"/>
      <c r="O19" s="171"/>
      <c r="P19" s="171"/>
      <c r="R19" s="171"/>
      <c r="S19" s="171"/>
      <c r="U19" s="171"/>
      <c r="V19" s="171"/>
      <c r="X19" s="171"/>
      <c r="Y19" s="171"/>
    </row>
    <row r="20" spans="3:25" x14ac:dyDescent="0.4">
      <c r="C20" s="172" t="str">
        <f>'est2'!$C$59</f>
        <v>Aumentar: Base de clientes recorentes</v>
      </c>
      <c r="D20" s="172"/>
      <c r="F20" s="172" t="str">
        <f>'est2'!$C$60</f>
        <v>Aumentar: Taxa de recompra (Fidelidade)</v>
      </c>
      <c r="G20" s="172"/>
      <c r="I20" s="172" t="str">
        <f>'est2'!$C$61</f>
        <v>Aumentar: Agendamentos pelo instagram e whatsapp</v>
      </c>
      <c r="J20" s="172"/>
      <c r="L20" s="172" t="str">
        <f>'est2'!$C$62</f>
        <v>Aumentar: Alavancar Engajamento médio</v>
      </c>
      <c r="M20" s="172"/>
      <c r="O20" s="172" t="str">
        <f>'est2'!$C$63</f>
        <v xml:space="preserve">: </v>
      </c>
      <c r="P20" s="172"/>
      <c r="R20" s="172" t="str">
        <f>'est2'!$C$64</f>
        <v xml:space="preserve">: </v>
      </c>
      <c r="S20" s="172"/>
      <c r="U20" s="172" t="str">
        <f>'est2'!$C$65</f>
        <v xml:space="preserve">: </v>
      </c>
      <c r="V20" s="172"/>
      <c r="X20" s="172" t="str">
        <f>'est2'!$C$66</f>
        <v xml:space="preserve">: </v>
      </c>
      <c r="Y20" s="172"/>
    </row>
    <row r="21" spans="3:25" x14ac:dyDescent="0.4">
      <c r="C21" s="171" t="str">
        <f>'est2'!$D$7</f>
        <v>%</v>
      </c>
      <c r="D21" s="171"/>
      <c r="F21" s="171" t="str">
        <f>'est2'!$D$12</f>
        <v>Número</v>
      </c>
      <c r="G21" s="171"/>
      <c r="I21" s="171" t="str">
        <f>'est2'!$D$17</f>
        <v>Número</v>
      </c>
      <c r="J21" s="171"/>
      <c r="L21" s="171" t="str">
        <f>'est2'!$D$22</f>
        <v>Número</v>
      </c>
      <c r="M21" s="171"/>
      <c r="O21" s="171" t="str">
        <f>'est2'!$D$27</f>
        <v>Número</v>
      </c>
      <c r="P21" s="171"/>
      <c r="R21" s="171" t="str">
        <f>'est2'!$D$32</f>
        <v>Número</v>
      </c>
      <c r="S21" s="171"/>
      <c r="U21" s="171" t="str">
        <f>'est2'!$D$37</f>
        <v>Número</v>
      </c>
      <c r="V21" s="171"/>
      <c r="X21" s="171" t="str">
        <f>'est2'!$D$42</f>
        <v>Número</v>
      </c>
      <c r="Y21" s="171"/>
    </row>
    <row r="22" spans="3:25" x14ac:dyDescent="0.4">
      <c r="C22" s="171" t="s">
        <v>267</v>
      </c>
      <c r="D22" s="171">
        <f>IF($F$4=parametros!$K$2,'est2'!$D$69,'est2'!$E$69)</f>
        <v>0</v>
      </c>
      <c r="F22" s="171" t="s">
        <v>267</v>
      </c>
      <c r="G22" s="171">
        <f>IF($F$4=parametros!$K$2,'est2'!$D$71,'est2'!$E$71)</f>
        <v>0</v>
      </c>
      <c r="I22" s="171" t="s">
        <v>267</v>
      </c>
      <c r="J22" s="171">
        <f>IF($F$4=parametros!$K$2,'est2'!$D$73,'est2'!$E$73)</f>
        <v>0</v>
      </c>
      <c r="L22" s="171" t="s">
        <v>267</v>
      </c>
      <c r="M22" s="171">
        <f>IF($F$4=parametros!$K$2,'est2'!$D$75,'est2'!$E$75)</f>
        <v>0</v>
      </c>
      <c r="O22" s="171" t="s">
        <v>267</v>
      </c>
      <c r="P22" s="171">
        <f>IF($F$4=parametros!$K$2,'est2'!$D$77,'est2'!$E$77)</f>
        <v>0</v>
      </c>
      <c r="R22" s="171" t="s">
        <v>267</v>
      </c>
      <c r="S22" s="171">
        <f>IF($F$4=parametros!$K$2,'est2'!$D$79,'est2'!$E$79)</f>
        <v>0</v>
      </c>
      <c r="U22" s="171" t="s">
        <v>267</v>
      </c>
      <c r="V22" s="171">
        <f>IF($F$4=parametros!$K$2,'est2'!$D$81,'est2'!$E$81)</f>
        <v>0</v>
      </c>
      <c r="X22" s="171" t="s">
        <v>267</v>
      </c>
      <c r="Y22" s="171">
        <f>IF($F$4=parametros!$K$2,'est2'!$D$83,'est2'!$E$83)</f>
        <v>0</v>
      </c>
    </row>
    <row r="23" spans="3:25" x14ac:dyDescent="0.4">
      <c r="C23" s="171" t="s">
        <v>268</v>
      </c>
      <c r="D23" s="171">
        <f>IF($F$4=parametros!$K$2,'est2'!$D$70,'est2'!$E$70)</f>
        <v>0</v>
      </c>
      <c r="F23" s="171" t="s">
        <v>268</v>
      </c>
      <c r="G23" s="171">
        <f>IF($F$4=parametros!$K$2,'est2'!$D$72,'est2'!$E$72)</f>
        <v>0</v>
      </c>
      <c r="I23" s="171" t="s">
        <v>268</v>
      </c>
      <c r="J23" s="171">
        <f>IF($F$4=parametros!$K$2,'est2'!$D$74,'est2'!$E$74)</f>
        <v>0</v>
      </c>
      <c r="L23" s="171" t="s">
        <v>268</v>
      </c>
      <c r="M23" s="171">
        <f>IF($F$4=parametros!$K$2,'est2'!$D$76,'est2'!$E$76)</f>
        <v>0</v>
      </c>
      <c r="O23" s="171" t="s">
        <v>268</v>
      </c>
      <c r="P23" s="171">
        <f>IF($F$4=parametros!$K$2,'est2'!$D$78,'est2'!$E$78)</f>
        <v>0</v>
      </c>
      <c r="R23" s="171" t="s">
        <v>268</v>
      </c>
      <c r="S23" s="171">
        <f>IF($F$4=parametros!$K$2,'est2'!$D$80,'est2'!$E$80)</f>
        <v>0</v>
      </c>
      <c r="U23" s="171" t="s">
        <v>268</v>
      </c>
      <c r="V23" s="171">
        <f>IF($F$4=parametros!$K$2,'est2'!$D$82,'est2'!$E$82)</f>
        <v>0</v>
      </c>
      <c r="X23" s="171" t="s">
        <v>268</v>
      </c>
      <c r="Y23" s="171">
        <f>IF($F$4=parametros!$K$2,'est2'!$D$84,'est2'!$E$84)</f>
        <v>0</v>
      </c>
    </row>
    <row r="24" spans="3:25" ht="7.95" customHeight="1" x14ac:dyDescent="0.4">
      <c r="C24" s="171"/>
      <c r="D24" s="171"/>
      <c r="F24" s="171"/>
      <c r="G24" s="171"/>
      <c r="I24" s="171"/>
      <c r="J24" s="171"/>
      <c r="L24" s="171"/>
      <c r="M24" s="171"/>
      <c r="O24" s="171"/>
      <c r="P24" s="171"/>
      <c r="R24" s="171"/>
      <c r="S24" s="171"/>
      <c r="U24" s="171"/>
      <c r="V24" s="171"/>
      <c r="X24" s="171"/>
      <c r="Y24" s="171"/>
    </row>
    <row r="25" spans="3:25" x14ac:dyDescent="0.4">
      <c r="C25" s="265">
        <f>IFERROR(IF(D22&gt;D23,D23/D22,D22/D23),0)</f>
        <v>0</v>
      </c>
      <c r="D25" s="265"/>
      <c r="E25" s="150"/>
      <c r="F25" s="265">
        <f>IFERROR(IF(G22&gt;G23,G23/G22,G22/G23),0)</f>
        <v>0</v>
      </c>
      <c r="G25" s="265"/>
      <c r="H25" s="150"/>
      <c r="I25" s="265">
        <f>IFERROR(IF(J22&gt;J23,J23/J22,J22/J23),0)</f>
        <v>0</v>
      </c>
      <c r="J25" s="265"/>
      <c r="K25" s="150"/>
      <c r="L25" s="265">
        <f>IFERROR(IF(M22&gt;M23,M23/M22,M22/M23),0)</f>
        <v>0</v>
      </c>
      <c r="M25" s="265"/>
      <c r="N25" s="150"/>
      <c r="O25" s="265">
        <f>IFERROR(IF(P22&gt;P23,P23/P22,P22/P23),0)</f>
        <v>0</v>
      </c>
      <c r="P25" s="265"/>
      <c r="Q25" s="150"/>
      <c r="R25" s="265">
        <f>IFERROR(IF(S22&gt;S23,S23/S22,S22/S23),0)</f>
        <v>0</v>
      </c>
      <c r="S25" s="265"/>
      <c r="T25" s="150"/>
      <c r="U25" s="265">
        <f>IFERROR(IF(V22&gt;V23,V23/V22,V22/V23),0)</f>
        <v>0</v>
      </c>
      <c r="V25" s="265"/>
      <c r="W25" s="150"/>
      <c r="X25" s="265">
        <f>IFERROR(IF(Y22&gt;Y23,Y23/Y22,Y22/Y23),0)</f>
        <v>0</v>
      </c>
      <c r="Y25" s="265"/>
    </row>
    <row r="26" spans="3:25" ht="7.95" customHeight="1" x14ac:dyDescent="0.4">
      <c r="C26" s="171"/>
      <c r="D26" s="171"/>
      <c r="F26" s="171"/>
      <c r="G26" s="171"/>
      <c r="I26" s="171"/>
      <c r="J26" s="171"/>
      <c r="L26" s="171"/>
      <c r="M26" s="171"/>
      <c r="O26" s="171"/>
      <c r="P26" s="171"/>
      <c r="R26" s="171"/>
      <c r="S26" s="171"/>
      <c r="U26" s="171"/>
      <c r="V26" s="171"/>
      <c r="X26" s="171"/>
      <c r="Y26" s="171"/>
    </row>
    <row r="27" spans="3:25" ht="4.95" customHeight="1" x14ac:dyDescent="0.4"/>
    <row r="28" spans="3:25" s="2" customFormat="1" ht="22.05" customHeight="1" x14ac:dyDescent="0.3">
      <c r="C28" s="173" t="s">
        <v>34</v>
      </c>
      <c r="D28" s="173"/>
      <c r="E28" s="173"/>
      <c r="F28" s="173"/>
    </row>
    <row r="29" spans="3:25" ht="4.95" customHeight="1" x14ac:dyDescent="0.4"/>
    <row r="30" spans="3:25" ht="7.95" customHeight="1" x14ac:dyDescent="0.4">
      <c r="C30" s="171"/>
      <c r="D30" s="171"/>
      <c r="F30" s="171"/>
      <c r="G30" s="171"/>
      <c r="I30" s="171"/>
      <c r="J30" s="171"/>
      <c r="L30" s="171"/>
      <c r="M30" s="171"/>
      <c r="O30" s="171"/>
      <c r="P30" s="171"/>
      <c r="R30" s="171"/>
      <c r="S30" s="171"/>
      <c r="U30" s="171"/>
      <c r="V30" s="171"/>
      <c r="X30" s="171"/>
      <c r="Y30" s="171"/>
    </row>
    <row r="31" spans="3:25" x14ac:dyDescent="0.4">
      <c r="C31" s="172" t="str">
        <f>'est3'!$C$59</f>
        <v>Aumentar: Crescimento</v>
      </c>
      <c r="D31" s="172"/>
      <c r="F31" s="172" t="str">
        <f>'est3'!$C$60</f>
        <v xml:space="preserve">: </v>
      </c>
      <c r="G31" s="172"/>
      <c r="I31" s="172" t="str">
        <f>'est3'!$C$61</f>
        <v xml:space="preserve">: </v>
      </c>
      <c r="J31" s="172"/>
      <c r="L31" s="172" t="str">
        <f>'est3'!$C$62</f>
        <v xml:space="preserve">: </v>
      </c>
      <c r="M31" s="172"/>
      <c r="O31" s="172" t="str">
        <f>'est3'!$C$63</f>
        <v xml:space="preserve">: </v>
      </c>
      <c r="P31" s="172"/>
      <c r="R31" s="172" t="str">
        <f>'est3'!$C$64</f>
        <v xml:space="preserve">: </v>
      </c>
      <c r="S31" s="172"/>
      <c r="U31" s="172" t="str">
        <f>'est3'!$C$65</f>
        <v xml:space="preserve">: </v>
      </c>
      <c r="V31" s="172"/>
      <c r="X31" s="172" t="str">
        <f>'est3'!$C$66</f>
        <v xml:space="preserve">: </v>
      </c>
      <c r="Y31" s="172"/>
    </row>
    <row r="32" spans="3:25" x14ac:dyDescent="0.4">
      <c r="C32" s="171" t="str">
        <f>'est3'!$D$7</f>
        <v>%</v>
      </c>
      <c r="D32" s="171"/>
      <c r="F32" s="171" t="str">
        <f>'est3'!$D$12</f>
        <v>Número</v>
      </c>
      <c r="G32" s="171"/>
      <c r="I32" s="171" t="str">
        <f>'est3'!$D$17</f>
        <v>Número</v>
      </c>
      <c r="J32" s="171"/>
      <c r="L32" s="171" t="str">
        <f>'est3'!$D$22</f>
        <v>Número</v>
      </c>
      <c r="M32" s="171"/>
      <c r="O32" s="171" t="str">
        <f>'est3'!$D$27</f>
        <v>Número</v>
      </c>
      <c r="P32" s="171"/>
      <c r="R32" s="171" t="str">
        <f>'est3'!$D$32</f>
        <v>Número</v>
      </c>
      <c r="S32" s="171"/>
      <c r="U32" s="171" t="str">
        <f>'est3'!$D$37</f>
        <v>Número</v>
      </c>
      <c r="V32" s="171"/>
      <c r="X32" s="171" t="str">
        <f>'est3'!$D$42</f>
        <v>Número</v>
      </c>
      <c r="Y32" s="171"/>
    </row>
    <row r="33" spans="3:25" x14ac:dyDescent="0.4">
      <c r="C33" s="171" t="s">
        <v>267</v>
      </c>
      <c r="D33" s="171">
        <f>IF($F$4=parametros!$K$2,'est3'!$D$69,'est3'!$E$69)</f>
        <v>0</v>
      </c>
      <c r="F33" s="171" t="s">
        <v>267</v>
      </c>
      <c r="G33" s="171">
        <f>IF($F$4=parametros!$K$2,'est3'!$D$71,'est3'!$E$71)</f>
        <v>0</v>
      </c>
      <c r="I33" s="171" t="s">
        <v>267</v>
      </c>
      <c r="J33" s="171">
        <f>IF($F$4=parametros!$K$2,'est3'!$D$73,'est3'!$E$73)</f>
        <v>0</v>
      </c>
      <c r="L33" s="171" t="s">
        <v>267</v>
      </c>
      <c r="M33" s="171">
        <f>IF($F$4=parametros!$K$2,'est3'!$D$75,'est3'!$E$75)</f>
        <v>0</v>
      </c>
      <c r="O33" s="171" t="s">
        <v>267</v>
      </c>
      <c r="P33" s="171">
        <f>IF($F$4=parametros!$K$2,'est3'!$D$77,'est3'!$E$77)</f>
        <v>0</v>
      </c>
      <c r="R33" s="171" t="s">
        <v>267</v>
      </c>
      <c r="S33" s="171">
        <f>IF($F$4=parametros!$K$2,'est3'!$D$79,'est3'!$E$79)</f>
        <v>0</v>
      </c>
      <c r="U33" s="171" t="s">
        <v>267</v>
      </c>
      <c r="V33" s="171">
        <f>IF($F$4=parametros!$K$2,'est3'!$D$81,'est3'!$E$81)</f>
        <v>0</v>
      </c>
      <c r="X33" s="171" t="s">
        <v>267</v>
      </c>
      <c r="Y33" s="171">
        <f>IF($F$4=parametros!$K$2,'est3'!$D$83,'est3'!$E$83)</f>
        <v>0</v>
      </c>
    </row>
    <row r="34" spans="3:25" x14ac:dyDescent="0.4">
      <c r="C34" s="171" t="s">
        <v>268</v>
      </c>
      <c r="D34" s="171">
        <f>IF($F$4=parametros!$K$2,'est3'!$D$70,'est3'!$E$70)</f>
        <v>0</v>
      </c>
      <c r="F34" s="171" t="s">
        <v>268</v>
      </c>
      <c r="G34" s="171">
        <f>IF($F$4=parametros!$K$2,'est3'!$D$72,'est3'!$E$72)</f>
        <v>0</v>
      </c>
      <c r="I34" s="171" t="s">
        <v>268</v>
      </c>
      <c r="J34" s="171">
        <f>IF($F$4=parametros!$K$2,'est3'!$D$74,'est3'!$E$74)</f>
        <v>0</v>
      </c>
      <c r="L34" s="171" t="s">
        <v>268</v>
      </c>
      <c r="M34" s="171">
        <f>IF($F$4=parametros!$K$2,'est3'!$D$76,'est3'!$E$76)</f>
        <v>0</v>
      </c>
      <c r="O34" s="171" t="s">
        <v>268</v>
      </c>
      <c r="P34" s="171">
        <f>IF($F$4=parametros!$K$2,'est3'!$D$78,'est3'!$E$78)</f>
        <v>0</v>
      </c>
      <c r="R34" s="171" t="s">
        <v>268</v>
      </c>
      <c r="S34" s="171">
        <f>IF($F$4=parametros!$K$2,'est3'!$D$80,'est3'!$E$80)</f>
        <v>0</v>
      </c>
      <c r="U34" s="171" t="s">
        <v>268</v>
      </c>
      <c r="V34" s="171">
        <f>IF($F$4=parametros!$K$2,'est3'!$D$82,'est3'!$E$82)</f>
        <v>0</v>
      </c>
      <c r="X34" s="171" t="s">
        <v>268</v>
      </c>
      <c r="Y34" s="171">
        <f>IF($F$4=parametros!$K$2,'est3'!$D$84,'est3'!$E$84)</f>
        <v>0</v>
      </c>
    </row>
    <row r="35" spans="3:25" ht="7.95" customHeight="1" x14ac:dyDescent="0.4">
      <c r="C35" s="171"/>
      <c r="D35" s="171"/>
      <c r="F35" s="171"/>
      <c r="G35" s="171"/>
      <c r="I35" s="171"/>
      <c r="J35" s="171"/>
      <c r="L35" s="171"/>
      <c r="M35" s="171"/>
      <c r="O35" s="171"/>
      <c r="P35" s="171"/>
      <c r="R35" s="171"/>
      <c r="S35" s="171"/>
      <c r="U35" s="171"/>
      <c r="V35" s="171"/>
      <c r="X35" s="171"/>
      <c r="Y35" s="171"/>
    </row>
    <row r="36" spans="3:25" x14ac:dyDescent="0.4">
      <c r="C36" s="265">
        <f>IFERROR(IF(D33&gt;D34,D34/D33,D33/D34),0)</f>
        <v>0</v>
      </c>
      <c r="D36" s="265"/>
      <c r="E36" s="150"/>
      <c r="F36" s="265">
        <f>IFERROR(IF(G33&gt;G34,G34/G33,G33/G34),0)</f>
        <v>0</v>
      </c>
      <c r="G36" s="265"/>
      <c r="H36" s="150"/>
      <c r="I36" s="265">
        <f>IFERROR(IF(J33&gt;J34,J34/J33,J33/J34),0)</f>
        <v>0</v>
      </c>
      <c r="J36" s="265"/>
      <c r="K36" s="150"/>
      <c r="L36" s="265">
        <f>IFERROR(IF(M33&gt;M34,M34/M33,M33/M34),0)</f>
        <v>0</v>
      </c>
      <c r="M36" s="265"/>
      <c r="N36" s="150"/>
      <c r="O36" s="265">
        <f>IFERROR(IF(P33&gt;P34,P34/P33,P33/P34),0)</f>
        <v>0</v>
      </c>
      <c r="P36" s="265"/>
      <c r="Q36" s="150"/>
      <c r="R36" s="265">
        <f>IFERROR(IF(S33&gt;S34,S34/S33,S33/S34),0)</f>
        <v>0</v>
      </c>
      <c r="S36" s="265"/>
      <c r="T36" s="150"/>
      <c r="U36" s="265">
        <f>IFERROR(IF(V33&gt;V34,V34/V33,V33/V34),0)</f>
        <v>0</v>
      </c>
      <c r="V36" s="265"/>
      <c r="W36" s="150"/>
      <c r="X36" s="265">
        <f>IFERROR(IF(Y33&gt;Y34,Y34/Y33,Y33/Y34),0)</f>
        <v>0</v>
      </c>
      <c r="Y36" s="265"/>
    </row>
    <row r="37" spans="3:25" ht="7.95" customHeight="1" x14ac:dyDescent="0.4">
      <c r="C37" s="171"/>
      <c r="D37" s="171"/>
      <c r="F37" s="171"/>
      <c r="G37" s="171"/>
      <c r="I37" s="171"/>
      <c r="J37" s="171"/>
      <c r="L37" s="171"/>
      <c r="M37" s="171"/>
      <c r="O37" s="171"/>
      <c r="P37" s="171"/>
      <c r="R37" s="171"/>
      <c r="S37" s="171"/>
      <c r="U37" s="171"/>
      <c r="V37" s="171"/>
      <c r="X37" s="171"/>
      <c r="Y37" s="171"/>
    </row>
    <row r="38" spans="3:25" ht="4.95" customHeight="1" x14ac:dyDescent="0.4"/>
    <row r="39" spans="3:25" s="2" customFormat="1" ht="22.05" customHeight="1" x14ac:dyDescent="0.3">
      <c r="C39" s="173" t="s">
        <v>76</v>
      </c>
      <c r="D39" s="173"/>
      <c r="E39" s="173"/>
      <c r="F39" s="173"/>
    </row>
    <row r="40" spans="3:25" ht="4.95" customHeight="1" x14ac:dyDescent="0.4"/>
    <row r="41" spans="3:25" ht="7.95" customHeight="1" x14ac:dyDescent="0.4">
      <c r="C41" s="171"/>
      <c r="D41" s="171"/>
      <c r="F41" s="171"/>
      <c r="G41" s="171"/>
      <c r="I41" s="171"/>
      <c r="J41" s="171"/>
      <c r="L41" s="171"/>
      <c r="M41" s="171"/>
      <c r="O41" s="171"/>
      <c r="P41" s="171"/>
      <c r="R41" s="171"/>
      <c r="S41" s="171"/>
      <c r="U41" s="171"/>
      <c r="V41" s="171"/>
      <c r="X41" s="171"/>
      <c r="Y41" s="171"/>
    </row>
    <row r="42" spans="3:25" x14ac:dyDescent="0.4">
      <c r="C42" s="172" t="str">
        <f>'est4'!$C$59</f>
        <v xml:space="preserve">: </v>
      </c>
      <c r="D42" s="172"/>
      <c r="F42" s="172" t="str">
        <f>'est4'!$C$60</f>
        <v xml:space="preserve">: </v>
      </c>
      <c r="G42" s="172"/>
      <c r="I42" s="172" t="str">
        <f>'est4'!$C$61</f>
        <v xml:space="preserve">: </v>
      </c>
      <c r="J42" s="172"/>
      <c r="L42" s="172" t="str">
        <f>'est4'!$C$62</f>
        <v xml:space="preserve">: </v>
      </c>
      <c r="M42" s="172"/>
      <c r="O42" s="172" t="str">
        <f>'est4'!$C$63</f>
        <v xml:space="preserve">: </v>
      </c>
      <c r="P42" s="172"/>
      <c r="R42" s="172" t="str">
        <f>'est4'!$C$64</f>
        <v xml:space="preserve">: </v>
      </c>
      <c r="S42" s="172"/>
      <c r="U42" s="172" t="str">
        <f>'est4'!$C$65</f>
        <v xml:space="preserve">: </v>
      </c>
      <c r="V42" s="172"/>
      <c r="X42" s="172" t="str">
        <f>'est4'!$C$66</f>
        <v xml:space="preserve">: </v>
      </c>
      <c r="Y42" s="172"/>
    </row>
    <row r="43" spans="3:25" x14ac:dyDescent="0.4">
      <c r="C43" s="171" t="str">
        <f>'est1'!$D$7</f>
        <v>R$</v>
      </c>
      <c r="D43" s="171"/>
      <c r="F43" s="171" t="str">
        <f>'est1'!$D$12</f>
        <v>Número</v>
      </c>
      <c r="G43" s="171"/>
      <c r="I43" s="171" t="str">
        <f>'est1'!$D$17</f>
        <v>Número</v>
      </c>
      <c r="J43" s="171"/>
      <c r="L43" s="171" t="str">
        <f>'est1'!$D$22</f>
        <v>Número</v>
      </c>
      <c r="M43" s="171"/>
      <c r="O43" s="171" t="str">
        <f>'est1'!$D$27</f>
        <v>Número</v>
      </c>
      <c r="P43" s="171"/>
      <c r="R43" s="171" t="str">
        <f>'est1'!$D$32</f>
        <v>Número</v>
      </c>
      <c r="S43" s="171"/>
      <c r="U43" s="171" t="str">
        <f>'est1'!$D$37</f>
        <v>Número</v>
      </c>
      <c r="V43" s="171"/>
      <c r="X43" s="171" t="str">
        <f>'est1'!$D$42</f>
        <v>Número</v>
      </c>
      <c r="Y43" s="171"/>
    </row>
    <row r="44" spans="3:25" x14ac:dyDescent="0.4">
      <c r="C44" s="171" t="s">
        <v>267</v>
      </c>
      <c r="D44" s="171">
        <f>IF($F$4=parametros!$K$2,'est4'!$D$69,'est4'!$E$69)</f>
        <v>0</v>
      </c>
      <c r="F44" s="171" t="s">
        <v>267</v>
      </c>
      <c r="G44" s="171">
        <f>IF($F$4=parametros!$K$2,'est4'!$D$71,'est4'!$E$71)</f>
        <v>0</v>
      </c>
      <c r="I44" s="171" t="s">
        <v>267</v>
      </c>
      <c r="J44" s="171">
        <f>IF($F$4=parametros!$K$2,'est4'!$D$73,'est4'!$E$73)</f>
        <v>0</v>
      </c>
      <c r="L44" s="171" t="s">
        <v>267</v>
      </c>
      <c r="M44" s="171">
        <f>IF($F$4=parametros!$K$2,'est4'!$D$75,'est4'!$E$75)</f>
        <v>0</v>
      </c>
      <c r="O44" s="171" t="s">
        <v>267</v>
      </c>
      <c r="P44" s="171">
        <f>IF($F$4=parametros!$K$2,'est4'!$D$77,'est4'!$E$77)</f>
        <v>0</v>
      </c>
      <c r="R44" s="171" t="s">
        <v>267</v>
      </c>
      <c r="S44" s="171">
        <f>IF($F$4=parametros!$K$2,'est4'!$D$79,'est4'!$E$79)</f>
        <v>0</v>
      </c>
      <c r="U44" s="171" t="s">
        <v>267</v>
      </c>
      <c r="V44" s="171">
        <f>IF($F$4=parametros!$K$2,'est4'!$D$81,'est4'!$E$81)</f>
        <v>0</v>
      </c>
      <c r="X44" s="171" t="s">
        <v>267</v>
      </c>
      <c r="Y44" s="171">
        <f>IF($F$4=parametros!$K$2,'est4'!$D$83,'est4'!$E$83)</f>
        <v>0</v>
      </c>
    </row>
    <row r="45" spans="3:25" x14ac:dyDescent="0.4">
      <c r="C45" s="171" t="s">
        <v>268</v>
      </c>
      <c r="D45" s="171">
        <f>IF($F$4=parametros!$K$2,'est4'!$D$70,'est4'!$E$70)</f>
        <v>0</v>
      </c>
      <c r="F45" s="171" t="s">
        <v>268</v>
      </c>
      <c r="G45" s="171">
        <f>IF($F$4=parametros!$K$2,'est4'!$D$72,'est4'!$E$72)</f>
        <v>0</v>
      </c>
      <c r="I45" s="171" t="s">
        <v>268</v>
      </c>
      <c r="J45" s="171">
        <f>IF($F$4=parametros!$K$2,'est4'!$D$74,'est4'!$E$74)</f>
        <v>0</v>
      </c>
      <c r="L45" s="171" t="s">
        <v>268</v>
      </c>
      <c r="M45" s="171">
        <f>IF($F$4=parametros!$K$2,'est4'!$D$76,'est4'!$E$76)</f>
        <v>0</v>
      </c>
      <c r="O45" s="171" t="s">
        <v>268</v>
      </c>
      <c r="P45" s="171">
        <f>IF($F$4=parametros!$K$2,'est4'!$D$78,'est4'!$E$78)</f>
        <v>0</v>
      </c>
      <c r="R45" s="171" t="s">
        <v>268</v>
      </c>
      <c r="S45" s="171">
        <f>IF($F$4=parametros!$K$2,'est4'!$D$80,'est4'!$E$80)</f>
        <v>0</v>
      </c>
      <c r="U45" s="171" t="s">
        <v>268</v>
      </c>
      <c r="V45" s="171">
        <f>IF($F$4=parametros!$K$2,'est4'!$D$82,'est4'!$E$82)</f>
        <v>0</v>
      </c>
      <c r="X45" s="171" t="s">
        <v>268</v>
      </c>
      <c r="Y45" s="171">
        <f>IF($F$4=parametros!$K$2,'est4'!$D$84,'est4'!$E$84)</f>
        <v>0</v>
      </c>
    </row>
    <row r="46" spans="3:25" ht="7.95" customHeight="1" x14ac:dyDescent="0.4">
      <c r="C46" s="171"/>
      <c r="D46" s="171"/>
      <c r="F46" s="171"/>
      <c r="G46" s="171"/>
      <c r="I46" s="171"/>
      <c r="J46" s="171"/>
      <c r="L46" s="171"/>
      <c r="M46" s="171"/>
      <c r="O46" s="171"/>
      <c r="P46" s="171"/>
      <c r="R46" s="171"/>
      <c r="S46" s="171"/>
      <c r="U46" s="171"/>
      <c r="V46" s="171"/>
      <c r="X46" s="171"/>
      <c r="Y46" s="171"/>
    </row>
    <row r="47" spans="3:25" x14ac:dyDescent="0.4">
      <c r="C47" s="265">
        <f>IFERROR(IF(D44&gt;D45,D45/D44,D44/D45),0)</f>
        <v>0</v>
      </c>
      <c r="D47" s="265"/>
      <c r="E47" s="150"/>
      <c r="F47" s="265">
        <f>IFERROR(IF(G44&gt;G45,G45/G44,G44/G45),0)</f>
        <v>0</v>
      </c>
      <c r="G47" s="265"/>
      <c r="H47" s="150"/>
      <c r="I47" s="265">
        <f>IFERROR(IF(J44&gt;J45,J45/J44,J44/J45),0)</f>
        <v>0</v>
      </c>
      <c r="J47" s="265"/>
      <c r="K47" s="150"/>
      <c r="L47" s="265">
        <f>IFERROR(IF(M44&gt;M45,M45/M44,M44/M45),0)</f>
        <v>0</v>
      </c>
      <c r="M47" s="265"/>
      <c r="N47" s="150"/>
      <c r="O47" s="265">
        <f>IFERROR(IF(P44&gt;P45,P45/P44,P44/P45),0)</f>
        <v>0</v>
      </c>
      <c r="P47" s="265"/>
      <c r="Q47" s="150"/>
      <c r="R47" s="265">
        <f>IFERROR(IF(S44&gt;S45,S45/S44,S44/S45),0)</f>
        <v>0</v>
      </c>
      <c r="S47" s="265"/>
      <c r="T47" s="150"/>
      <c r="U47" s="265">
        <f>IFERROR(IF(V44&gt;V45,V45/V44,V44/V45),0)</f>
        <v>0</v>
      </c>
      <c r="V47" s="265"/>
      <c r="W47" s="150"/>
      <c r="X47" s="265">
        <f>IFERROR(IF(Y44&gt;Y45,Y45/Y44,Y44/Y45),0)</f>
        <v>0</v>
      </c>
      <c r="Y47" s="265"/>
    </row>
    <row r="48" spans="3:25" ht="7.95" customHeight="1" x14ac:dyDescent="0.4">
      <c r="C48" s="171"/>
      <c r="D48" s="171"/>
      <c r="F48" s="171"/>
      <c r="G48" s="171"/>
      <c r="I48" s="171"/>
      <c r="J48" s="171"/>
      <c r="L48" s="171"/>
      <c r="M48" s="171"/>
      <c r="O48" s="171"/>
      <c r="P48" s="171"/>
      <c r="R48" s="171"/>
      <c r="S48" s="171"/>
      <c r="U48" s="171"/>
      <c r="V48" s="171"/>
      <c r="X48" s="171"/>
      <c r="Y48" s="171"/>
    </row>
    <row r="49" ht="4.95" customHeight="1" x14ac:dyDescent="0.4"/>
  </sheetData>
  <mergeCells count="34">
    <mergeCell ref="U47:V47"/>
    <mergeCell ref="X47:Y47"/>
    <mergeCell ref="C4:D4"/>
    <mergeCell ref="F4:G4"/>
    <mergeCell ref="C47:D47"/>
    <mergeCell ref="F47:G47"/>
    <mergeCell ref="I47:J47"/>
    <mergeCell ref="L47:M47"/>
    <mergeCell ref="O47:P47"/>
    <mergeCell ref="R47:S47"/>
    <mergeCell ref="U25:V25"/>
    <mergeCell ref="X25:Y25"/>
    <mergeCell ref="C36:D36"/>
    <mergeCell ref="F36:G36"/>
    <mergeCell ref="I36:J36"/>
    <mergeCell ref="L36:M36"/>
    <mergeCell ref="O36:P36"/>
    <mergeCell ref="R36:S36"/>
    <mergeCell ref="U36:V36"/>
    <mergeCell ref="X36:Y36"/>
    <mergeCell ref="C25:D25"/>
    <mergeCell ref="F25:G25"/>
    <mergeCell ref="I25:J25"/>
    <mergeCell ref="L25:M25"/>
    <mergeCell ref="O25:P25"/>
    <mergeCell ref="R25:S25"/>
    <mergeCell ref="I14:J14"/>
    <mergeCell ref="F14:G14"/>
    <mergeCell ref="C14:D14"/>
    <mergeCell ref="X14:Y14"/>
    <mergeCell ref="U14:V14"/>
    <mergeCell ref="R14:S14"/>
    <mergeCell ref="O14:P14"/>
    <mergeCell ref="L14:M14"/>
  </mergeCells>
  <conditionalFormatting sqref="C14:D14">
    <cfRule type="dataBar" priority="8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{E16B0309-F9FE-44C0-ACD9-297E1E23A772}</x14:id>
        </ext>
      </extLst>
    </cfRule>
  </conditionalFormatting>
  <conditionalFormatting sqref="C25:D25">
    <cfRule type="dataBar" priority="253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{83FDB771-2719-4F5F-9C64-2DBA71B06C4D}</x14:id>
        </ext>
      </extLst>
    </cfRule>
  </conditionalFormatting>
  <conditionalFormatting sqref="C36:D36">
    <cfRule type="dataBar" priority="24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{97059FEC-5A2C-48D3-AA61-84E7A70B7F4D}</x14:id>
        </ext>
      </extLst>
    </cfRule>
  </conditionalFormatting>
  <conditionalFormatting sqref="C47:D47">
    <cfRule type="dataBar" priority="16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{B1F18819-4B8B-414F-ACB9-201AA893BB52}</x14:id>
        </ext>
      </extLst>
    </cfRule>
  </conditionalFormatting>
  <conditionalFormatting sqref="F14:G14">
    <cfRule type="dataBar" priority="7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{B2FFBCA8-FEE1-4A52-9302-4E6A22CC1E98}</x14:id>
        </ext>
      </extLst>
    </cfRule>
  </conditionalFormatting>
  <conditionalFormatting sqref="F25:G25">
    <cfRule type="dataBar" priority="31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{4B8BA7C8-3899-4ADD-8680-C5DE9BD08F5D}</x14:id>
        </ext>
      </extLst>
    </cfRule>
  </conditionalFormatting>
  <conditionalFormatting sqref="F36:G36">
    <cfRule type="dataBar" priority="23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{981F974C-C108-4BFB-B740-67FF688B171C}</x14:id>
        </ext>
      </extLst>
    </cfRule>
  </conditionalFormatting>
  <conditionalFormatting sqref="F47:G47">
    <cfRule type="dataBar" priority="15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{1C8F9500-7655-41E8-BE25-30F21BBAC0C7}</x14:id>
        </ext>
      </extLst>
    </cfRule>
  </conditionalFormatting>
  <conditionalFormatting sqref="I14:J14">
    <cfRule type="dataBar" priority="6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{32494968-B3B8-4E7C-9823-0E813637C220}</x14:id>
        </ext>
      </extLst>
    </cfRule>
  </conditionalFormatting>
  <conditionalFormatting sqref="I25:J25">
    <cfRule type="dataBar" priority="30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{CDF80D84-B6B1-4157-A42F-8A38A3049589}</x14:id>
        </ext>
      </extLst>
    </cfRule>
  </conditionalFormatting>
  <conditionalFormatting sqref="I36:J36">
    <cfRule type="dataBar" priority="22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{A0F3278A-252D-40F6-B9F1-854DAE8D3207}</x14:id>
        </ext>
      </extLst>
    </cfRule>
  </conditionalFormatting>
  <conditionalFormatting sqref="I47:J47">
    <cfRule type="dataBar" priority="14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{3007CD52-276E-428B-AAF1-F9D92B0FB087}</x14:id>
        </ext>
      </extLst>
    </cfRule>
  </conditionalFormatting>
  <conditionalFormatting sqref="L14:M14">
    <cfRule type="dataBar" priority="5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{0DF2E596-4609-4937-BE77-DFBA5BF87C80}</x14:id>
        </ext>
      </extLst>
    </cfRule>
  </conditionalFormatting>
  <conditionalFormatting sqref="L25:M25">
    <cfRule type="dataBar" priority="29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{3148ECB5-9DFC-4920-9546-7E66D3178047}</x14:id>
        </ext>
      </extLst>
    </cfRule>
  </conditionalFormatting>
  <conditionalFormatting sqref="L36:M36">
    <cfRule type="dataBar" priority="21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{864F23BE-77E3-4A55-98AE-DD09DE2A7238}</x14:id>
        </ext>
      </extLst>
    </cfRule>
  </conditionalFormatting>
  <conditionalFormatting sqref="L47:M47">
    <cfRule type="dataBar" priority="13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{F13282AD-2FD3-447A-8A3C-E52AF3F761C3}</x14:id>
        </ext>
      </extLst>
    </cfRule>
  </conditionalFormatting>
  <conditionalFormatting sqref="O14:P14">
    <cfRule type="dataBar" priority="4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{9DA2146E-9AE8-4407-A857-7C60D3067FB5}</x14:id>
        </ext>
      </extLst>
    </cfRule>
  </conditionalFormatting>
  <conditionalFormatting sqref="O25:P25">
    <cfRule type="dataBar" priority="28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{8ED96F38-E007-40BB-9942-F6FE3C4E2E81}</x14:id>
        </ext>
      </extLst>
    </cfRule>
  </conditionalFormatting>
  <conditionalFormatting sqref="O36:P36">
    <cfRule type="dataBar" priority="20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{31DFE554-4614-41E8-BD99-1A0C249F0F36}</x14:id>
        </ext>
      </extLst>
    </cfRule>
  </conditionalFormatting>
  <conditionalFormatting sqref="O47:P47">
    <cfRule type="dataBar" priority="12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{4BDC01FB-DF0A-4BC4-8337-CF7BEBFB4CE3}</x14:id>
        </ext>
      </extLst>
    </cfRule>
  </conditionalFormatting>
  <conditionalFormatting sqref="R14:S14">
    <cfRule type="dataBar" priority="3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{9A9BECB5-6928-4EC2-ACC1-8548DD001683}</x14:id>
        </ext>
      </extLst>
    </cfRule>
  </conditionalFormatting>
  <conditionalFormatting sqref="R25:S25">
    <cfRule type="dataBar" priority="27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{CBCFB6D9-4D3C-4C11-B133-FA5DDB508F84}</x14:id>
        </ext>
      </extLst>
    </cfRule>
  </conditionalFormatting>
  <conditionalFormatting sqref="R36:S36">
    <cfRule type="dataBar" priority="19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{42BF2D5B-2881-469E-A14B-42AD7D08E30D}</x14:id>
        </ext>
      </extLst>
    </cfRule>
  </conditionalFormatting>
  <conditionalFormatting sqref="R47:S47">
    <cfRule type="dataBar" priority="11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{6B1740F6-3BF2-4BAB-944E-EEF269E29FEF}</x14:id>
        </ext>
      </extLst>
    </cfRule>
  </conditionalFormatting>
  <conditionalFormatting sqref="U14:V14">
    <cfRule type="dataBar" priority="2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{11DA8FC9-B027-4EC4-A8B9-09194549AA59}</x14:id>
        </ext>
      </extLst>
    </cfRule>
  </conditionalFormatting>
  <conditionalFormatting sqref="U25:V25">
    <cfRule type="dataBar" priority="26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{F686FBF5-520F-40EC-8916-E783BFCD9B85}</x14:id>
        </ext>
      </extLst>
    </cfRule>
  </conditionalFormatting>
  <conditionalFormatting sqref="U36:V36">
    <cfRule type="dataBar" priority="18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{0AFF1499-4593-40E9-BB3C-F6A4884BA3A3}</x14:id>
        </ext>
      </extLst>
    </cfRule>
  </conditionalFormatting>
  <conditionalFormatting sqref="U47:V47">
    <cfRule type="dataBar" priority="10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{63AF99F6-DA54-4548-AB8D-6183C18DBFCE}</x14:id>
        </ext>
      </extLst>
    </cfRule>
  </conditionalFormatting>
  <conditionalFormatting sqref="X14:Y14">
    <cfRule type="dataBar" priority="1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{45C29B2A-E1A4-4C71-8658-CBB05058E4C6}</x14:id>
        </ext>
      </extLst>
    </cfRule>
  </conditionalFormatting>
  <conditionalFormatting sqref="X25:Y25">
    <cfRule type="dataBar" priority="25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{2CE15E43-B21F-4390-BEA5-F89011700000}</x14:id>
        </ext>
      </extLst>
    </cfRule>
  </conditionalFormatting>
  <conditionalFormatting sqref="X36:Y36">
    <cfRule type="dataBar" priority="17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{26A2AD35-90F2-4010-A37D-42157E8F7447}</x14:id>
        </ext>
      </extLst>
    </cfRule>
  </conditionalFormatting>
  <conditionalFormatting sqref="X47:Y47">
    <cfRule type="dataBar" priority="9">
      <dataBar>
        <cfvo type="percent" val="0"/>
        <cfvo type="percentile" val="100"/>
        <color rgb="FF609443"/>
      </dataBar>
      <extLst>
        <ext xmlns:x14="http://schemas.microsoft.com/office/spreadsheetml/2009/9/main" uri="{B025F937-C7B1-47D3-B67F-A62EFF666E3E}">
          <x14:id>{0AE773C2-2184-49C2-BEE2-D2F4EDFB5A27}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6B0309-F9FE-44C0-ACD9-297E1E23A772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C14:D14</xm:sqref>
        </x14:conditionalFormatting>
        <x14:conditionalFormatting xmlns:xm="http://schemas.microsoft.com/office/excel/2006/main">
          <x14:cfRule type="dataBar" id="{83FDB771-2719-4F5F-9C64-2DBA71B06C4D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C25:D25</xm:sqref>
        </x14:conditionalFormatting>
        <x14:conditionalFormatting xmlns:xm="http://schemas.microsoft.com/office/excel/2006/main">
          <x14:cfRule type="dataBar" id="{97059FEC-5A2C-48D3-AA61-84E7A70B7F4D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C36:D36</xm:sqref>
        </x14:conditionalFormatting>
        <x14:conditionalFormatting xmlns:xm="http://schemas.microsoft.com/office/excel/2006/main">
          <x14:cfRule type="dataBar" id="{B1F18819-4B8B-414F-ACB9-201AA893BB52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C47:D47</xm:sqref>
        </x14:conditionalFormatting>
        <x14:conditionalFormatting xmlns:xm="http://schemas.microsoft.com/office/excel/2006/main">
          <x14:cfRule type="expression" priority="290" id="{C4661A41-493F-4F2F-8584-A07D782A1B74}">
            <xm:f>$C$10=parametros!$J$3</xm:f>
            <x14:dxf>
              <numFmt numFmtId="14" formatCode="0.00%"/>
            </x14:dxf>
          </x14:cfRule>
          <x14:cfRule type="expression" priority="289" id="{6DEF1126-2DBE-49B7-A08D-4D057F921244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291" id="{9F41B651-3777-488A-A256-9A4626630564}">
            <xm:f>parametros!$J$2</xm:f>
            <x14:dxf>
              <numFmt numFmtId="1" formatCode="0"/>
            </x14:dxf>
          </x14:cfRule>
          <xm:sqref>D11:D12</xm:sqref>
        </x14:conditionalFormatting>
        <x14:conditionalFormatting xmlns:xm="http://schemas.microsoft.com/office/excel/2006/main">
          <x14:cfRule type="expression" priority="101" id="{B22EDE5E-AA11-42A9-A31A-21BDF03B9BA5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2" id="{820D8363-D424-409D-AE38-E44A541064FC}">
            <xm:f>$C$10=parametros!$J$3</xm:f>
            <x14:dxf>
              <numFmt numFmtId="14" formatCode="0.00%"/>
            </x14:dxf>
          </x14:cfRule>
          <x14:cfRule type="expression" priority="103" id="{7A99509A-11A7-413F-8214-49AF44F00ED9}">
            <xm:f>parametros!$J$2</xm:f>
            <x14:dxf>
              <numFmt numFmtId="1" formatCode="0"/>
            </x14:dxf>
          </x14:cfRule>
          <xm:sqref>D22:D23</xm:sqref>
        </x14:conditionalFormatting>
        <x14:conditionalFormatting xmlns:xm="http://schemas.microsoft.com/office/excel/2006/main">
          <x14:cfRule type="expression" priority="79" id="{ED7000C6-4B69-4A80-8329-820BADEBFC5C}">
            <xm:f>parametros!$J$2</xm:f>
            <x14:dxf>
              <numFmt numFmtId="1" formatCode="0"/>
            </x14:dxf>
          </x14:cfRule>
          <x14:cfRule type="expression" priority="78" id="{3B7E195E-1FBA-41A2-A658-F5F6DE42F968}">
            <xm:f>$C$10=parametros!$J$3</xm:f>
            <x14:dxf>
              <numFmt numFmtId="14" formatCode="0.00%"/>
            </x14:dxf>
          </x14:cfRule>
          <x14:cfRule type="expression" priority="77" id="{DA02B89A-3012-40BB-8D6C-D7A70989A9FE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D33:D34</xm:sqref>
        </x14:conditionalFormatting>
        <x14:conditionalFormatting xmlns:xm="http://schemas.microsoft.com/office/excel/2006/main">
          <x14:cfRule type="expression" priority="55" id="{D4799A12-3309-4BA3-B8CD-C3268A712776}">
            <xm:f>parametros!$J$2</xm:f>
            <x14:dxf>
              <numFmt numFmtId="1" formatCode="0"/>
            </x14:dxf>
          </x14:cfRule>
          <x14:cfRule type="expression" priority="54" id="{789B2147-967D-445E-A48E-2FD392227C8D}">
            <xm:f>$C$10=parametros!$J$3</xm:f>
            <x14:dxf>
              <numFmt numFmtId="14" formatCode="0.00%"/>
            </x14:dxf>
          </x14:cfRule>
          <x14:cfRule type="expression" priority="53" id="{74E3051F-CEC2-4349-A378-59637716A1F1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D44:D45</xm:sqref>
        </x14:conditionalFormatting>
        <x14:conditionalFormatting xmlns:xm="http://schemas.microsoft.com/office/excel/2006/main">
          <x14:cfRule type="dataBar" id="{B2FFBCA8-FEE1-4A52-9302-4E6A22CC1E98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F14:G14</xm:sqref>
        </x14:conditionalFormatting>
        <x14:conditionalFormatting xmlns:xm="http://schemas.microsoft.com/office/excel/2006/main">
          <x14:cfRule type="dataBar" id="{4B8BA7C8-3899-4ADD-8680-C5DE9BD08F5D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F25:G25</xm:sqref>
        </x14:conditionalFormatting>
        <x14:conditionalFormatting xmlns:xm="http://schemas.microsoft.com/office/excel/2006/main">
          <x14:cfRule type="dataBar" id="{981F974C-C108-4BFB-B740-67FF688B171C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F36:G36</xm:sqref>
        </x14:conditionalFormatting>
        <x14:conditionalFormatting xmlns:xm="http://schemas.microsoft.com/office/excel/2006/main">
          <x14:cfRule type="dataBar" id="{1C8F9500-7655-41E8-BE25-30F21BBAC0C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F47:G47</xm:sqref>
        </x14:conditionalFormatting>
        <x14:conditionalFormatting xmlns:xm="http://schemas.microsoft.com/office/excel/2006/main">
          <x14:cfRule type="expression" priority="194" id="{6E95E150-8721-4138-A3E0-2F46E5C52488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95" id="{7F4E083D-93F4-4320-A4FA-15ED80FD26A5}">
            <xm:f>$C$10=parametros!$J$3</xm:f>
            <x14:dxf>
              <numFmt numFmtId="14" formatCode="0.00%"/>
            </x14:dxf>
          </x14:cfRule>
          <x14:cfRule type="expression" priority="196" id="{1A177945-E863-4365-A1A1-4D0D7A5CDEA8}">
            <xm:f>parametros!$J$2</xm:f>
            <x14:dxf>
              <numFmt numFmtId="1" formatCode="0"/>
            </x14:dxf>
          </x14:cfRule>
          <xm:sqref>G11:G12</xm:sqref>
        </x14:conditionalFormatting>
        <x14:conditionalFormatting xmlns:xm="http://schemas.microsoft.com/office/excel/2006/main">
          <x14:cfRule type="expression" priority="99" id="{2B8CBA74-031E-4DEB-84AA-4F9C2B87B5DA}">
            <xm:f>$C$10=parametros!$J$3</xm:f>
            <x14:dxf>
              <numFmt numFmtId="14" formatCode="0.00%"/>
            </x14:dxf>
          </x14:cfRule>
          <x14:cfRule type="expression" priority="98" id="{62B30CA2-A8C3-4F51-8F02-BD95D78AB549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00" id="{E2AF1A9B-E58D-4F89-9A6F-BDAE91C36886}">
            <xm:f>parametros!$J$2</xm:f>
            <x14:dxf>
              <numFmt numFmtId="1" formatCode="0"/>
            </x14:dxf>
          </x14:cfRule>
          <xm:sqref>G22:G23</xm:sqref>
        </x14:conditionalFormatting>
        <x14:conditionalFormatting xmlns:xm="http://schemas.microsoft.com/office/excel/2006/main">
          <x14:cfRule type="expression" priority="75" id="{000EA5C9-D608-42D7-8FF3-24BEAE1C6876}">
            <xm:f>$C$10=parametros!$J$3</xm:f>
            <x14:dxf>
              <numFmt numFmtId="14" formatCode="0.00%"/>
            </x14:dxf>
          </x14:cfRule>
          <x14:cfRule type="expression" priority="76" id="{23602E44-6739-4666-9098-1ADA01F18856}">
            <xm:f>parametros!$J$2</xm:f>
            <x14:dxf>
              <numFmt numFmtId="1" formatCode="0"/>
            </x14:dxf>
          </x14:cfRule>
          <x14:cfRule type="expression" priority="74" id="{B61FB1F1-8E96-4919-9C63-83B990A4DE90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G33:G34</xm:sqref>
        </x14:conditionalFormatting>
        <x14:conditionalFormatting xmlns:xm="http://schemas.microsoft.com/office/excel/2006/main">
          <x14:cfRule type="expression" priority="52" id="{9A4AD844-7720-4356-8C33-5632EFD8F795}">
            <xm:f>parametros!$J$2</xm:f>
            <x14:dxf>
              <numFmt numFmtId="1" formatCode="0"/>
            </x14:dxf>
          </x14:cfRule>
          <x14:cfRule type="expression" priority="51" id="{3B4C8DC4-36CD-4B71-B984-80016B4501A6}">
            <xm:f>$C$10=parametros!$J$3</xm:f>
            <x14:dxf>
              <numFmt numFmtId="14" formatCode="0.00%"/>
            </x14:dxf>
          </x14:cfRule>
          <x14:cfRule type="expression" priority="50" id="{893C4078-E684-4C39-9F61-8EB12AC3709D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G44:G45</xm:sqref>
        </x14:conditionalFormatting>
        <x14:conditionalFormatting xmlns:xm="http://schemas.microsoft.com/office/excel/2006/main">
          <x14:cfRule type="dataBar" id="{32494968-B3B8-4E7C-9823-0E813637C220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I14:J14</xm:sqref>
        </x14:conditionalFormatting>
        <x14:conditionalFormatting xmlns:xm="http://schemas.microsoft.com/office/excel/2006/main">
          <x14:cfRule type="dataBar" id="{CDF80D84-B6B1-4157-A42F-8A38A3049589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dataBar" id="{A0F3278A-252D-40F6-B9F1-854DAE8D320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I36:J36</xm:sqref>
        </x14:conditionalFormatting>
        <x14:conditionalFormatting xmlns:xm="http://schemas.microsoft.com/office/excel/2006/main">
          <x14:cfRule type="dataBar" id="{3007CD52-276E-428B-AAF1-F9D92B0FB08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I47:J47</xm:sqref>
        </x14:conditionalFormatting>
        <x14:conditionalFormatting xmlns:xm="http://schemas.microsoft.com/office/excel/2006/main">
          <x14:cfRule type="expression" priority="191" id="{31026497-5744-4BD2-8C66-15F93F521C76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93" id="{6AF35C10-EFC6-4358-BA5F-E7A96CACD381}">
            <xm:f>parametros!$J$2</xm:f>
            <x14:dxf>
              <numFmt numFmtId="1" formatCode="0"/>
            </x14:dxf>
          </x14:cfRule>
          <x14:cfRule type="expression" priority="192" id="{DADE59C5-C0AE-4722-AD7D-8AE4D0E32681}">
            <xm:f>$C$10=parametros!$J$3</xm:f>
            <x14:dxf>
              <numFmt numFmtId="14" formatCode="0.00%"/>
            </x14:dxf>
          </x14:cfRule>
          <xm:sqref>J11:J12</xm:sqref>
        </x14:conditionalFormatting>
        <x14:conditionalFormatting xmlns:xm="http://schemas.microsoft.com/office/excel/2006/main">
          <x14:cfRule type="expression" priority="96" id="{7D9CB686-F0D5-4B18-BCDA-F562A326D8B8}">
            <xm:f>$C$10=parametros!$J$3</xm:f>
            <x14:dxf>
              <numFmt numFmtId="14" formatCode="0.00%"/>
            </x14:dxf>
          </x14:cfRule>
          <x14:cfRule type="expression" priority="97" id="{B3CEF29C-CF2D-4824-AB9B-2477E74C7F8F}">
            <xm:f>parametros!$J$2</xm:f>
            <x14:dxf>
              <numFmt numFmtId="1" formatCode="0"/>
            </x14:dxf>
          </x14:cfRule>
          <x14:cfRule type="expression" priority="95" id="{D34F452B-4CE3-4D0F-A52A-B169A8F920F7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J22:J23</xm:sqref>
        </x14:conditionalFormatting>
        <x14:conditionalFormatting xmlns:xm="http://schemas.microsoft.com/office/excel/2006/main">
          <x14:cfRule type="expression" priority="73" id="{4004E987-736E-49AE-BF49-9F2BF54C5566}">
            <xm:f>parametros!$J$2</xm:f>
            <x14:dxf>
              <numFmt numFmtId="1" formatCode="0"/>
            </x14:dxf>
          </x14:cfRule>
          <x14:cfRule type="expression" priority="72" id="{AEB3F61F-334C-418D-91D3-7A6020FB4107}">
            <xm:f>$C$10=parametros!$J$3</xm:f>
            <x14:dxf>
              <numFmt numFmtId="14" formatCode="0.00%"/>
            </x14:dxf>
          </x14:cfRule>
          <x14:cfRule type="expression" priority="71" id="{4F96DB95-5E66-41F7-8573-B6A70B83B4F4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J33:J34</xm:sqref>
        </x14:conditionalFormatting>
        <x14:conditionalFormatting xmlns:xm="http://schemas.microsoft.com/office/excel/2006/main">
          <x14:cfRule type="expression" priority="48" id="{5FE25095-2E96-471D-BEFD-33E59DED00B5}">
            <xm:f>$C$10=parametros!$J$3</xm:f>
            <x14:dxf>
              <numFmt numFmtId="14" formatCode="0.00%"/>
            </x14:dxf>
          </x14:cfRule>
          <x14:cfRule type="expression" priority="47" id="{CC9913CE-9914-4F55-B995-BE8B2A26F06F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49" id="{1AFA5987-AB87-4622-BCF2-FE2938AE245E}">
            <xm:f>parametros!$J$2</xm:f>
            <x14:dxf>
              <numFmt numFmtId="1" formatCode="0"/>
            </x14:dxf>
          </x14:cfRule>
          <xm:sqref>J44:J45</xm:sqref>
        </x14:conditionalFormatting>
        <x14:conditionalFormatting xmlns:xm="http://schemas.microsoft.com/office/excel/2006/main">
          <x14:cfRule type="dataBar" id="{0DF2E596-4609-4937-BE77-DFBA5BF87C80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L14:M14</xm:sqref>
        </x14:conditionalFormatting>
        <x14:conditionalFormatting xmlns:xm="http://schemas.microsoft.com/office/excel/2006/main">
          <x14:cfRule type="dataBar" id="{3148ECB5-9DFC-4920-9546-7E66D317804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L25:M25</xm:sqref>
        </x14:conditionalFormatting>
        <x14:conditionalFormatting xmlns:xm="http://schemas.microsoft.com/office/excel/2006/main">
          <x14:cfRule type="dataBar" id="{864F23BE-77E3-4A55-98AE-DD09DE2A7238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L36:M36</xm:sqref>
        </x14:conditionalFormatting>
        <x14:conditionalFormatting xmlns:xm="http://schemas.microsoft.com/office/excel/2006/main">
          <x14:cfRule type="dataBar" id="{F13282AD-2FD3-447A-8A3C-E52AF3F761C3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L47:M47</xm:sqref>
        </x14:conditionalFormatting>
        <x14:conditionalFormatting xmlns:xm="http://schemas.microsoft.com/office/excel/2006/main">
          <x14:cfRule type="expression" priority="188" id="{5DE0CBF3-D6B8-4EB1-A19B-2BD8B5D8BB48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89" id="{C10CEE9F-842F-4A76-89B5-43D6D0A4968B}">
            <xm:f>$C$10=parametros!$J$3</xm:f>
            <x14:dxf>
              <numFmt numFmtId="14" formatCode="0.00%"/>
            </x14:dxf>
          </x14:cfRule>
          <x14:cfRule type="expression" priority="190" id="{E06DFFF1-30EA-43D3-8718-4DAA8430FF67}">
            <xm:f>parametros!$J$2</xm:f>
            <x14:dxf>
              <numFmt numFmtId="1" formatCode="0"/>
            </x14:dxf>
          </x14:cfRule>
          <xm:sqref>M11:M12</xm:sqref>
        </x14:conditionalFormatting>
        <x14:conditionalFormatting xmlns:xm="http://schemas.microsoft.com/office/excel/2006/main">
          <x14:cfRule type="expression" priority="92" id="{D0C586D6-6EE4-43E3-8891-B288D9A9EC0E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3" id="{42AD5B7D-7B0B-4729-8916-906718B7F2FD}">
            <xm:f>$C$10=parametros!$J$3</xm:f>
            <x14:dxf>
              <numFmt numFmtId="14" formatCode="0.00%"/>
            </x14:dxf>
          </x14:cfRule>
          <x14:cfRule type="expression" priority="94" id="{BBCBFA10-2E61-4D13-A6A5-D376C133BBB0}">
            <xm:f>parametros!$J$2</xm:f>
            <x14:dxf>
              <numFmt numFmtId="1" formatCode="0"/>
            </x14:dxf>
          </x14:cfRule>
          <xm:sqref>M22:M23</xm:sqref>
        </x14:conditionalFormatting>
        <x14:conditionalFormatting xmlns:xm="http://schemas.microsoft.com/office/excel/2006/main">
          <x14:cfRule type="expression" priority="70" id="{9542C9E9-21D9-4909-AEF5-364F05DBCD88}">
            <xm:f>parametros!$J$2</xm:f>
            <x14:dxf>
              <numFmt numFmtId="1" formatCode="0"/>
            </x14:dxf>
          </x14:cfRule>
          <x14:cfRule type="expression" priority="69" id="{C449826F-A09C-4668-B49F-138E06AC8F2E}">
            <xm:f>$C$10=parametros!$J$3</xm:f>
            <x14:dxf>
              <numFmt numFmtId="14" formatCode="0.00%"/>
            </x14:dxf>
          </x14:cfRule>
          <x14:cfRule type="expression" priority="68" id="{450A938F-72FE-4159-8D46-1B6592C32A7C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M33:M34</xm:sqref>
        </x14:conditionalFormatting>
        <x14:conditionalFormatting xmlns:xm="http://schemas.microsoft.com/office/excel/2006/main">
          <x14:cfRule type="expression" priority="44" id="{64E29D52-6420-4D91-800C-B7AE3A530FE1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45" id="{65C91BFD-B2BD-49BD-B401-BBD93BC22416}">
            <xm:f>$C$10=parametros!$J$3</xm:f>
            <x14:dxf>
              <numFmt numFmtId="14" formatCode="0.00%"/>
            </x14:dxf>
          </x14:cfRule>
          <x14:cfRule type="expression" priority="46" id="{43DD118E-F71B-48F2-AD2E-B129E2843BB0}">
            <xm:f>parametros!$J$2</xm:f>
            <x14:dxf>
              <numFmt numFmtId="1" formatCode="0"/>
            </x14:dxf>
          </x14:cfRule>
          <xm:sqref>M44:M45</xm:sqref>
        </x14:conditionalFormatting>
        <x14:conditionalFormatting xmlns:xm="http://schemas.microsoft.com/office/excel/2006/main">
          <x14:cfRule type="dataBar" id="{9DA2146E-9AE8-4407-A857-7C60D3067FB5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O14:P14</xm:sqref>
        </x14:conditionalFormatting>
        <x14:conditionalFormatting xmlns:xm="http://schemas.microsoft.com/office/excel/2006/main">
          <x14:cfRule type="dataBar" id="{8ED96F38-E007-40BB-9942-F6FE3C4E2E81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O25:P25</xm:sqref>
        </x14:conditionalFormatting>
        <x14:conditionalFormatting xmlns:xm="http://schemas.microsoft.com/office/excel/2006/main">
          <x14:cfRule type="dataBar" id="{31DFE554-4614-41E8-BD99-1A0C249F0F36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O36:P36</xm:sqref>
        </x14:conditionalFormatting>
        <x14:conditionalFormatting xmlns:xm="http://schemas.microsoft.com/office/excel/2006/main">
          <x14:cfRule type="dataBar" id="{4BDC01FB-DF0A-4BC4-8337-CF7BEBFB4CE3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O47:P47</xm:sqref>
        </x14:conditionalFormatting>
        <x14:conditionalFormatting xmlns:xm="http://schemas.microsoft.com/office/excel/2006/main">
          <x14:cfRule type="expression" priority="185" id="{10F45FB1-334E-4D91-AE42-6222008F3DCC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86" id="{E47A8530-A428-449C-BAC5-44DF9FE766C2}">
            <xm:f>$C$10=parametros!$J$3</xm:f>
            <x14:dxf>
              <numFmt numFmtId="14" formatCode="0.00%"/>
            </x14:dxf>
          </x14:cfRule>
          <x14:cfRule type="expression" priority="187" id="{CFA8D5EB-F7CA-4D20-83AF-D9C1272247DA}">
            <xm:f>parametros!$J$2</xm:f>
            <x14:dxf>
              <numFmt numFmtId="1" formatCode="0"/>
            </x14:dxf>
          </x14:cfRule>
          <xm:sqref>P11:P12</xm:sqref>
        </x14:conditionalFormatting>
        <x14:conditionalFormatting xmlns:xm="http://schemas.microsoft.com/office/excel/2006/main">
          <x14:cfRule type="expression" priority="90" id="{91B192D2-690D-47B8-802E-F38A461D9F54}">
            <xm:f>$C$10=parametros!$J$3</xm:f>
            <x14:dxf>
              <numFmt numFmtId="14" formatCode="0.00%"/>
            </x14:dxf>
          </x14:cfRule>
          <x14:cfRule type="expression" priority="89" id="{75C9B173-9D26-47B7-8D94-F02DB5886FF6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91" id="{C2A889E2-912C-454A-8CA6-A4D400800AD5}">
            <xm:f>parametros!$J$2</xm:f>
            <x14:dxf>
              <numFmt numFmtId="1" formatCode="0"/>
            </x14:dxf>
          </x14:cfRule>
          <xm:sqref>P22:P23</xm:sqref>
        </x14:conditionalFormatting>
        <x14:conditionalFormatting xmlns:xm="http://schemas.microsoft.com/office/excel/2006/main">
          <x14:cfRule type="expression" priority="66" id="{EDD6AA93-4E44-4578-B148-70F9BD948A34}">
            <xm:f>$C$10=parametros!$J$3</xm:f>
            <x14:dxf>
              <numFmt numFmtId="14" formatCode="0.00%"/>
            </x14:dxf>
          </x14:cfRule>
          <x14:cfRule type="expression" priority="67" id="{8032D7ED-A487-41DB-9FFC-9F7C2C62D464}">
            <xm:f>parametros!$J$2</xm:f>
            <x14:dxf>
              <numFmt numFmtId="1" formatCode="0"/>
            </x14:dxf>
          </x14:cfRule>
          <x14:cfRule type="expression" priority="65" id="{64EA6B64-AC4B-4148-9309-1EDB620F6ABA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P33:P34</xm:sqref>
        </x14:conditionalFormatting>
        <x14:conditionalFormatting xmlns:xm="http://schemas.microsoft.com/office/excel/2006/main">
          <x14:cfRule type="expression" priority="42" id="{3078040E-066C-4B8B-818A-782D29A05164}">
            <xm:f>$C$10=parametros!$J$3</xm:f>
            <x14:dxf>
              <numFmt numFmtId="14" formatCode="0.00%"/>
            </x14:dxf>
          </x14:cfRule>
          <x14:cfRule type="expression" priority="41" id="{78320F49-83E5-45AE-A30C-47D25E37E285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43" id="{81A2B69B-1BFD-416C-823D-B98D75BF61DC}">
            <xm:f>parametros!$J$2</xm:f>
            <x14:dxf>
              <numFmt numFmtId="1" formatCode="0"/>
            </x14:dxf>
          </x14:cfRule>
          <xm:sqref>P44:P45</xm:sqref>
        </x14:conditionalFormatting>
        <x14:conditionalFormatting xmlns:xm="http://schemas.microsoft.com/office/excel/2006/main">
          <x14:cfRule type="dataBar" id="{9A9BECB5-6928-4EC2-ACC1-8548DD001683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R14:S14</xm:sqref>
        </x14:conditionalFormatting>
        <x14:conditionalFormatting xmlns:xm="http://schemas.microsoft.com/office/excel/2006/main">
          <x14:cfRule type="dataBar" id="{CBCFB6D9-4D3C-4C11-B133-FA5DDB508F84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R25:S25</xm:sqref>
        </x14:conditionalFormatting>
        <x14:conditionalFormatting xmlns:xm="http://schemas.microsoft.com/office/excel/2006/main">
          <x14:cfRule type="dataBar" id="{42BF2D5B-2881-469E-A14B-42AD7D08E30D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R36:S36</xm:sqref>
        </x14:conditionalFormatting>
        <x14:conditionalFormatting xmlns:xm="http://schemas.microsoft.com/office/excel/2006/main">
          <x14:cfRule type="dataBar" id="{6B1740F6-3BF2-4BAB-944E-EEF269E29FEF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R47:S47</xm:sqref>
        </x14:conditionalFormatting>
        <x14:conditionalFormatting xmlns:xm="http://schemas.microsoft.com/office/excel/2006/main">
          <x14:cfRule type="expression" priority="183" id="{A06EDE6D-D8D7-4385-AB94-69BA28F055F6}">
            <xm:f>$C$10=parametros!$J$3</xm:f>
            <x14:dxf>
              <numFmt numFmtId="14" formatCode="0.00%"/>
            </x14:dxf>
          </x14:cfRule>
          <x14:cfRule type="expression" priority="182" id="{0EB8205D-EAD3-4274-AE71-D9B60A9DA357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84" id="{0D8E096E-608D-4526-9D11-C6AEBB80B947}">
            <xm:f>parametros!$J$2</xm:f>
            <x14:dxf>
              <numFmt numFmtId="1" formatCode="0"/>
            </x14:dxf>
          </x14:cfRule>
          <xm:sqref>S11:S12</xm:sqref>
        </x14:conditionalFormatting>
        <x14:conditionalFormatting xmlns:xm="http://schemas.microsoft.com/office/excel/2006/main">
          <x14:cfRule type="expression" priority="86" id="{8FAE1CCD-0002-43D4-B9A1-02BE7225D81D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87" id="{7B717436-A83C-4201-B004-54685F2A798F}">
            <xm:f>$C$10=parametros!$J$3</xm:f>
            <x14:dxf>
              <numFmt numFmtId="14" formatCode="0.00%"/>
            </x14:dxf>
          </x14:cfRule>
          <x14:cfRule type="expression" priority="88" id="{3AFBD576-DC1D-473A-8845-ACB334977BC3}">
            <xm:f>parametros!$J$2</xm:f>
            <x14:dxf>
              <numFmt numFmtId="1" formatCode="0"/>
            </x14:dxf>
          </x14:cfRule>
          <xm:sqref>S22:S23</xm:sqref>
        </x14:conditionalFormatting>
        <x14:conditionalFormatting xmlns:xm="http://schemas.microsoft.com/office/excel/2006/main">
          <x14:cfRule type="expression" priority="62" id="{37748296-FDF8-449E-AA0B-AA4C49F6C492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3" id="{C25B4D63-DD17-47A0-9157-D71A2BA90E3C}">
            <xm:f>$C$10=parametros!$J$3</xm:f>
            <x14:dxf>
              <numFmt numFmtId="14" formatCode="0.00%"/>
            </x14:dxf>
          </x14:cfRule>
          <x14:cfRule type="expression" priority="64" id="{9BE51242-73A3-44B8-A801-6097AAC44472}">
            <xm:f>parametros!$J$2</xm:f>
            <x14:dxf>
              <numFmt numFmtId="1" formatCode="0"/>
            </x14:dxf>
          </x14:cfRule>
          <xm:sqref>S33:S34</xm:sqref>
        </x14:conditionalFormatting>
        <x14:conditionalFormatting xmlns:xm="http://schemas.microsoft.com/office/excel/2006/main">
          <x14:cfRule type="expression" priority="39" id="{AF1FF0E4-73EA-45AD-859A-36BECF526505}">
            <xm:f>$C$10=parametros!$J$3</xm:f>
            <x14:dxf>
              <numFmt numFmtId="14" formatCode="0.00%"/>
            </x14:dxf>
          </x14:cfRule>
          <x14:cfRule type="expression" priority="40" id="{0C86262B-3E9D-4EE0-B6FF-6E03F6385E1B}">
            <xm:f>parametros!$J$2</xm:f>
            <x14:dxf>
              <numFmt numFmtId="1" formatCode="0"/>
            </x14:dxf>
          </x14:cfRule>
          <x14:cfRule type="expression" priority="38" id="{D349D598-8AA7-4979-9B54-423519B0E92F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S44:S45</xm:sqref>
        </x14:conditionalFormatting>
        <x14:conditionalFormatting xmlns:xm="http://schemas.microsoft.com/office/excel/2006/main">
          <x14:cfRule type="dataBar" id="{11DA8FC9-B027-4EC4-A8B9-09194549AA59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F686FBF5-520F-40EC-8916-E783BFCD9B85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U25:V25</xm:sqref>
        </x14:conditionalFormatting>
        <x14:conditionalFormatting xmlns:xm="http://schemas.microsoft.com/office/excel/2006/main">
          <x14:cfRule type="dataBar" id="{0AFF1499-4593-40E9-BB3C-F6A4884BA3A3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U36:V36</xm:sqref>
        </x14:conditionalFormatting>
        <x14:conditionalFormatting xmlns:xm="http://schemas.microsoft.com/office/excel/2006/main">
          <x14:cfRule type="dataBar" id="{63AF99F6-DA54-4548-AB8D-6183C18DBFCE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U47:V47</xm:sqref>
        </x14:conditionalFormatting>
        <x14:conditionalFormatting xmlns:xm="http://schemas.microsoft.com/office/excel/2006/main">
          <x14:cfRule type="expression" priority="179" id="{E8E8A531-2E67-4E75-B35E-EE18236EB440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80" id="{9F8C6097-FE4F-4E51-B97E-55F5360AB09B}">
            <xm:f>$C$10=parametros!$J$3</xm:f>
            <x14:dxf>
              <numFmt numFmtId="14" formatCode="0.00%"/>
            </x14:dxf>
          </x14:cfRule>
          <x14:cfRule type="expression" priority="181" id="{29E18AD7-FCAF-44FB-9133-C058BB10E761}">
            <xm:f>parametros!$J$2</xm:f>
            <x14:dxf>
              <numFmt numFmtId="1" formatCode="0"/>
            </x14:dxf>
          </x14:cfRule>
          <xm:sqref>V11:V12</xm:sqref>
        </x14:conditionalFormatting>
        <x14:conditionalFormatting xmlns:xm="http://schemas.microsoft.com/office/excel/2006/main">
          <x14:cfRule type="expression" priority="83" id="{7A6147A3-4880-407E-9074-FBBADCCB3EC8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85" id="{6A26EEFF-C599-42B5-BE00-D2EA5D46717B}">
            <xm:f>parametros!$J$2</xm:f>
            <x14:dxf>
              <numFmt numFmtId="1" formatCode="0"/>
            </x14:dxf>
          </x14:cfRule>
          <x14:cfRule type="expression" priority="84" id="{D1A8067B-985C-4962-9474-F2CF3EC1D864}">
            <xm:f>$C$10=parametros!$J$3</xm:f>
            <x14:dxf>
              <numFmt numFmtId="14" formatCode="0.00%"/>
            </x14:dxf>
          </x14:cfRule>
          <xm:sqref>V22:V23</xm:sqref>
        </x14:conditionalFormatting>
        <x14:conditionalFormatting xmlns:xm="http://schemas.microsoft.com/office/excel/2006/main">
          <x14:cfRule type="expression" priority="61" id="{19E487EF-87D1-4B92-8E37-A812E12A2C48}">
            <xm:f>parametros!$J$2</xm:f>
            <x14:dxf>
              <numFmt numFmtId="1" formatCode="0"/>
            </x14:dxf>
          </x14:cfRule>
          <x14:cfRule type="expression" priority="59" id="{1C6C12E9-1F52-4ED1-AE93-451C4623F934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60" id="{AFD09D1A-41C4-4284-8C56-793D85C41FF0}">
            <xm:f>$C$10=parametros!$J$3</xm:f>
            <x14:dxf>
              <numFmt numFmtId="14" formatCode="0.00%"/>
            </x14:dxf>
          </x14:cfRule>
          <xm:sqref>V33:V34</xm:sqref>
        </x14:conditionalFormatting>
        <x14:conditionalFormatting xmlns:xm="http://schemas.microsoft.com/office/excel/2006/main">
          <x14:cfRule type="expression" priority="35" id="{4B385FF0-B807-4763-AE5B-E8BCC3610748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6" id="{2C67EE47-7FE6-42C3-8F02-4BA8EB2D4932}">
            <xm:f>$C$10=parametros!$J$3</xm:f>
            <x14:dxf>
              <numFmt numFmtId="14" formatCode="0.00%"/>
            </x14:dxf>
          </x14:cfRule>
          <x14:cfRule type="expression" priority="37" id="{ED3B66D3-936F-43EB-9F92-DB708A0B4876}">
            <xm:f>parametros!$J$2</xm:f>
            <x14:dxf>
              <numFmt numFmtId="1" formatCode="0"/>
            </x14:dxf>
          </x14:cfRule>
          <xm:sqref>V44:V45</xm:sqref>
        </x14:conditionalFormatting>
        <x14:conditionalFormatting xmlns:xm="http://schemas.microsoft.com/office/excel/2006/main">
          <x14:cfRule type="dataBar" id="{45C29B2A-E1A4-4C71-8658-CBB05058E4C6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X14:Y14</xm:sqref>
        </x14:conditionalFormatting>
        <x14:conditionalFormatting xmlns:xm="http://schemas.microsoft.com/office/excel/2006/main">
          <x14:cfRule type="dataBar" id="{2CE15E43-B21F-4390-BEA5-F89011700000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X25:Y25</xm:sqref>
        </x14:conditionalFormatting>
        <x14:conditionalFormatting xmlns:xm="http://schemas.microsoft.com/office/excel/2006/main">
          <x14:cfRule type="dataBar" id="{26A2AD35-90F2-4010-A37D-42157E8F744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X36:Y36</xm:sqref>
        </x14:conditionalFormatting>
        <x14:conditionalFormatting xmlns:xm="http://schemas.microsoft.com/office/excel/2006/main">
          <x14:cfRule type="dataBar" id="{0AE773C2-2184-49C2-BEE2-D2F4EDFB5A27}">
            <x14:dataBar minLength="0" maxLength="100" border="1" direction="leftToRight" negativeBarBorderColorSameAsPositive="0">
              <x14:cfvo type="percent">
                <xm:f>0</xm:f>
              </x14:cfvo>
              <x14:cfvo type="percentile">
                <xm:f>100</xm:f>
              </x14:cfvo>
              <x14:borderColor rgb="FFD2E7C3"/>
              <x14:negativeFillColor rgb="FFFF0000"/>
              <x14:negativeBorderColor rgb="FFFF0000"/>
              <x14:axisColor rgb="FF000000"/>
            </x14:dataBar>
          </x14:cfRule>
          <xm:sqref>X47:Y47</xm:sqref>
        </x14:conditionalFormatting>
        <x14:conditionalFormatting xmlns:xm="http://schemas.microsoft.com/office/excel/2006/main">
          <x14:cfRule type="expression" priority="176" id="{419986D7-80B8-4177-9DF3-B7CB2C16DF5B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177" id="{8E4D3212-AF29-4512-94C5-94919C8E6DDF}">
            <xm:f>$C$10=parametros!$J$3</xm:f>
            <x14:dxf>
              <numFmt numFmtId="14" formatCode="0.00%"/>
            </x14:dxf>
          </x14:cfRule>
          <x14:cfRule type="expression" priority="178" id="{CC02C9D7-C019-4CA2-8F51-669712221BB3}">
            <xm:f>parametros!$J$2</xm:f>
            <x14:dxf>
              <numFmt numFmtId="1" formatCode="0"/>
            </x14:dxf>
          </x14:cfRule>
          <xm:sqref>Y11:Y12</xm:sqref>
        </x14:conditionalFormatting>
        <x14:conditionalFormatting xmlns:xm="http://schemas.microsoft.com/office/excel/2006/main">
          <x14:cfRule type="expression" priority="80" id="{773D3D19-E26D-48F9-9636-09E2F1D36302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81" id="{568F1C33-5EB8-48A4-A356-7C6B185DCE40}">
            <xm:f>$C$10=parametros!$J$3</xm:f>
            <x14:dxf>
              <numFmt numFmtId="14" formatCode="0.00%"/>
            </x14:dxf>
          </x14:cfRule>
          <x14:cfRule type="expression" priority="82" id="{AC78CD35-C74B-4D11-9609-2FF7F1328743}">
            <xm:f>parametros!$J$2</xm:f>
            <x14:dxf>
              <numFmt numFmtId="1" formatCode="0"/>
            </x14:dxf>
          </x14:cfRule>
          <xm:sqref>Y22:Y23</xm:sqref>
        </x14:conditionalFormatting>
        <x14:conditionalFormatting xmlns:xm="http://schemas.microsoft.com/office/excel/2006/main">
          <x14:cfRule type="expression" priority="58" id="{1C076A58-5559-4101-8827-341E66D83BCF}">
            <xm:f>parametros!$J$2</xm:f>
            <x14:dxf>
              <numFmt numFmtId="1" formatCode="0"/>
            </x14:dxf>
          </x14:cfRule>
          <x14:cfRule type="expression" priority="57" id="{00BEA883-FC2E-49AF-90E7-354D3A2D5F36}">
            <xm:f>$C$10=parametros!$J$3</xm:f>
            <x14:dxf>
              <numFmt numFmtId="14" formatCode="0.00%"/>
            </x14:dxf>
          </x14:cfRule>
          <x14:cfRule type="expression" priority="56" id="{9A6BF0A0-BB07-490B-B63E-4000EBF3E30E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m:sqref>Y33:Y34</xm:sqref>
        </x14:conditionalFormatting>
        <x14:conditionalFormatting xmlns:xm="http://schemas.microsoft.com/office/excel/2006/main">
          <x14:cfRule type="expression" priority="32" id="{0299A648-224F-4A35-8EC1-DA7807CA543A}">
            <xm:f>$C$10=parametros!$J$4</xm:f>
            <x14:dxf>
              <numFmt numFmtId="34" formatCode="_-&quot;R$&quot;\ * #,##0.00_-;\-&quot;R$&quot;\ * #,##0.00_-;_-&quot;R$&quot;\ * &quot;-&quot;??_-;_-@_-"/>
            </x14:dxf>
          </x14:cfRule>
          <x14:cfRule type="expression" priority="33" id="{D81A3980-F27B-44F9-BC81-853581E4A4D1}">
            <xm:f>$C$10=parametros!$J$3</xm:f>
            <x14:dxf>
              <numFmt numFmtId="14" formatCode="0.00%"/>
            </x14:dxf>
          </x14:cfRule>
          <x14:cfRule type="expression" priority="34" id="{ACE9B356-CCC8-471F-9C88-6F2A98516F57}">
            <xm:f>parametros!$J$2</xm:f>
            <x14:dxf>
              <numFmt numFmtId="1" formatCode="0"/>
            </x14:dxf>
          </x14:cfRule>
          <xm:sqref>Y44:Y45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A5D051-BC61-418E-9AC3-67E6867021F3}">
          <x14:formula1>
            <xm:f>parametros!$K$2:$K$3</xm:f>
          </x14:formula1>
          <xm:sqref>F4:G4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040-CEA0-48AA-B57B-4F72FA469E7B}">
  <dimension ref="C1:P44"/>
  <sheetViews>
    <sheetView zoomScale="107" zoomScaleNormal="107" workbookViewId="0">
      <selection activeCell="C22" sqref="C22:J67"/>
    </sheetView>
  </sheetViews>
  <sheetFormatPr defaultRowHeight="13.2" x14ac:dyDescent="0.4"/>
  <cols>
    <col min="1" max="2" width="2.21875" style="7" customWidth="1"/>
    <col min="3" max="3" width="22.21875" style="7" customWidth="1"/>
    <col min="4" max="4" width="6" style="7" customWidth="1"/>
    <col min="5" max="7" width="8.88671875" style="7"/>
    <col min="8" max="8" width="13.44140625" style="7" customWidth="1"/>
    <col min="9" max="9" width="54.44140625" style="7" customWidth="1"/>
    <col min="10" max="12" width="12.5546875" style="79" customWidth="1"/>
    <col min="13" max="15" width="8.88671875" style="7"/>
    <col min="16" max="16" width="11.6640625" style="7" customWidth="1"/>
    <col min="17" max="18" width="8.88671875" style="7"/>
    <col min="19" max="19" width="12.33203125" style="7" customWidth="1"/>
    <col min="20" max="16384" width="8.88671875" style="7"/>
  </cols>
  <sheetData>
    <row r="1" spans="3:16" s="3" customFormat="1" ht="27.6" customHeight="1" x14ac:dyDescent="0.4">
      <c r="E1" s="4"/>
      <c r="J1" s="77"/>
      <c r="K1" s="77"/>
      <c r="L1" s="77"/>
    </row>
    <row r="2" spans="3:16" s="5" customFormat="1" ht="21.6" customHeight="1" x14ac:dyDescent="0.4">
      <c r="J2" s="78"/>
      <c r="K2" s="78"/>
      <c r="L2" s="78"/>
    </row>
    <row r="4" spans="3:16" ht="25.05" customHeight="1" x14ac:dyDescent="0.4">
      <c r="C4" s="76" t="s">
        <v>138</v>
      </c>
      <c r="D4" s="7">
        <v>1</v>
      </c>
    </row>
    <row r="5" spans="3:16" ht="6.6" customHeight="1" x14ac:dyDescent="0.4"/>
    <row r="6" spans="3:16" ht="25.05" customHeight="1" x14ac:dyDescent="0.4">
      <c r="C6" s="160" t="s">
        <v>295</v>
      </c>
    </row>
    <row r="7" spans="3:16" ht="30" customHeight="1" x14ac:dyDescent="0.4">
      <c r="C7" s="182" t="str">
        <f>IF(ISERROR(AVERAGE(F24:F31)),"",AVERAGE(F24:F31))</f>
        <v/>
      </c>
      <c r="E7" s="175"/>
      <c r="F7" s="20"/>
      <c r="G7" s="20"/>
      <c r="H7" s="20"/>
      <c r="I7" s="20"/>
      <c r="J7" s="176"/>
      <c r="K7" s="176"/>
      <c r="L7" s="176"/>
      <c r="M7" s="20"/>
      <c r="N7" s="20"/>
      <c r="O7" s="20"/>
      <c r="P7" s="21"/>
    </row>
    <row r="8" spans="3:16" ht="6.6" customHeight="1" x14ac:dyDescent="0.4">
      <c r="E8" s="177"/>
      <c r="P8" s="178"/>
    </row>
    <row r="9" spans="3:16" ht="25.05" customHeight="1" x14ac:dyDescent="0.4">
      <c r="C9" s="160" t="s">
        <v>296</v>
      </c>
      <c r="E9" s="177"/>
      <c r="P9" s="178"/>
    </row>
    <row r="10" spans="3:16" ht="30" customHeight="1" x14ac:dyDescent="0.4">
      <c r="C10" s="182" t="str">
        <f>IF(ISERROR(AVERAGE(F35:F42)),"",AVERAGE(F35:F42))</f>
        <v/>
      </c>
      <c r="E10" s="179"/>
      <c r="F10" s="18"/>
      <c r="G10" s="18"/>
      <c r="H10" s="18"/>
      <c r="I10" s="18"/>
      <c r="J10" s="180"/>
      <c r="K10" s="180"/>
      <c r="L10" s="180"/>
      <c r="M10" s="18"/>
      <c r="N10" s="18"/>
      <c r="O10" s="18"/>
      <c r="P10" s="181"/>
    </row>
    <row r="11" spans="3:16" ht="6.6" customHeight="1" x14ac:dyDescent="0.4"/>
    <row r="12" spans="3:16" ht="25.05" customHeight="1" x14ac:dyDescent="0.4">
      <c r="C12" s="160" t="s">
        <v>297</v>
      </c>
    </row>
    <row r="13" spans="3:16" ht="30" customHeight="1" x14ac:dyDescent="0.4">
      <c r="C13" s="174">
        <f>IFERROR(SUM(D35:D42),"")</f>
        <v>0</v>
      </c>
      <c r="E13" s="175"/>
      <c r="F13" s="20"/>
      <c r="G13" s="20"/>
      <c r="H13" s="20"/>
      <c r="I13" s="20"/>
      <c r="J13" s="176"/>
      <c r="K13" s="176"/>
      <c r="L13" s="176"/>
      <c r="M13" s="20"/>
      <c r="N13" s="20"/>
      <c r="O13" s="20"/>
      <c r="P13" s="21"/>
    </row>
    <row r="14" spans="3:16" ht="6.6" customHeight="1" x14ac:dyDescent="0.4">
      <c r="E14" s="177"/>
      <c r="P14" s="178"/>
    </row>
    <row r="15" spans="3:16" ht="25.05" customHeight="1" x14ac:dyDescent="0.4">
      <c r="C15" s="160" t="s">
        <v>298</v>
      </c>
      <c r="E15" s="177"/>
      <c r="P15" s="178"/>
    </row>
    <row r="16" spans="3:16" ht="30" customHeight="1" x14ac:dyDescent="0.4">
      <c r="C16" s="174">
        <f>IFERROR(SUM(E35:E42),"")</f>
        <v>0</v>
      </c>
      <c r="E16" s="179"/>
      <c r="F16" s="18"/>
      <c r="G16" s="18"/>
      <c r="H16" s="18"/>
      <c r="I16" s="18"/>
      <c r="J16" s="180"/>
      <c r="K16" s="180"/>
      <c r="L16" s="180"/>
      <c r="M16" s="18"/>
      <c r="N16" s="18"/>
      <c r="O16" s="18"/>
      <c r="P16" s="181"/>
    </row>
    <row r="22" spans="3:8" x14ac:dyDescent="0.4">
      <c r="C22" s="104"/>
      <c r="D22" s="104"/>
      <c r="E22" s="104"/>
      <c r="F22" s="104"/>
      <c r="G22" s="104"/>
      <c r="H22" s="104"/>
    </row>
    <row r="23" spans="3:8" x14ac:dyDescent="0.4">
      <c r="C23" s="104" t="s">
        <v>141</v>
      </c>
      <c r="D23" s="104" t="s">
        <v>142</v>
      </c>
      <c r="E23" s="104" t="s">
        <v>143</v>
      </c>
      <c r="F23" s="104" t="s">
        <v>144</v>
      </c>
      <c r="G23" s="104"/>
      <c r="H23" s="104"/>
    </row>
    <row r="24" spans="3:8" x14ac:dyDescent="0.4">
      <c r="C24" s="104" t="str">
        <f>IF($D$4=1,'est1'!C59,IF($D$4=2,'est2'!C59,IF($D$4=3,'est3'!C59,IF($D$4=4,'est4'!C59,"OPS"))))</f>
        <v>Aumentar: Faturamento</v>
      </c>
      <c r="D24" s="104">
        <f>IF($D$4=1,'est1'!D59,IF($D$4=2,'est2'!D59,IF($D$4=3,'est3'!D59,IF($D$4=4,'est4'!D59,"OPS"))))</f>
        <v>0</v>
      </c>
      <c r="E24" s="104">
        <f>IF($D$4=1,'est1'!E59,IF($D$4=2,'est2'!E59,IF($D$4=3,'est3'!E59,IF($D$4=4,'est4'!E59,"OPS"))))</f>
        <v>0</v>
      </c>
      <c r="F24" s="104" t="str">
        <f>IF(ISERROR(E24/D24),"",(E24/D24))</f>
        <v/>
      </c>
      <c r="G24" s="104"/>
      <c r="H24" s="104"/>
    </row>
    <row r="25" spans="3:8" x14ac:dyDescent="0.4">
      <c r="C25" s="104" t="str">
        <f>IF($D$4=1,'est1'!C60,IF($D$4=2,'est2'!C60,IF($D$4=3,'est3'!C60,IF($D$4=4,'est4'!C60,"OPS"))))</f>
        <v>Aumentar: Tiket Médio</v>
      </c>
      <c r="D25" s="104">
        <f>IF($D$4=1,'est1'!D60,IF($D$4=2,'est2'!D60,IF($D$4=3,'est3'!D60,IF($D$4=4,'est4'!D60,"OPS"))))</f>
        <v>0</v>
      </c>
      <c r="E25" s="104">
        <f>IF($D$4=1,'est1'!E60,IF($D$4=2,'est2'!E60,IF($D$4=3,'est3'!E60,IF($D$4=4,'est4'!E60,"OPS"))))</f>
        <v>0</v>
      </c>
      <c r="F25" s="104" t="str">
        <f>IF(ISERROR(E25/D25),"",(E25/D25))</f>
        <v/>
      </c>
      <c r="G25" s="104"/>
      <c r="H25" s="104"/>
    </row>
    <row r="26" spans="3:8" x14ac:dyDescent="0.4">
      <c r="C26" s="104" t="str">
        <f>IF($D$4=1,'est1'!C61,IF($D$4=2,'est2'!C61,IF($D$4=3,'est3'!C61,IF($D$4=4,'est4'!C61,"OPS"))))</f>
        <v xml:space="preserve">: </v>
      </c>
      <c r="D26" s="104">
        <f>IF($D$4=1,'est1'!D61,IF($D$4=2,'est2'!D61,IF($D$4=3,'est3'!D61,IF($D$4=4,'est4'!D61,"OPS"))))</f>
        <v>0</v>
      </c>
      <c r="E26" s="104">
        <f>IF($D$4=1,'est1'!E61,IF($D$4=2,'est2'!E61,IF($D$4=3,'est3'!E61,IF($D$4=4,'est4'!E61,"OPS"))))</f>
        <v>0</v>
      </c>
      <c r="F26" s="104" t="str">
        <f t="shared" ref="F26:F31" si="0">IF(ISERROR(E26/D26),"",(E26/D26))</f>
        <v/>
      </c>
      <c r="G26" s="104"/>
      <c r="H26" s="104"/>
    </row>
    <row r="27" spans="3:8" x14ac:dyDescent="0.4">
      <c r="C27" s="104" t="str">
        <f>IF($D$4=1,'est1'!C62,IF($D$4=2,'est2'!C62,IF($D$4=3,'est3'!C62,IF($D$4=4,'est4'!C62,"OPS"))))</f>
        <v xml:space="preserve">: </v>
      </c>
      <c r="D27" s="104">
        <f>IF($D$4=1,'est1'!D62,IF($D$4=2,'est2'!D62,IF($D$4=3,'est3'!D62,IF($D$4=4,'est4'!D62,"OPS"))))</f>
        <v>0</v>
      </c>
      <c r="E27" s="104">
        <f>IF($D$4=1,'est1'!E62,IF($D$4=2,'est2'!E62,IF($D$4=3,'est3'!E62,IF($D$4=4,'est4'!E62,"OPS"))))</f>
        <v>0</v>
      </c>
      <c r="F27" s="104" t="str">
        <f t="shared" si="0"/>
        <v/>
      </c>
      <c r="G27" s="104"/>
      <c r="H27" s="104"/>
    </row>
    <row r="28" spans="3:8" x14ac:dyDescent="0.4">
      <c r="C28" s="104" t="str">
        <f>IF($D$4=1,'est1'!C63,IF($D$4=2,'est2'!C63,IF($D$4=3,'est3'!C63,IF($D$4=4,'est4'!C63,"OPS"))))</f>
        <v xml:space="preserve">: </v>
      </c>
      <c r="D28" s="104">
        <f>IF($D$4=1,'est1'!D63,IF($D$4=2,'est2'!D63,IF($D$4=3,'est3'!D63,IF($D$4=4,'est4'!D63,"OPS"))))</f>
        <v>0</v>
      </c>
      <c r="E28" s="104">
        <f>IF($D$4=1,'est1'!E63,IF($D$4=2,'est2'!E63,IF($D$4=3,'est3'!E63,IF($D$4=4,'est4'!E63,"OPS"))))</f>
        <v>0</v>
      </c>
      <c r="F28" s="104" t="str">
        <f t="shared" si="0"/>
        <v/>
      </c>
      <c r="G28" s="104"/>
      <c r="H28" s="104"/>
    </row>
    <row r="29" spans="3:8" x14ac:dyDescent="0.4">
      <c r="C29" s="104" t="str">
        <f>IF($D$4=1,'est1'!C64,IF($D$4=2,'est2'!C64,IF($D$4=3,'est3'!C64,IF($D$4=4,'est4'!C64,"OPS"))))</f>
        <v xml:space="preserve">: </v>
      </c>
      <c r="D29" s="104">
        <f>IF($D$4=1,'est1'!D64,IF($D$4=2,'est2'!D64,IF($D$4=3,'est3'!D64,IF($D$4=4,'est4'!D64,"OPS"))))</f>
        <v>0</v>
      </c>
      <c r="E29" s="104">
        <f>IF($D$4=1,'est1'!E64,IF($D$4=2,'est2'!E64,IF($D$4=3,'est3'!E64,IF($D$4=4,'est4'!E64,"OPS"))))</f>
        <v>0</v>
      </c>
      <c r="F29" s="104" t="str">
        <f t="shared" si="0"/>
        <v/>
      </c>
      <c r="G29" s="104"/>
      <c r="H29" s="104"/>
    </row>
    <row r="30" spans="3:8" x14ac:dyDescent="0.4">
      <c r="C30" s="104" t="str">
        <f>IF($D$4=1,'est1'!C65,IF($D$4=2,'est2'!C65,IF($D$4=3,'est3'!C65,IF($D$4=4,'est4'!C65,"OPS"))))</f>
        <v xml:space="preserve">: </v>
      </c>
      <c r="D30" s="104">
        <f>IF($D$4=1,'est1'!D65,IF($D$4=2,'est2'!D65,IF($D$4=3,'est3'!D65,IF($D$4=4,'est4'!D65,"OPS"))))</f>
        <v>0</v>
      </c>
      <c r="E30" s="104">
        <f>IF($D$4=1,'est1'!E65,IF($D$4=2,'est2'!E65,IF($D$4=3,'est3'!E65,IF($D$4=4,'est4'!E65,"OPS"))))</f>
        <v>0</v>
      </c>
      <c r="F30" s="104" t="str">
        <f t="shared" si="0"/>
        <v/>
      </c>
      <c r="G30" s="104"/>
      <c r="H30" s="104"/>
    </row>
    <row r="31" spans="3:8" x14ac:dyDescent="0.4">
      <c r="C31" s="104" t="str">
        <f>IF($D$4=1,'est1'!C66,IF($D$4=2,'est2'!C66,IF($D$4=3,'est3'!C66,IF($D$4=4,'est4'!C66,"OPS"))))</f>
        <v xml:space="preserve">: </v>
      </c>
      <c r="D31" s="104">
        <f>IF($D$4=1,'est1'!D66,IF($D$4=2,'est2'!D66,IF($D$4=3,'est3'!D66,IF($D$4=4,'est4'!D66,"OPS"))))</f>
        <v>0</v>
      </c>
      <c r="E31" s="104">
        <f>IF($D$4=1,'est1'!E66,IF($D$4=2,'est2'!E66,IF($D$4=3,'est3'!E66,IF($D$4=4,'est4'!E66,"OPS"))))</f>
        <v>0</v>
      </c>
      <c r="F31" s="104" t="str">
        <f t="shared" si="0"/>
        <v/>
      </c>
      <c r="G31" s="104"/>
      <c r="H31" s="104"/>
    </row>
    <row r="32" spans="3:8" x14ac:dyDescent="0.4">
      <c r="C32" s="104"/>
      <c r="D32" s="104"/>
      <c r="E32" s="104"/>
      <c r="F32" s="104"/>
      <c r="G32" s="104"/>
      <c r="H32" s="104"/>
    </row>
    <row r="33" spans="3:8" x14ac:dyDescent="0.4">
      <c r="C33" s="104"/>
      <c r="D33" s="104"/>
      <c r="E33" s="104"/>
      <c r="F33" s="104"/>
      <c r="G33" s="104"/>
      <c r="H33" s="104"/>
    </row>
    <row r="34" spans="3:8" x14ac:dyDescent="0.4">
      <c r="C34" s="104" t="s">
        <v>141</v>
      </c>
      <c r="D34" s="104" t="s">
        <v>142</v>
      </c>
      <c r="E34" s="104" t="s">
        <v>143</v>
      </c>
      <c r="F34" s="104" t="s">
        <v>299</v>
      </c>
      <c r="G34" s="104"/>
      <c r="H34" s="104"/>
    </row>
    <row r="35" spans="3:8" x14ac:dyDescent="0.4">
      <c r="C35" s="104" t="str">
        <f>IF($D$4=1,'est1'!C59,IF($D$4=2,'est2'!C59,IF($D$4=3,'est3'!C59,IF($D$4=4,'est4'!C59,"OPS"))))</f>
        <v>Aumentar: Faturamento</v>
      </c>
      <c r="D35" s="104">
        <f>IF($D$4=1,COUNTIF('PA1'!$C$5:$C$23,dash_ap!$C35),IF($D$4=2,COUNTIF('PA2'!$C$5:$C$23,dash_ap!$C35),IF($D$4=3,COUNTIF('PA3'!$C$5:$C$23,dash_ap!$C35),IF($D$4=4,COUNTIF('PA4'!$C$5:$C$23,dash_ap!$C35),"OPS"))))</f>
        <v>0</v>
      </c>
      <c r="E35" s="104">
        <f>IF($D$4=1,COUNTIFS('PA1'!$C$5:$C$23,dash_ap!$C35,'PA1'!$M$5:$M$23,parametros!$L$3),IF($D$4=2,COUNTIFS('PA2'!$C$5:$C$23,dash_ap!$C35,'PA2'!$M$5:$M$23,parametros!$L$3),IF($D$4=3,COUNTIFS('PA3'!$C$5:$C$23,dash_ap!$C35,'PA3'!$M$5:$M$23,parametros!$L$3),IF($D$4=4,COUNTIFS('PA4'!$C$5:$C$23,dash_ap!$C35,'PA4'!$M$5:$M$23,parametros!$L$3),"OPS"))))</f>
        <v>0</v>
      </c>
      <c r="F35" s="104" t="str">
        <f>IF(ISERROR(E35/D35),"",(E35/D35))</f>
        <v/>
      </c>
      <c r="G35" s="104"/>
      <c r="H35" s="104"/>
    </row>
    <row r="36" spans="3:8" x14ac:dyDescent="0.4">
      <c r="C36" s="104" t="str">
        <f>IF($D$4=1,'est1'!C60,IF($D$4=2,'est2'!C60,IF($D$4=3,'est3'!C60,IF($D$4=4,'est4'!C60,"OPS"))))</f>
        <v>Aumentar: Tiket Médio</v>
      </c>
      <c r="D36" s="104">
        <f>IF($D$4=1,COUNTIF('PA1'!$C$5:$C$23,dash_ap!$C36),IF($D$4=2,COUNTIF('PA2'!$C$5:$C$23,dash_ap!$C36),IF($D$4=3,COUNTIF('PA3'!$C$5:$C$23,dash_ap!$C36),IF($D$4=4,COUNTIF('PA4'!$C$5:$C$23,dash_ap!$C36),"OPS"))))</f>
        <v>0</v>
      </c>
      <c r="E36" s="104">
        <f>IF($D$4=1,COUNTIFS('PA1'!$C$5:$C$23,dash_ap!$C36,'PA1'!$M$5:$M$23,parametros!$L$3),IF($D$4=2,COUNTIFS('PA2'!$C$5:$C$23,dash_ap!$C36,'PA2'!$M$5:$M$23,parametros!$L$3),IF($D$4=3,COUNTIFS('PA3'!$C$5:$C$23,dash_ap!$C36,'PA3'!$M$5:$M$23,parametros!$L$3),IF($D$4=4,COUNTIFS('PA4'!$C$5:$C$23,dash_ap!$C36,'PA4'!$M$5:$M$23,parametros!$L$3),"OPS"))))</f>
        <v>0</v>
      </c>
      <c r="F36" s="104" t="str">
        <f t="shared" ref="F36:F42" si="1">IF(ISERROR(E36/D36),"",(E36/D36))</f>
        <v/>
      </c>
      <c r="G36" s="104"/>
      <c r="H36" s="104"/>
    </row>
    <row r="37" spans="3:8" x14ac:dyDescent="0.4">
      <c r="C37" s="104" t="str">
        <f>IF($D$4=1,'est1'!C61,IF($D$4=2,'est2'!C61,IF($D$4=3,'est3'!C61,IF($D$4=4,'est4'!C61,"OPS"))))</f>
        <v xml:space="preserve">: </v>
      </c>
      <c r="D37" s="104">
        <f>IF($D$4=1,COUNTIF('PA1'!$C$5:$C$23,dash_ap!$C37),IF($D$4=2,COUNTIF('PA2'!$C$5:$C$23,dash_ap!$C37),IF($D$4=3,COUNTIF('PA3'!$C$5:$C$23,dash_ap!$C37),IF($D$4=4,COUNTIF('PA4'!$C$5:$C$23,dash_ap!$C37),"OPS"))))</f>
        <v>0</v>
      </c>
      <c r="E37" s="104">
        <f>IF($D$4=1,COUNTIFS('PA1'!$C$5:$C$23,dash_ap!$C37,'PA1'!$M$5:$M$23,parametros!$L$3),IF($D$4=2,COUNTIFS('PA2'!$C$5:$C$23,dash_ap!$C37,'PA2'!$M$5:$M$23,parametros!$L$3),IF($D$4=3,COUNTIFS('PA3'!$C$5:$C$23,dash_ap!$C37,'PA3'!$M$5:$M$23,parametros!$L$3),IF($D$4=4,COUNTIFS('PA4'!$C$5:$C$23,dash_ap!$C37,'PA4'!$M$5:$M$23,parametros!$L$3),"OPS"))))</f>
        <v>0</v>
      </c>
      <c r="F37" s="104" t="str">
        <f t="shared" si="1"/>
        <v/>
      </c>
      <c r="G37" s="104"/>
      <c r="H37" s="104"/>
    </row>
    <row r="38" spans="3:8" x14ac:dyDescent="0.4">
      <c r="C38" s="104" t="str">
        <f>IF($D$4=1,'est1'!C62,IF($D$4=2,'est2'!C62,IF($D$4=3,'est3'!C62,IF($D$4=4,'est4'!C62,"OPS"))))</f>
        <v xml:space="preserve">: </v>
      </c>
      <c r="D38" s="104">
        <f>IF($D$4=1,COUNTIF('PA1'!$C$5:$C$23,dash_ap!$C38),IF($D$4=2,COUNTIF('PA2'!$C$5:$C$23,dash_ap!$C38),IF($D$4=3,COUNTIF('PA3'!$C$5:$C$23,dash_ap!$C38),IF($D$4=4,COUNTIF('PA4'!$C$5:$C$23,dash_ap!$C38),"OPS"))))</f>
        <v>0</v>
      </c>
      <c r="E38" s="104">
        <f>IF($D$4=1,COUNTIFS('PA1'!$C$5:$C$23,dash_ap!$C38,'PA1'!$M$5:$M$23,parametros!$L$3),IF($D$4=2,COUNTIFS('PA2'!$C$5:$C$23,dash_ap!$C38,'PA2'!$M$5:$M$23,parametros!$L$3),IF($D$4=3,COUNTIFS('PA3'!$C$5:$C$23,dash_ap!$C38,'PA3'!$M$5:$M$23,parametros!$L$3),IF($D$4=4,COUNTIFS('PA4'!$C$5:$C$23,dash_ap!$C38,'PA4'!$M$5:$M$23,parametros!$L$3),"OPS"))))</f>
        <v>0</v>
      </c>
      <c r="F38" s="104" t="str">
        <f t="shared" si="1"/>
        <v/>
      </c>
      <c r="G38" s="104"/>
      <c r="H38" s="104"/>
    </row>
    <row r="39" spans="3:8" x14ac:dyDescent="0.4">
      <c r="C39" s="104" t="str">
        <f>IF($D$4=1,'est1'!C63,IF($D$4=2,'est2'!C63,IF($D$4=3,'est3'!C63,IF($D$4=4,'est4'!C63,"OPS"))))</f>
        <v xml:space="preserve">: </v>
      </c>
      <c r="D39" s="104">
        <f>IF($D$4=1,COUNTIF('PA1'!$C$5:$C$23,dash_ap!$C39),IF($D$4=2,COUNTIF('PA2'!$C$5:$C$23,dash_ap!$C39),IF($D$4=3,COUNTIF('PA3'!$C$5:$C$23,dash_ap!$C39),IF($D$4=4,COUNTIF('PA4'!$C$5:$C$23,dash_ap!$C39),"OPS"))))</f>
        <v>0</v>
      </c>
      <c r="E39" s="104">
        <f>IF($D$4=1,COUNTIFS('PA1'!$C$5:$C$23,dash_ap!$C39,'PA1'!$M$5:$M$23,parametros!$L$3),IF($D$4=2,COUNTIFS('PA2'!$C$5:$C$23,dash_ap!$C39,'PA2'!$M$5:$M$23,parametros!$L$3),IF($D$4=3,COUNTIFS('PA3'!$C$5:$C$23,dash_ap!$C39,'PA3'!$M$5:$M$23,parametros!$L$3),IF($D$4=4,COUNTIFS('PA4'!$C$5:$C$23,dash_ap!$C39,'PA4'!$M$5:$M$23,parametros!$L$3),"OPS"))))</f>
        <v>0</v>
      </c>
      <c r="F39" s="104" t="str">
        <f t="shared" si="1"/>
        <v/>
      </c>
      <c r="G39" s="104"/>
      <c r="H39" s="104"/>
    </row>
    <row r="40" spans="3:8" x14ac:dyDescent="0.4">
      <c r="C40" s="104" t="str">
        <f>IF($D$4=1,'est1'!C64,IF($D$4=2,'est2'!C64,IF($D$4=3,'est3'!C64,IF($D$4=4,'est4'!C64,"OPS"))))</f>
        <v xml:space="preserve">: </v>
      </c>
      <c r="D40" s="104">
        <f>IF($D$4=1,COUNTIF('PA1'!$C$5:$C$23,dash_ap!$C40),IF($D$4=2,COUNTIF('PA2'!$C$5:$C$23,dash_ap!$C40),IF($D$4=3,COUNTIF('PA3'!$C$5:$C$23,dash_ap!$C40),IF($D$4=4,COUNTIF('PA4'!$C$5:$C$23,dash_ap!$C40),"OPS"))))</f>
        <v>0</v>
      </c>
      <c r="E40" s="104">
        <f>IF($D$4=1,COUNTIFS('PA1'!$C$5:$C$23,dash_ap!$C40,'PA1'!$M$5:$M$23,parametros!$L$3),IF($D$4=2,COUNTIFS('PA2'!$C$5:$C$23,dash_ap!$C40,'PA2'!$M$5:$M$23,parametros!$L$3),IF($D$4=3,COUNTIFS('PA3'!$C$5:$C$23,dash_ap!$C40,'PA3'!$M$5:$M$23,parametros!$L$3),IF($D$4=4,COUNTIFS('PA4'!$C$5:$C$23,dash_ap!$C40,'PA4'!$M$5:$M$23,parametros!$L$3),"OPS"))))</f>
        <v>0</v>
      </c>
      <c r="F40" s="104" t="str">
        <f t="shared" si="1"/>
        <v/>
      </c>
      <c r="G40" s="104"/>
      <c r="H40" s="104"/>
    </row>
    <row r="41" spans="3:8" x14ac:dyDescent="0.4">
      <c r="C41" s="104" t="str">
        <f>IF($D$4=1,'est1'!C65,IF($D$4=2,'est2'!C65,IF($D$4=3,'est3'!C65,IF($D$4=4,'est4'!C65,"OPS"))))</f>
        <v xml:space="preserve">: </v>
      </c>
      <c r="D41" s="104">
        <f>IF($D$4=1,COUNTIF('PA1'!$C$5:$C$23,dash_ap!$C41),IF($D$4=2,COUNTIF('PA2'!$C$5:$C$23,dash_ap!$C41),IF($D$4=3,COUNTIF('PA3'!$C$5:$C$23,dash_ap!$C41),IF($D$4=4,COUNTIF('PA4'!$C$5:$C$23,dash_ap!$C41),"OPS"))))</f>
        <v>0</v>
      </c>
      <c r="E41" s="104">
        <f>IF($D$4=1,COUNTIFS('PA1'!$C$5:$C$23,dash_ap!$C41,'PA1'!$M$5:$M$23,parametros!$L$3),IF($D$4=2,COUNTIFS('PA2'!$C$5:$C$23,dash_ap!$C41,'PA2'!$M$5:$M$23,parametros!$L$3),IF($D$4=3,COUNTIFS('PA3'!$C$5:$C$23,dash_ap!$C41,'PA3'!$M$5:$M$23,parametros!$L$3),IF($D$4=4,COUNTIFS('PA4'!$C$5:$C$23,dash_ap!$C41,'PA4'!$M$5:$M$23,parametros!$L$3),"OPS"))))</f>
        <v>0</v>
      </c>
      <c r="F41" s="104" t="str">
        <f t="shared" si="1"/>
        <v/>
      </c>
      <c r="G41" s="104"/>
      <c r="H41" s="104"/>
    </row>
    <row r="42" spans="3:8" x14ac:dyDescent="0.4">
      <c r="C42" s="104" t="str">
        <f>IF($D$4=1,'est1'!C66,IF($D$4=2,'est2'!C66,IF($D$4=3,'est3'!C66,IF($D$4=4,'est4'!C66,"OPS"))))</f>
        <v xml:space="preserve">: </v>
      </c>
      <c r="D42" s="104">
        <f>IF($D$4=1,COUNTIF('PA1'!$C$5:$C$23,dash_ap!$C42),IF($D$4=2,COUNTIF('PA2'!$C$5:$C$23,dash_ap!$C42),IF($D$4=3,COUNTIF('PA3'!$C$5:$C$23,dash_ap!$C42),IF($D$4=4,COUNTIF('PA4'!$C$5:$C$23,dash_ap!$C42),"OPS"))))</f>
        <v>0</v>
      </c>
      <c r="E42" s="104">
        <f>IF($D$4=1,COUNTIFS('PA1'!$C$5:$C$23,dash_ap!$C42,'PA1'!$M$5:$M$23,parametros!$L$3),IF($D$4=2,COUNTIFS('PA2'!$C$5:$C$23,dash_ap!$C42,'PA2'!$M$5:$M$23,parametros!$L$3),IF($D$4=3,COUNTIFS('PA3'!$C$5:$C$23,dash_ap!$C42,'PA3'!$M$5:$M$23,parametros!$L$3),IF($D$4=4,COUNTIFS('PA4'!$C$5:$C$23,dash_ap!$C42,'PA4'!$M$5:$M$23,parametros!$L$3),"OPS"))))</f>
        <v>0</v>
      </c>
      <c r="F42" s="104" t="str">
        <f t="shared" si="1"/>
        <v/>
      </c>
      <c r="G42" s="104"/>
      <c r="H42" s="104"/>
    </row>
    <row r="43" spans="3:8" x14ac:dyDescent="0.4">
      <c r="C43" s="104"/>
      <c r="D43" s="104"/>
      <c r="E43" s="104"/>
      <c r="F43" s="104"/>
      <c r="G43" s="104"/>
      <c r="H43" s="104"/>
    </row>
    <row r="44" spans="3:8" x14ac:dyDescent="0.4">
      <c r="C44" s="104"/>
      <c r="D44" s="104"/>
      <c r="E44" s="104"/>
      <c r="F44" s="104"/>
      <c r="G44" s="104"/>
      <c r="H44" s="104"/>
    </row>
  </sheetData>
  <conditionalFormatting sqref="C7">
    <cfRule type="expression" dxfId="13" priority="5">
      <formula>$C$7=""</formula>
    </cfRule>
  </conditionalFormatting>
  <conditionalFormatting sqref="C10">
    <cfRule type="expression" dxfId="9" priority="1">
      <formula>$C$10=""</formula>
    </cfRule>
  </conditionalFormatting>
  <pageMargins left="0.511811024" right="0.511811024" top="0.78740157499999996" bottom="0.78740157499999996" header="0.31496062000000002" footer="0.31496062000000002"/>
  <pageSetup paperSize="9" scale="64" orientation="landscape" r:id="rId1"/>
  <colBreaks count="1" manualBreakCount="1">
    <brk id="1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3</xdr:row>
                    <xdr:rowOff>30480</xdr:rowOff>
                  </from>
                  <to>
                    <xdr:col>7</xdr:col>
                    <xdr:colOff>0</xdr:colOff>
                    <xdr:row>3</xdr:row>
                    <xdr:rowOff>289560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5BAA3C31-08E3-46FB-96DD-09DE1D3E7C9A}">
            <xm:f>AND($C$7&gt;parametros!$Q$2,$C$7&lt;=parametros!$Q$3)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7" id="{B3FA7B02-1AED-4BFC-8351-EBDB8ED20CDC}">
            <xm:f>$C$7&lt;=parametros!$Q$2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8" id="{A88E9636-4A08-457A-AFFF-B65C6C85DDD5}">
            <xm:f>$C$7&gt;parametros!$Q$3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expression" priority="2" id="{607828AB-0F40-4992-BBC6-BBBD85E3AD80}">
            <xm:f>AND($C$10&gt;parametros!$Q$2,$C$10&lt;=parametros!$Q$3)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14:cfRule type="expression" priority="3" id="{8503C604-E19B-4C05-BC69-C368F78E4FB8}">
            <xm:f>$C$10&lt;=parametros!$Q$2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expression" priority="4" id="{3C255428-428C-48F5-B36A-9ABB326758B6}">
            <xm:f>$C$10&gt;parametros!$Q$3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m:sqref>C10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7E28-8164-421D-AF00-2DCBA05C97CA}">
  <dimension ref="C1:CD52"/>
  <sheetViews>
    <sheetView showGridLines="0" zoomScale="107" zoomScaleNormal="107" workbookViewId="0">
      <selection activeCell="G4" sqref="G4"/>
    </sheetView>
  </sheetViews>
  <sheetFormatPr defaultRowHeight="13.2" x14ac:dyDescent="0.4"/>
  <cols>
    <col min="1" max="2" width="2.21875" style="7" customWidth="1"/>
    <col min="3" max="3" width="38.21875" style="7" customWidth="1"/>
    <col min="4" max="4" width="2.6640625" style="7" customWidth="1"/>
    <col min="5" max="5" width="38.21875" style="7" customWidth="1"/>
    <col min="6" max="6" width="2.6640625" style="7" customWidth="1"/>
    <col min="7" max="7" width="38.21875" style="7" customWidth="1"/>
    <col min="8" max="8" width="2.6640625" style="7" customWidth="1"/>
    <col min="9" max="9" width="38.21875" style="7" customWidth="1"/>
    <col min="10" max="10" width="2.6640625" style="7" customWidth="1"/>
    <col min="11" max="11" width="38.21875" style="7" customWidth="1"/>
    <col min="12" max="14" width="12.5546875" style="79" customWidth="1"/>
    <col min="15" max="17" width="8.88671875" style="7"/>
    <col min="18" max="18" width="11.6640625" style="7" customWidth="1"/>
    <col min="19" max="20" width="8.88671875" style="7"/>
    <col min="21" max="21" width="12.33203125" style="7" customWidth="1"/>
    <col min="22" max="16384" width="8.88671875" style="7"/>
  </cols>
  <sheetData>
    <row r="1" spans="3:82" s="3" customFormat="1" ht="27.6" customHeight="1" x14ac:dyDescent="0.4">
      <c r="G1" s="4"/>
      <c r="L1" s="77"/>
      <c r="M1" s="77"/>
      <c r="N1" s="77"/>
    </row>
    <row r="2" spans="3:82" s="5" customFormat="1" ht="21.6" customHeight="1" x14ac:dyDescent="0.4">
      <c r="L2" s="78"/>
      <c r="M2" s="78"/>
      <c r="N2" s="78"/>
    </row>
    <row r="4" spans="3:82" ht="25.05" customHeight="1" x14ac:dyDescent="0.4">
      <c r="C4" s="186" t="s">
        <v>300</v>
      </c>
      <c r="D4" s="186"/>
      <c r="E4" s="192">
        <v>1</v>
      </c>
    </row>
    <row r="5" spans="3:82" x14ac:dyDescent="0.4"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</row>
    <row r="6" spans="3:82" ht="25.05" customHeight="1" x14ac:dyDescent="0.4">
      <c r="C6" s="52" t="s">
        <v>146</v>
      </c>
      <c r="D6" s="52"/>
      <c r="E6" s="52" t="s">
        <v>131</v>
      </c>
      <c r="G6" s="52" t="s">
        <v>147</v>
      </c>
      <c r="I6" s="52" t="s">
        <v>102</v>
      </c>
      <c r="K6" s="52" t="s">
        <v>148</v>
      </c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</row>
    <row r="7" spans="3:82" ht="45" customHeight="1" x14ac:dyDescent="0.4">
      <c r="C7" s="191" cm="1">
        <f t="array" ref="C7">COUNTIF('PA1'!$S$5:$S$23,INDEX(params_ano,dash_apa!$E$4))+COUNTIF('PA2'!$S$5:$S$23,INDEX(params_ano,dash_apa!$E$4))+COUNTIF('PA3'!$S$5:$S$23,INDEX(params_ano,dash_apa!$E$4))+COUNTIF('PA4'!$S$5:$S$23,INDEX(params_ano,dash_apa!$E$4))</f>
        <v>0</v>
      </c>
      <c r="D7" s="185"/>
      <c r="E7" s="190" cm="1">
        <f t="array" ref="E7">COUNTIF('PA1'!$S$5:$S$23,INDEX(params_ano,dash_apa!$E$4))+COUNTIF('PA2'!$S$5:$S$23,INDEX(params_ano,dash_apa!$E$4))+COUNTIF('PA3'!$S$5:$S$23,INDEX(params_ano,dash_apa!$E$4))+COUNTIF('PA4'!$S$5:$S$23,INDEX(params_ano,dash_apa!$E$4))</f>
        <v>0</v>
      </c>
      <c r="F7" s="185"/>
      <c r="G7" s="187" cm="1">
        <f t="array" ref="G7">COUNTIFS('PA1'!$S$5:$S$23,INDEX(params_ano,$E$4),'PA1'!$M$5:$M$23,parametros!$L$3)+COUNTIFS('PA2'!$S$5:$S$23,INDEX(params_ano,$E$4),'PA2'!$M$5:$M$23,parametros!$L$3)+COUNTIFS('PA3'!$S$5:$S$23,INDEX(params_ano,$E$4),'PA3'!$M$5:$M$23,parametros!$L$3)+COUNTIFS('PA4'!$S$5:$S$23,INDEX(params_ano,$E$4),'PA4'!$M$5:$M$23,parametros!$L$3)</f>
        <v>0</v>
      </c>
      <c r="H7" s="185"/>
      <c r="I7" s="188" cm="1">
        <f t="array" ref="I7">COUNTIFS('PA1'!$S$5:$S$23,INDEX(params_ano,$E$4),'PA1'!$M$5:$M$23,parametros!$L$4)+COUNTIFS('PA2'!$S$5:$S$23,INDEX(params_ano,$E$4),'PA2'!$M$5:$M$23,parametros!$L$4)+COUNTIFS('PA3'!$S$5:$S$23,INDEX(params_ano,$E$4),'PA3'!$M$5:$M$23,parametros!$L$4)+COUNTIFS('PA4'!$S$5:$S$23,INDEX(params_ano,$E$4),'PA4'!$M$5:$M$23,parametros!$L$4)</f>
        <v>0</v>
      </c>
      <c r="J7" s="185"/>
      <c r="K7" s="189" cm="1">
        <f t="array" ref="K7">COUNTIFS('PA1'!$S$5:$S$23,INDEX(params_ano,$E$4),'PA1'!$M$5:$M$23,parametros!$L$2)+COUNTIFS('PA2'!$S$5:$S$23,INDEX(params_ano,$E$4),'PA2'!$M$5:$M$23,parametros!$L$2)+COUNTIFS('PA3'!$S$5:$S$23,INDEX(params_ano,$E$4),'PA3'!$M$5:$M$23,parametros!$L$2)+COUNTIFS('PA4'!$S$5:$S$23,INDEX(params_ano,$E$4),'PA4'!$M$5:$M$23,parametros!$L$2)</f>
        <v>0</v>
      </c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</row>
    <row r="8" spans="3:82" ht="25.05" customHeight="1" x14ac:dyDescent="0.4">
      <c r="C8" s="52" t="s">
        <v>301</v>
      </c>
      <c r="D8" s="52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</row>
    <row r="9" spans="3:82" x14ac:dyDescent="0.4"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</row>
    <row r="10" spans="3:82" x14ac:dyDescent="0.4">
      <c r="C10" s="175"/>
      <c r="D10" s="20"/>
      <c r="E10" s="20"/>
      <c r="F10" s="20"/>
      <c r="G10" s="20"/>
      <c r="H10" s="20"/>
      <c r="I10" s="20"/>
      <c r="J10" s="20"/>
      <c r="K10" s="21"/>
      <c r="U10" s="105"/>
      <c r="V10" s="105"/>
      <c r="W10" s="105"/>
      <c r="X10" s="105"/>
      <c r="Y10" s="105"/>
      <c r="Z10" s="105"/>
      <c r="AA10" s="105" t="s">
        <v>85</v>
      </c>
      <c r="AB10" s="105" t="s">
        <v>86</v>
      </c>
      <c r="AC10" s="105" t="s">
        <v>87</v>
      </c>
      <c r="AD10" s="105" t="s">
        <v>88</v>
      </c>
      <c r="AE10" s="105" t="s">
        <v>89</v>
      </c>
      <c r="AF10" s="105" t="s">
        <v>90</v>
      </c>
      <c r="AG10" s="105" t="s">
        <v>91</v>
      </c>
      <c r="AH10" s="105" t="s">
        <v>92</v>
      </c>
      <c r="AI10" s="105" t="s">
        <v>93</v>
      </c>
      <c r="AJ10" s="105" t="s">
        <v>94</v>
      </c>
      <c r="AK10" s="105" t="s">
        <v>95</v>
      </c>
      <c r="AL10" s="105" t="s">
        <v>96</v>
      </c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</row>
    <row r="11" spans="3:82" x14ac:dyDescent="0.4">
      <c r="C11" s="177"/>
      <c r="K11" s="178"/>
      <c r="U11" s="105"/>
      <c r="V11" s="105"/>
      <c r="W11" s="105"/>
      <c r="X11" s="105"/>
      <c r="Y11" s="105"/>
      <c r="Z11" s="105" t="s">
        <v>146</v>
      </c>
      <c r="AA11" s="105" cm="1">
        <f t="array" ref="AA11">COUNTIFS('PA1'!$S$5:$S$23,INDEX(params_ano,dash_apa!$E$4),'PA1'!$T$5:$T$23,AA$10)+COUNTIFS('PA2'!$S$5:$S$23,INDEX(params_ano,dash_apa!$E$4),'PA2'!$T$5:$T$23,AA$10)+COUNTIFS('PA3'!$S$5:$S$23,INDEX(params_ano,dash_apa!$E$4),'PA3'!$T$5:$T$23,AA$10)+COUNTIFS('PA4'!$S$5:$S$23,INDEX(params_ano,dash_apa!$E$4),'PA4'!$T$5:$T$23,AA$10)</f>
        <v>0</v>
      </c>
      <c r="AB11" s="105" cm="1">
        <f t="array" ref="AB11">COUNTIFS('PA1'!$S$5:$S$23,INDEX(params_ano,dash_apa!$E$4),'PA1'!$T$5:$T$23,AB$10)+COUNTIFS('PA2'!$S$5:$S$23,INDEX(params_ano,dash_apa!$E$4),'PA2'!$T$5:$T$23,AB$10)+COUNTIFS('PA3'!$S$5:$S$23,INDEX(params_ano,dash_apa!$E$4),'PA3'!$T$5:$T$23,AB$10)+COUNTIFS('PA4'!$S$5:$S$23,INDEX(params_ano,dash_apa!$E$4),'PA4'!$T$5:$T$23,AB$10)</f>
        <v>0</v>
      </c>
      <c r="AC11" s="105" cm="1">
        <f t="array" ref="AC11">COUNTIFS('PA1'!$S$5:$S$23,INDEX(params_ano,dash_apa!$E$4),'PA1'!$T$5:$T$23,AC$10)+COUNTIFS('PA2'!$S$5:$S$23,INDEX(params_ano,dash_apa!$E$4),'PA2'!$T$5:$T$23,AC$10)+COUNTIFS('PA3'!$S$5:$S$23,INDEX(params_ano,dash_apa!$E$4),'PA3'!$T$5:$T$23,AC$10)+COUNTIFS('PA4'!$S$5:$S$23,INDEX(params_ano,dash_apa!$E$4),'PA4'!$T$5:$T$23,AC$10)</f>
        <v>0</v>
      </c>
      <c r="AD11" s="105" cm="1">
        <f t="array" ref="AD11">COUNTIFS('PA1'!$S$5:$S$23,INDEX(params_ano,dash_apa!$E$4),'PA1'!$T$5:$T$23,AD$10)+COUNTIFS('PA2'!$S$5:$S$23,INDEX(params_ano,dash_apa!$E$4),'PA2'!$T$5:$T$23,AD$10)+COUNTIFS('PA3'!$S$5:$S$23,INDEX(params_ano,dash_apa!$E$4),'PA3'!$T$5:$T$23,AD$10)+COUNTIFS('PA4'!$S$5:$S$23,INDEX(params_ano,dash_apa!$E$4),'PA4'!$T$5:$T$23,AD$10)</f>
        <v>0</v>
      </c>
      <c r="AE11" s="105" cm="1">
        <f t="array" ref="AE11">COUNTIFS('PA1'!$S$5:$S$23,INDEX(params_ano,dash_apa!$E$4),'PA1'!$T$5:$T$23,AE$10)+COUNTIFS('PA2'!$S$5:$S$23,INDEX(params_ano,dash_apa!$E$4),'PA2'!$T$5:$T$23,AE$10)+COUNTIFS('PA3'!$S$5:$S$23,INDEX(params_ano,dash_apa!$E$4),'PA3'!$T$5:$T$23,AE$10)+COUNTIFS('PA4'!$S$5:$S$23,INDEX(params_ano,dash_apa!$E$4),'PA4'!$T$5:$T$23,AE$10)</f>
        <v>0</v>
      </c>
      <c r="AF11" s="105" cm="1">
        <f t="array" ref="AF11">COUNTIFS('PA1'!$S$5:$S$23,INDEX(params_ano,dash_apa!$E$4),'PA1'!$T$5:$T$23,AF$10)+COUNTIFS('PA2'!$S$5:$S$23,INDEX(params_ano,dash_apa!$E$4),'PA2'!$T$5:$T$23,AF$10)+COUNTIFS('PA3'!$S$5:$S$23,INDEX(params_ano,dash_apa!$E$4),'PA3'!$T$5:$T$23,AF$10)+COUNTIFS('PA4'!$S$5:$S$23,INDEX(params_ano,dash_apa!$E$4),'PA4'!$T$5:$T$23,AF$10)</f>
        <v>0</v>
      </c>
      <c r="AG11" s="105" cm="1">
        <f t="array" ref="AG11">COUNTIFS('PA1'!$S$5:$S$23,INDEX(params_ano,dash_apa!$E$4),'PA1'!$T$5:$T$23,AG$10)+COUNTIFS('PA2'!$S$5:$S$23,INDEX(params_ano,dash_apa!$E$4),'PA2'!$T$5:$T$23,AG$10)+COUNTIFS('PA3'!$S$5:$S$23,INDEX(params_ano,dash_apa!$E$4),'PA3'!$T$5:$T$23,AG$10)+COUNTIFS('PA4'!$S$5:$S$23,INDEX(params_ano,dash_apa!$E$4),'PA4'!$T$5:$T$23,AG$10)</f>
        <v>0</v>
      </c>
      <c r="AH11" s="105" cm="1">
        <f t="array" ref="AH11">COUNTIFS('PA1'!$S$5:$S$23,INDEX(params_ano,dash_apa!$E$4),'PA1'!$T$5:$T$23,AH$10)+COUNTIFS('PA2'!$S$5:$S$23,INDEX(params_ano,dash_apa!$E$4),'PA2'!$T$5:$T$23,AH$10)+COUNTIFS('PA3'!$S$5:$S$23,INDEX(params_ano,dash_apa!$E$4),'PA3'!$T$5:$T$23,AH$10)+COUNTIFS('PA4'!$S$5:$S$23,INDEX(params_ano,dash_apa!$E$4),'PA4'!$T$5:$T$23,AH$10)</f>
        <v>0</v>
      </c>
      <c r="AI11" s="105" cm="1">
        <f t="array" ref="AI11">COUNTIFS('PA1'!$S$5:$S$23,INDEX(params_ano,dash_apa!$E$4),'PA1'!$T$5:$T$23,AI$10)+COUNTIFS('PA2'!$S$5:$S$23,INDEX(params_ano,dash_apa!$E$4),'PA2'!$T$5:$T$23,AI$10)+COUNTIFS('PA3'!$S$5:$S$23,INDEX(params_ano,dash_apa!$E$4),'PA3'!$T$5:$T$23,AI$10)+COUNTIFS('PA4'!$S$5:$S$23,INDEX(params_ano,dash_apa!$E$4),'PA4'!$T$5:$T$23,AI$10)</f>
        <v>0</v>
      </c>
      <c r="AJ11" s="105" cm="1">
        <f t="array" ref="AJ11">COUNTIFS('PA1'!$S$5:$S$23,INDEX(params_ano,dash_apa!$E$4),'PA1'!$T$5:$T$23,AJ$10)+COUNTIFS('PA2'!$S$5:$S$23,INDEX(params_ano,dash_apa!$E$4),'PA2'!$T$5:$T$23,AJ$10)+COUNTIFS('PA3'!$S$5:$S$23,INDEX(params_ano,dash_apa!$E$4),'PA3'!$T$5:$T$23,AJ$10)+COUNTIFS('PA4'!$S$5:$S$23,INDEX(params_ano,dash_apa!$E$4),'PA4'!$T$5:$T$23,AJ$10)</f>
        <v>0</v>
      </c>
      <c r="AK11" s="105" cm="1">
        <f t="array" ref="AK11">COUNTIFS('PA1'!$S$5:$S$23,INDEX(params_ano,dash_apa!$E$4),'PA1'!$T$5:$T$23,AK$10)+COUNTIFS('PA2'!$S$5:$S$23,INDEX(params_ano,dash_apa!$E$4),'PA2'!$T$5:$T$23,AK$10)+COUNTIFS('PA3'!$S$5:$S$23,INDEX(params_ano,dash_apa!$E$4),'PA3'!$T$5:$T$23,AK$10)+COUNTIFS('PA4'!$S$5:$S$23,INDEX(params_ano,dash_apa!$E$4),'PA4'!$T$5:$T$23,AK$10)</f>
        <v>0</v>
      </c>
      <c r="AL11" s="105" cm="1">
        <f t="array" ref="AL11">COUNTIFS('PA1'!$S$5:$S$23,INDEX(params_ano,dash_apa!$E$4),'PA1'!$T$5:$T$23,AL$10)+COUNTIFS('PA2'!$S$5:$S$23,INDEX(params_ano,dash_apa!$E$4),'PA2'!$T$5:$T$23,AL$10)+COUNTIFS('PA3'!$S$5:$S$23,INDEX(params_ano,dash_apa!$E$4),'PA3'!$T$5:$T$23,AL$10)+COUNTIFS('PA4'!$S$5:$S$23,INDEX(params_ano,dash_apa!$E$4),'PA4'!$T$5:$T$23,AL$10)</f>
        <v>0</v>
      </c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</row>
    <row r="12" spans="3:82" x14ac:dyDescent="0.4">
      <c r="C12" s="177"/>
      <c r="K12" s="178"/>
      <c r="U12" s="105"/>
      <c r="V12" s="105"/>
      <c r="W12" s="105"/>
      <c r="X12" s="105"/>
      <c r="Y12" s="105"/>
      <c r="Z12" s="105" t="s">
        <v>131</v>
      </c>
      <c r="AA12" s="105" cm="1">
        <f t="array" ref="AA12">COUNTIFS('PA1'!$S$5:$S$23,INDEX(params_ano,dash_apa!$E$4),'PA1'!$T$5:$T$23,AA$10)+COUNTIFS('PA2'!$S$5:$S$23,INDEX(params_ano,dash_apa!$E$4),'PA2'!$T$5:$T$23,AA$10)+COUNTIFS('PA3'!$S$5:$S$23,INDEX(params_ano,dash_apa!$E$4),'PA3'!$T$5:$T$23,AA$10)+COUNTIFS('PA4'!$S$5:$S$23,INDEX(params_ano,dash_apa!$E$4),'PA4'!$T$5:$T$23,AA$10)</f>
        <v>0</v>
      </c>
      <c r="AB12" s="105" cm="1">
        <f t="array" ref="AB12">COUNTIFS('PA1'!$S$5:$S$23,INDEX(params_ano,dash_apa!$E$4),'PA1'!$T$5:$T$23,AB$10)+COUNTIFS('PA2'!$S$5:$S$23,INDEX(params_ano,dash_apa!$E$4),'PA2'!$T$5:$T$23,AB$10)+COUNTIFS('PA3'!$S$5:$S$23,INDEX(params_ano,dash_apa!$E$4),'PA3'!$T$5:$T$23,AB$10)+COUNTIFS('PA4'!$S$5:$S$23,INDEX(params_ano,dash_apa!$E$4),'PA4'!$T$5:$T$23,AB$10)</f>
        <v>0</v>
      </c>
      <c r="AC12" s="105" cm="1">
        <f t="array" ref="AC12">COUNTIFS('PA1'!$S$5:$S$23,INDEX(params_ano,dash_apa!$E$4),'PA1'!$T$5:$T$23,AC$10)+COUNTIFS('PA2'!$S$5:$S$23,INDEX(params_ano,dash_apa!$E$4),'PA2'!$T$5:$T$23,AC$10)+COUNTIFS('PA3'!$S$5:$S$23,INDEX(params_ano,dash_apa!$E$4),'PA3'!$T$5:$T$23,AC$10)+COUNTIFS('PA4'!$S$5:$S$23,INDEX(params_ano,dash_apa!$E$4),'PA4'!$T$5:$T$23,AC$10)</f>
        <v>0</v>
      </c>
      <c r="AD12" s="105" cm="1">
        <f t="array" ref="AD12">COUNTIFS('PA1'!$S$5:$S$23,INDEX(params_ano,dash_apa!$E$4),'PA1'!$T$5:$T$23,AD$10)+COUNTIFS('PA2'!$S$5:$S$23,INDEX(params_ano,dash_apa!$E$4),'PA2'!$T$5:$T$23,AD$10)+COUNTIFS('PA3'!$S$5:$S$23,INDEX(params_ano,dash_apa!$E$4),'PA3'!$T$5:$T$23,AD$10)+COUNTIFS('PA4'!$S$5:$S$23,INDEX(params_ano,dash_apa!$E$4),'PA4'!$T$5:$T$23,AD$10)</f>
        <v>0</v>
      </c>
      <c r="AE12" s="105" cm="1">
        <f t="array" ref="AE12">COUNTIFS('PA1'!$S$5:$S$23,INDEX(params_ano,dash_apa!$E$4),'PA1'!$T$5:$T$23,AE$10)+COUNTIFS('PA2'!$S$5:$S$23,INDEX(params_ano,dash_apa!$E$4),'PA2'!$T$5:$T$23,AE$10)+COUNTIFS('PA3'!$S$5:$S$23,INDEX(params_ano,dash_apa!$E$4),'PA3'!$T$5:$T$23,AE$10)+COUNTIFS('PA4'!$S$5:$S$23,INDEX(params_ano,dash_apa!$E$4),'PA4'!$T$5:$T$23,AE$10)</f>
        <v>0</v>
      </c>
      <c r="AF12" s="105" cm="1">
        <f t="array" ref="AF12">COUNTIFS('PA1'!$S$5:$S$23,INDEX(params_ano,dash_apa!$E$4),'PA1'!$T$5:$T$23,AF$10)+COUNTIFS('PA2'!$S$5:$S$23,INDEX(params_ano,dash_apa!$E$4),'PA2'!$T$5:$T$23,AF$10)+COUNTIFS('PA3'!$S$5:$S$23,INDEX(params_ano,dash_apa!$E$4),'PA3'!$T$5:$T$23,AF$10)+COUNTIFS('PA4'!$S$5:$S$23,INDEX(params_ano,dash_apa!$E$4),'PA4'!$T$5:$T$23,AF$10)</f>
        <v>0</v>
      </c>
      <c r="AG12" s="105" cm="1">
        <f t="array" ref="AG12">COUNTIFS('PA1'!$S$5:$S$23,INDEX(params_ano,dash_apa!$E$4),'PA1'!$T$5:$T$23,AG$10)+COUNTIFS('PA2'!$S$5:$S$23,INDEX(params_ano,dash_apa!$E$4),'PA2'!$T$5:$T$23,AG$10)+COUNTIFS('PA3'!$S$5:$S$23,INDEX(params_ano,dash_apa!$E$4),'PA3'!$T$5:$T$23,AG$10)+COUNTIFS('PA4'!$S$5:$S$23,INDEX(params_ano,dash_apa!$E$4),'PA4'!$T$5:$T$23,AG$10)</f>
        <v>0</v>
      </c>
      <c r="AH12" s="105" cm="1">
        <f t="array" ref="AH12">COUNTIFS('PA1'!$S$5:$S$23,INDEX(params_ano,dash_apa!$E$4),'PA1'!$T$5:$T$23,AH$10)+COUNTIFS('PA2'!$S$5:$S$23,INDEX(params_ano,dash_apa!$E$4),'PA2'!$T$5:$T$23,AH$10)+COUNTIFS('PA3'!$S$5:$S$23,INDEX(params_ano,dash_apa!$E$4),'PA3'!$T$5:$T$23,AH$10)+COUNTIFS('PA4'!$S$5:$S$23,INDEX(params_ano,dash_apa!$E$4),'PA4'!$T$5:$T$23,AH$10)</f>
        <v>0</v>
      </c>
      <c r="AI12" s="105" cm="1">
        <f t="array" ref="AI12">COUNTIFS('PA1'!$S$5:$S$23,INDEX(params_ano,dash_apa!$E$4),'PA1'!$T$5:$T$23,AI$10)+COUNTIFS('PA2'!$S$5:$S$23,INDEX(params_ano,dash_apa!$E$4),'PA2'!$T$5:$T$23,AI$10)+COUNTIFS('PA3'!$S$5:$S$23,INDEX(params_ano,dash_apa!$E$4),'PA3'!$T$5:$T$23,AI$10)+COUNTIFS('PA4'!$S$5:$S$23,INDEX(params_ano,dash_apa!$E$4),'PA4'!$T$5:$T$23,AI$10)</f>
        <v>0</v>
      </c>
      <c r="AJ12" s="105" cm="1">
        <f t="array" ref="AJ12">COUNTIFS('PA1'!$S$5:$S$23,INDEX(params_ano,dash_apa!$E$4),'PA1'!$T$5:$T$23,AJ$10)+COUNTIFS('PA2'!$S$5:$S$23,INDEX(params_ano,dash_apa!$E$4),'PA2'!$T$5:$T$23,AJ$10)+COUNTIFS('PA3'!$S$5:$S$23,INDEX(params_ano,dash_apa!$E$4),'PA3'!$T$5:$T$23,AJ$10)+COUNTIFS('PA4'!$S$5:$S$23,INDEX(params_ano,dash_apa!$E$4),'PA4'!$T$5:$T$23,AJ$10)</f>
        <v>0</v>
      </c>
      <c r="AK12" s="105" cm="1">
        <f t="array" ref="AK12">COUNTIFS('PA1'!$S$5:$S$23,INDEX(params_ano,dash_apa!$E$4),'PA1'!$T$5:$T$23,AK$10)+COUNTIFS('PA2'!$S$5:$S$23,INDEX(params_ano,dash_apa!$E$4),'PA2'!$T$5:$T$23,AK$10)+COUNTIFS('PA3'!$S$5:$S$23,INDEX(params_ano,dash_apa!$E$4),'PA3'!$T$5:$T$23,AK$10)+COUNTIFS('PA4'!$S$5:$S$23,INDEX(params_ano,dash_apa!$E$4),'PA4'!$T$5:$T$23,AK$10)</f>
        <v>0</v>
      </c>
      <c r="AL12" s="105" cm="1">
        <f t="array" ref="AL12">COUNTIFS('PA1'!$S$5:$S$23,INDEX(params_ano,dash_apa!$E$4),'PA1'!$T$5:$T$23,AL$10)+COUNTIFS('PA2'!$S$5:$S$23,INDEX(params_ano,dash_apa!$E$4),'PA2'!$T$5:$T$23,AL$10)+COUNTIFS('PA3'!$S$5:$S$23,INDEX(params_ano,dash_apa!$E$4),'PA3'!$T$5:$T$23,AL$10)+COUNTIFS('PA4'!$S$5:$S$23,INDEX(params_ano,dash_apa!$E$4),'PA4'!$T$5:$T$23,AL$10)</f>
        <v>0</v>
      </c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</row>
    <row r="13" spans="3:82" x14ac:dyDescent="0.4">
      <c r="C13" s="177"/>
      <c r="K13" s="178"/>
      <c r="U13" s="105"/>
      <c r="V13" s="105"/>
      <c r="W13" s="105"/>
      <c r="X13" s="105"/>
      <c r="Y13" s="105"/>
      <c r="Z13" s="105" t="s">
        <v>147</v>
      </c>
      <c r="AA13" s="105" cm="1">
        <f t="array" ref="AA13">COUNTIFS('PA1'!$S$5:$S$23,INDEX(params_ano,$E$4),'PA1'!$M$5:$M$23,parametros!$L$3,'PA1'!$T$5:$T$23,AA$10)+COUNTIFS('PA2'!$S$5:$S$23,INDEX(params_ano,$E$4),'PA2'!$M$5:$M$23,parametros!$L$3,'PA2'!$T$5:$T$23,AA$10)+COUNTIFS('PA3'!$S$5:$S$23,INDEX(params_ano,$E$4),'PA3'!$M$5:$M$23,parametros!$L$3,'PA3'!$T$5:$T$23,AA$10)+COUNTIFS('PA4'!$S$5:$S$23,INDEX(params_ano,$E$4),'PA4'!$M$5:$M$23,parametros!$L$3,'PA4'!$T$5:$T$23,AA$10)</f>
        <v>0</v>
      </c>
      <c r="AB13" s="105" cm="1">
        <f t="array" ref="AB13">COUNTIFS('PA1'!$S$5:$S$23,INDEX(params_ano,$E$4),'PA1'!$M$5:$M$23,parametros!$L$3,'PA1'!$T$5:$T$23,AB$10)+COUNTIFS('PA2'!$S$5:$S$23,INDEX(params_ano,$E$4),'PA2'!$M$5:$M$23,parametros!$L$3,'PA2'!$T$5:$T$23,AB$10)+COUNTIFS('PA3'!$S$5:$S$23,INDEX(params_ano,$E$4),'PA3'!$M$5:$M$23,parametros!$L$3,'PA3'!$T$5:$T$23,AB$10)+COUNTIFS('PA4'!$S$5:$S$23,INDEX(params_ano,$E$4),'PA4'!$M$5:$M$23,parametros!$L$3,'PA4'!$T$5:$T$23,AB$10)</f>
        <v>0</v>
      </c>
      <c r="AC13" s="105" cm="1">
        <f t="array" ref="AC13">COUNTIFS('PA1'!$S$5:$S$23,INDEX(params_ano,$E$4),'PA1'!$M$5:$M$23,parametros!$L$3,'PA1'!$T$5:$T$23,AC$10)+COUNTIFS('PA2'!$S$5:$S$23,INDEX(params_ano,$E$4),'PA2'!$M$5:$M$23,parametros!$L$3,'PA2'!$T$5:$T$23,AC$10)+COUNTIFS('PA3'!$S$5:$S$23,INDEX(params_ano,$E$4),'PA3'!$M$5:$M$23,parametros!$L$3,'PA3'!$T$5:$T$23,AC$10)+COUNTIFS('PA4'!$S$5:$S$23,INDEX(params_ano,$E$4),'PA4'!$M$5:$M$23,parametros!$L$3,'PA4'!$T$5:$T$23,AC$10)</f>
        <v>0</v>
      </c>
      <c r="AD13" s="105" cm="1">
        <f t="array" ref="AD13">COUNTIFS('PA1'!$S$5:$S$23,INDEX(params_ano,$E$4),'PA1'!$M$5:$M$23,parametros!$L$3,'PA1'!$T$5:$T$23,AD$10)+COUNTIFS('PA2'!$S$5:$S$23,INDEX(params_ano,$E$4),'PA2'!$M$5:$M$23,parametros!$L$3,'PA2'!$T$5:$T$23,AD$10)+COUNTIFS('PA3'!$S$5:$S$23,INDEX(params_ano,$E$4),'PA3'!$M$5:$M$23,parametros!$L$3,'PA3'!$T$5:$T$23,AD$10)+COUNTIFS('PA4'!$S$5:$S$23,INDEX(params_ano,$E$4),'PA4'!$M$5:$M$23,parametros!$L$3,'PA4'!$T$5:$T$23,AD$10)</f>
        <v>0</v>
      </c>
      <c r="AE13" s="105" cm="1">
        <f t="array" ref="AE13">COUNTIFS('PA1'!$S$5:$S$23,INDEX(params_ano,$E$4),'PA1'!$M$5:$M$23,parametros!$L$3,'PA1'!$T$5:$T$23,AE$10)+COUNTIFS('PA2'!$S$5:$S$23,INDEX(params_ano,$E$4),'PA2'!$M$5:$M$23,parametros!$L$3,'PA2'!$T$5:$T$23,AE$10)+COUNTIFS('PA3'!$S$5:$S$23,INDEX(params_ano,$E$4),'PA3'!$M$5:$M$23,parametros!$L$3,'PA3'!$T$5:$T$23,AE$10)+COUNTIFS('PA4'!$S$5:$S$23,INDEX(params_ano,$E$4),'PA4'!$M$5:$M$23,parametros!$L$3,'PA4'!$T$5:$T$23,AE$10)</f>
        <v>0</v>
      </c>
      <c r="AF13" s="105" cm="1">
        <f t="array" ref="AF13">COUNTIFS('PA1'!$S$5:$S$23,INDEX(params_ano,$E$4),'PA1'!$M$5:$M$23,parametros!$L$3,'PA1'!$T$5:$T$23,AF$10)+COUNTIFS('PA2'!$S$5:$S$23,INDEX(params_ano,$E$4),'PA2'!$M$5:$M$23,parametros!$L$3,'PA2'!$T$5:$T$23,AF$10)+COUNTIFS('PA3'!$S$5:$S$23,INDEX(params_ano,$E$4),'PA3'!$M$5:$M$23,parametros!$L$3,'PA3'!$T$5:$T$23,AF$10)+COUNTIFS('PA4'!$S$5:$S$23,INDEX(params_ano,$E$4),'PA4'!$M$5:$M$23,parametros!$L$3,'PA4'!$T$5:$T$23,AF$10)</f>
        <v>0</v>
      </c>
      <c r="AG13" s="105" cm="1">
        <f t="array" ref="AG13">COUNTIFS('PA1'!$S$5:$S$23,INDEX(params_ano,$E$4),'PA1'!$M$5:$M$23,parametros!$L$3,'PA1'!$T$5:$T$23,AG$10)+COUNTIFS('PA2'!$S$5:$S$23,INDEX(params_ano,$E$4),'PA2'!$M$5:$M$23,parametros!$L$3,'PA2'!$T$5:$T$23,AG$10)+COUNTIFS('PA3'!$S$5:$S$23,INDEX(params_ano,$E$4),'PA3'!$M$5:$M$23,parametros!$L$3,'PA3'!$T$5:$T$23,AG$10)+COUNTIFS('PA4'!$S$5:$S$23,INDEX(params_ano,$E$4),'PA4'!$M$5:$M$23,parametros!$L$3,'PA4'!$T$5:$T$23,AG$10)</f>
        <v>0</v>
      </c>
      <c r="AH13" s="105" cm="1">
        <f t="array" ref="AH13">COUNTIFS('PA1'!$S$5:$S$23,INDEX(params_ano,$E$4),'PA1'!$M$5:$M$23,parametros!$L$3,'PA1'!$T$5:$T$23,AH$10)+COUNTIFS('PA2'!$S$5:$S$23,INDEX(params_ano,$E$4),'PA2'!$M$5:$M$23,parametros!$L$3,'PA2'!$T$5:$T$23,AH$10)+COUNTIFS('PA3'!$S$5:$S$23,INDEX(params_ano,$E$4),'PA3'!$M$5:$M$23,parametros!$L$3,'PA3'!$T$5:$T$23,AH$10)+COUNTIFS('PA4'!$S$5:$S$23,INDEX(params_ano,$E$4),'PA4'!$M$5:$M$23,parametros!$L$3,'PA4'!$T$5:$T$23,AH$10)</f>
        <v>0</v>
      </c>
      <c r="AI13" s="105" cm="1">
        <f t="array" ref="AI13">COUNTIFS('PA1'!$S$5:$S$23,INDEX(params_ano,$E$4),'PA1'!$M$5:$M$23,parametros!$L$3,'PA1'!$T$5:$T$23,AI$10)+COUNTIFS('PA2'!$S$5:$S$23,INDEX(params_ano,$E$4),'PA2'!$M$5:$M$23,parametros!$L$3,'PA2'!$T$5:$T$23,AI$10)+COUNTIFS('PA3'!$S$5:$S$23,INDEX(params_ano,$E$4),'PA3'!$M$5:$M$23,parametros!$L$3,'PA3'!$T$5:$T$23,AI$10)+COUNTIFS('PA4'!$S$5:$S$23,INDEX(params_ano,$E$4),'PA4'!$M$5:$M$23,parametros!$L$3,'PA4'!$T$5:$T$23,AI$10)</f>
        <v>0</v>
      </c>
      <c r="AJ13" s="105" cm="1">
        <f t="array" ref="AJ13">COUNTIFS('PA1'!$S$5:$S$23,INDEX(params_ano,$E$4),'PA1'!$M$5:$M$23,parametros!$L$3,'PA1'!$T$5:$T$23,AJ$10)+COUNTIFS('PA2'!$S$5:$S$23,INDEX(params_ano,$E$4),'PA2'!$M$5:$M$23,parametros!$L$3,'PA2'!$T$5:$T$23,AJ$10)+COUNTIFS('PA3'!$S$5:$S$23,INDEX(params_ano,$E$4),'PA3'!$M$5:$M$23,parametros!$L$3,'PA3'!$T$5:$T$23,AJ$10)+COUNTIFS('PA4'!$S$5:$S$23,INDEX(params_ano,$E$4),'PA4'!$M$5:$M$23,parametros!$L$3,'PA4'!$T$5:$T$23,AJ$10)</f>
        <v>0</v>
      </c>
      <c r="AK13" s="105" cm="1">
        <f t="array" ref="AK13">COUNTIFS('PA1'!$S$5:$S$23,INDEX(params_ano,$E$4),'PA1'!$M$5:$M$23,parametros!$L$3,'PA1'!$T$5:$T$23,AK$10)+COUNTIFS('PA2'!$S$5:$S$23,INDEX(params_ano,$E$4),'PA2'!$M$5:$M$23,parametros!$L$3,'PA2'!$T$5:$T$23,AK$10)+COUNTIFS('PA3'!$S$5:$S$23,INDEX(params_ano,$E$4),'PA3'!$M$5:$M$23,parametros!$L$3,'PA3'!$T$5:$T$23,AK$10)+COUNTIFS('PA4'!$S$5:$S$23,INDEX(params_ano,$E$4),'PA4'!$M$5:$M$23,parametros!$L$3,'PA4'!$T$5:$T$23,AK$10)</f>
        <v>0</v>
      </c>
      <c r="AL13" s="105" cm="1">
        <f t="array" ref="AL13">COUNTIFS('PA1'!$S$5:$S$23,INDEX(params_ano,$E$4),'PA1'!$M$5:$M$23,parametros!$L$3,'PA1'!$T$5:$T$23,AL$10)+COUNTIFS('PA2'!$S$5:$S$23,INDEX(params_ano,$E$4),'PA2'!$M$5:$M$23,parametros!$L$3,'PA2'!$T$5:$T$23,AL$10)+COUNTIFS('PA3'!$S$5:$S$23,INDEX(params_ano,$E$4),'PA3'!$M$5:$M$23,parametros!$L$3,'PA3'!$T$5:$T$23,AL$10)+COUNTIFS('PA4'!$S$5:$S$23,INDEX(params_ano,$E$4),'PA4'!$M$5:$M$23,parametros!$L$3,'PA4'!$T$5:$T$23,AL$10)</f>
        <v>0</v>
      </c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</row>
    <row r="14" spans="3:82" x14ac:dyDescent="0.4">
      <c r="C14" s="177"/>
      <c r="K14" s="178"/>
      <c r="U14" s="105"/>
      <c r="V14" s="105"/>
      <c r="W14" s="105"/>
      <c r="X14" s="105"/>
      <c r="Y14" s="105"/>
      <c r="Z14" s="105" t="s">
        <v>102</v>
      </c>
      <c r="AA14" s="105" cm="1">
        <f t="array" ref="AA14">COUNTIFS('PA1'!$S$5:$S$23,INDEX(params_ano,$E$4),'PA1'!$M$5:$M$23,parametros!$L$4,'PA1'!$T$5:$T$23,AA$10)+COUNTIFS('PA2'!$S$5:$S$23,INDEX(params_ano,$E$4),'PA2'!$M$5:$M$23,parametros!$L$4,'PA2'!$T$5:$T$23,AA$10)+COUNTIFS('PA3'!$S$5:$S$23,INDEX(params_ano,$E$4),'PA3'!$M$5:$M$23,parametros!$L$4,'PA3'!$T$5:$T$23,AA$10)+COUNTIFS('PA4'!$S$5:$S$23,INDEX(params_ano,$E$4),'PA4'!$M$5:$M$23,parametros!$L$4,'PA4'!$T$5:$T$23,AA$10)</f>
        <v>0</v>
      </c>
      <c r="AB14" s="105" cm="1">
        <f t="array" ref="AB14">COUNTIFS('PA1'!$S$5:$S$23,INDEX(params_ano,$E$4),'PA1'!$M$5:$M$23,parametros!$L$4,'PA1'!$T$5:$T$23,AB$10)+COUNTIFS('PA2'!$S$5:$S$23,INDEX(params_ano,$E$4),'PA2'!$M$5:$M$23,parametros!$L$4,'PA2'!$T$5:$T$23,AB$10)+COUNTIFS('PA3'!$S$5:$S$23,INDEX(params_ano,$E$4),'PA3'!$M$5:$M$23,parametros!$L$4,'PA3'!$T$5:$T$23,AB$10)+COUNTIFS('PA4'!$S$5:$S$23,INDEX(params_ano,$E$4),'PA4'!$M$5:$M$23,parametros!$L$4,'PA4'!$T$5:$T$23,AB$10)</f>
        <v>0</v>
      </c>
      <c r="AC14" s="105" cm="1">
        <f t="array" ref="AC14">COUNTIFS('PA1'!$S$5:$S$23,INDEX(params_ano,$E$4),'PA1'!$M$5:$M$23,parametros!$L$4,'PA1'!$T$5:$T$23,AC$10)+COUNTIFS('PA2'!$S$5:$S$23,INDEX(params_ano,$E$4),'PA2'!$M$5:$M$23,parametros!$L$4,'PA2'!$T$5:$T$23,AC$10)+COUNTIFS('PA3'!$S$5:$S$23,INDEX(params_ano,$E$4),'PA3'!$M$5:$M$23,parametros!$L$4,'PA3'!$T$5:$T$23,AC$10)+COUNTIFS('PA4'!$S$5:$S$23,INDEX(params_ano,$E$4),'PA4'!$M$5:$M$23,parametros!$L$4,'PA4'!$T$5:$T$23,AC$10)</f>
        <v>0</v>
      </c>
      <c r="AD14" s="105" cm="1">
        <f t="array" ref="AD14">COUNTIFS('PA1'!$S$5:$S$23,INDEX(params_ano,$E$4),'PA1'!$M$5:$M$23,parametros!$L$4,'PA1'!$T$5:$T$23,AD$10)+COUNTIFS('PA2'!$S$5:$S$23,INDEX(params_ano,$E$4),'PA2'!$M$5:$M$23,parametros!$L$4,'PA2'!$T$5:$T$23,AD$10)+COUNTIFS('PA3'!$S$5:$S$23,INDEX(params_ano,$E$4),'PA3'!$M$5:$M$23,parametros!$L$4,'PA3'!$T$5:$T$23,AD$10)+COUNTIFS('PA4'!$S$5:$S$23,INDEX(params_ano,$E$4),'PA4'!$M$5:$M$23,parametros!$L$4,'PA4'!$T$5:$T$23,AD$10)</f>
        <v>0</v>
      </c>
      <c r="AE14" s="105" cm="1">
        <f t="array" ref="AE14">COUNTIFS('PA1'!$S$5:$S$23,INDEX(params_ano,$E$4),'PA1'!$M$5:$M$23,parametros!$L$4,'PA1'!$T$5:$T$23,AE$10)+COUNTIFS('PA2'!$S$5:$S$23,INDEX(params_ano,$E$4),'PA2'!$M$5:$M$23,parametros!$L$4,'PA2'!$T$5:$T$23,AE$10)+COUNTIFS('PA3'!$S$5:$S$23,INDEX(params_ano,$E$4),'PA3'!$M$5:$M$23,parametros!$L$4,'PA3'!$T$5:$T$23,AE$10)+COUNTIFS('PA4'!$S$5:$S$23,INDEX(params_ano,$E$4),'PA4'!$M$5:$M$23,parametros!$L$4,'PA4'!$T$5:$T$23,AE$10)</f>
        <v>0</v>
      </c>
      <c r="AF14" s="105" cm="1">
        <f t="array" ref="AF14">COUNTIFS('PA1'!$S$5:$S$23,INDEX(params_ano,$E$4),'PA1'!$M$5:$M$23,parametros!$L$4,'PA1'!$T$5:$T$23,AF$10)+COUNTIFS('PA2'!$S$5:$S$23,INDEX(params_ano,$E$4),'PA2'!$M$5:$M$23,parametros!$L$4,'PA2'!$T$5:$T$23,AF$10)+COUNTIFS('PA3'!$S$5:$S$23,INDEX(params_ano,$E$4),'PA3'!$M$5:$M$23,parametros!$L$4,'PA3'!$T$5:$T$23,AF$10)+COUNTIFS('PA4'!$S$5:$S$23,INDEX(params_ano,$E$4),'PA4'!$M$5:$M$23,parametros!$L$4,'PA4'!$T$5:$T$23,AF$10)</f>
        <v>0</v>
      </c>
      <c r="AG14" s="105" cm="1">
        <f t="array" ref="AG14">COUNTIFS('PA1'!$S$5:$S$23,INDEX(params_ano,$E$4),'PA1'!$M$5:$M$23,parametros!$L$4,'PA1'!$T$5:$T$23,AG$10)+COUNTIFS('PA2'!$S$5:$S$23,INDEX(params_ano,$E$4),'PA2'!$M$5:$M$23,parametros!$L$4,'PA2'!$T$5:$T$23,AG$10)+COUNTIFS('PA3'!$S$5:$S$23,INDEX(params_ano,$E$4),'PA3'!$M$5:$M$23,parametros!$L$4,'PA3'!$T$5:$T$23,AG$10)+COUNTIFS('PA4'!$S$5:$S$23,INDEX(params_ano,$E$4),'PA4'!$M$5:$M$23,parametros!$L$4,'PA4'!$T$5:$T$23,AG$10)</f>
        <v>0</v>
      </c>
      <c r="AH14" s="105" cm="1">
        <f t="array" ref="AH14">COUNTIFS('PA1'!$S$5:$S$23,INDEX(params_ano,$E$4),'PA1'!$M$5:$M$23,parametros!$L$4,'PA1'!$T$5:$T$23,AH$10)+COUNTIFS('PA2'!$S$5:$S$23,INDEX(params_ano,$E$4),'PA2'!$M$5:$M$23,parametros!$L$4,'PA2'!$T$5:$T$23,AH$10)+COUNTIFS('PA3'!$S$5:$S$23,INDEX(params_ano,$E$4),'PA3'!$M$5:$M$23,parametros!$L$4,'PA3'!$T$5:$T$23,AH$10)+COUNTIFS('PA4'!$S$5:$S$23,INDEX(params_ano,$E$4),'PA4'!$M$5:$M$23,parametros!$L$4,'PA4'!$T$5:$T$23,AH$10)</f>
        <v>0</v>
      </c>
      <c r="AI14" s="105" cm="1">
        <f t="array" ref="AI14">COUNTIFS('PA1'!$S$5:$S$23,INDEX(params_ano,$E$4),'PA1'!$M$5:$M$23,parametros!$L$4,'PA1'!$T$5:$T$23,AI$10)+COUNTIFS('PA2'!$S$5:$S$23,INDEX(params_ano,$E$4),'PA2'!$M$5:$M$23,parametros!$L$4,'PA2'!$T$5:$T$23,AI$10)+COUNTIFS('PA3'!$S$5:$S$23,INDEX(params_ano,$E$4),'PA3'!$M$5:$M$23,parametros!$L$4,'PA3'!$T$5:$T$23,AI$10)+COUNTIFS('PA4'!$S$5:$S$23,INDEX(params_ano,$E$4),'PA4'!$M$5:$M$23,parametros!$L$4,'PA4'!$T$5:$T$23,AI$10)</f>
        <v>0</v>
      </c>
      <c r="AJ14" s="105" cm="1">
        <f t="array" ref="AJ14">COUNTIFS('PA1'!$S$5:$S$23,INDEX(params_ano,$E$4),'PA1'!$M$5:$M$23,parametros!$L$4,'PA1'!$T$5:$T$23,AJ$10)+COUNTIFS('PA2'!$S$5:$S$23,INDEX(params_ano,$E$4),'PA2'!$M$5:$M$23,parametros!$L$4,'PA2'!$T$5:$T$23,AJ$10)+COUNTIFS('PA3'!$S$5:$S$23,INDEX(params_ano,$E$4),'PA3'!$M$5:$M$23,parametros!$L$4,'PA3'!$T$5:$T$23,AJ$10)+COUNTIFS('PA4'!$S$5:$S$23,INDEX(params_ano,$E$4),'PA4'!$M$5:$M$23,parametros!$L$4,'PA4'!$T$5:$T$23,AJ$10)</f>
        <v>0</v>
      </c>
      <c r="AK14" s="105" cm="1">
        <f t="array" ref="AK14">COUNTIFS('PA1'!$S$5:$S$23,INDEX(params_ano,$E$4),'PA1'!$M$5:$M$23,parametros!$L$4,'PA1'!$T$5:$T$23,AK$10)+COUNTIFS('PA2'!$S$5:$S$23,INDEX(params_ano,$E$4),'PA2'!$M$5:$M$23,parametros!$L$4,'PA2'!$T$5:$T$23,AK$10)+COUNTIFS('PA3'!$S$5:$S$23,INDEX(params_ano,$E$4),'PA3'!$M$5:$M$23,parametros!$L$4,'PA3'!$T$5:$T$23,AK$10)+COUNTIFS('PA4'!$S$5:$S$23,INDEX(params_ano,$E$4),'PA4'!$M$5:$M$23,parametros!$L$4,'PA4'!$T$5:$T$23,AK$10)</f>
        <v>0</v>
      </c>
      <c r="AL14" s="105" cm="1">
        <f t="array" ref="AL14">COUNTIFS('PA1'!$S$5:$S$23,INDEX(params_ano,$E$4),'PA1'!$M$5:$M$23,parametros!$L$4,'PA1'!$T$5:$T$23,AL$10)+COUNTIFS('PA2'!$S$5:$S$23,INDEX(params_ano,$E$4),'PA2'!$M$5:$M$23,parametros!$L$4,'PA2'!$T$5:$T$23,AL$10)+COUNTIFS('PA3'!$S$5:$S$23,INDEX(params_ano,$E$4),'PA3'!$M$5:$M$23,parametros!$L$4,'PA3'!$T$5:$T$23,AL$10)+COUNTIFS('PA4'!$S$5:$S$23,INDEX(params_ano,$E$4),'PA4'!$M$5:$M$23,parametros!$L$4,'PA4'!$T$5:$T$23,AL$10)</f>
        <v>0</v>
      </c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</row>
    <row r="15" spans="3:82" x14ac:dyDescent="0.4">
      <c r="C15" s="177"/>
      <c r="K15" s="178"/>
      <c r="U15" s="105"/>
      <c r="V15" s="105"/>
      <c r="W15" s="105"/>
      <c r="X15" s="105"/>
      <c r="Y15" s="105"/>
      <c r="Z15" s="105" t="s">
        <v>148</v>
      </c>
      <c r="AA15" s="105" cm="1">
        <f t="array" ref="AA15">COUNTIFS('PA1'!$S$5:$S$23,INDEX(params_ano,$E$4),'PA1'!$M$5:$M$23,parametros!$L$2,'PA1'!$T$5:$T$23,AA$10)+COUNTIFS('PA2'!$S$5:$S$23,INDEX(params_ano,$E$4),'PA2'!$M$5:$M$23,parametros!$L$2,'PA2'!$T$5:$T$23,AA$10)+COUNTIFS('PA3'!$S$5:$S$23,INDEX(params_ano,$E$4),'PA3'!$M$5:$M$23,parametros!$L$2,'PA3'!$T$5:$T$23,AA$10)+COUNTIFS('PA4'!$S$5:$S$23,INDEX(params_ano,$E$4),'PA4'!$M$5:$M$23,parametros!$L$2,'PA4'!$T$5:$T$23,AA$10)</f>
        <v>0</v>
      </c>
      <c r="AB15" s="105" cm="1">
        <f t="array" ref="AB15">COUNTIFS('PA1'!$S$5:$S$23,INDEX(params_ano,$E$4),'PA1'!$M$5:$M$23,parametros!$L$2,'PA1'!$T$5:$T$23,AB$10)+COUNTIFS('PA2'!$S$5:$S$23,INDEX(params_ano,$E$4),'PA2'!$M$5:$M$23,parametros!$L$2,'PA2'!$T$5:$T$23,AB$10)+COUNTIFS('PA3'!$S$5:$S$23,INDEX(params_ano,$E$4),'PA3'!$M$5:$M$23,parametros!$L$2,'PA3'!$T$5:$T$23,AB$10)+COUNTIFS('PA4'!$S$5:$S$23,INDEX(params_ano,$E$4),'PA4'!$M$5:$M$23,parametros!$L$2,'PA4'!$T$5:$T$23,AB$10)</f>
        <v>0</v>
      </c>
      <c r="AC15" s="105" cm="1">
        <f t="array" ref="AC15">COUNTIFS('PA1'!$S$5:$S$23,INDEX(params_ano,$E$4),'PA1'!$M$5:$M$23,parametros!$L$2,'PA1'!$T$5:$T$23,AC$10)+COUNTIFS('PA2'!$S$5:$S$23,INDEX(params_ano,$E$4),'PA2'!$M$5:$M$23,parametros!$L$2,'PA2'!$T$5:$T$23,AC$10)+COUNTIFS('PA3'!$S$5:$S$23,INDEX(params_ano,$E$4),'PA3'!$M$5:$M$23,parametros!$L$2,'PA3'!$T$5:$T$23,AC$10)+COUNTIFS('PA4'!$S$5:$S$23,INDEX(params_ano,$E$4),'PA4'!$M$5:$M$23,parametros!$L$2,'PA4'!$T$5:$T$23,AC$10)</f>
        <v>0</v>
      </c>
      <c r="AD15" s="105" cm="1">
        <f t="array" ref="AD15">COUNTIFS('PA1'!$S$5:$S$23,INDEX(params_ano,$E$4),'PA1'!$M$5:$M$23,parametros!$L$2,'PA1'!$T$5:$T$23,AD$10)+COUNTIFS('PA2'!$S$5:$S$23,INDEX(params_ano,$E$4),'PA2'!$M$5:$M$23,parametros!$L$2,'PA2'!$T$5:$T$23,AD$10)+COUNTIFS('PA3'!$S$5:$S$23,INDEX(params_ano,$E$4),'PA3'!$M$5:$M$23,parametros!$L$2,'PA3'!$T$5:$T$23,AD$10)+COUNTIFS('PA4'!$S$5:$S$23,INDEX(params_ano,$E$4),'PA4'!$M$5:$M$23,parametros!$L$2,'PA4'!$T$5:$T$23,AD$10)</f>
        <v>0</v>
      </c>
      <c r="AE15" s="105" cm="1">
        <f t="array" ref="AE15">COUNTIFS('PA1'!$S$5:$S$23,INDEX(params_ano,$E$4),'PA1'!$M$5:$M$23,parametros!$L$2,'PA1'!$T$5:$T$23,AE$10)+COUNTIFS('PA2'!$S$5:$S$23,INDEX(params_ano,$E$4),'PA2'!$M$5:$M$23,parametros!$L$2,'PA2'!$T$5:$T$23,AE$10)+COUNTIFS('PA3'!$S$5:$S$23,INDEX(params_ano,$E$4),'PA3'!$M$5:$M$23,parametros!$L$2,'PA3'!$T$5:$T$23,AE$10)+COUNTIFS('PA4'!$S$5:$S$23,INDEX(params_ano,$E$4),'PA4'!$M$5:$M$23,parametros!$L$2,'PA4'!$T$5:$T$23,AE$10)</f>
        <v>0</v>
      </c>
      <c r="AF15" s="105" cm="1">
        <f t="array" ref="AF15">COUNTIFS('PA1'!$S$5:$S$23,INDEX(params_ano,$E$4),'PA1'!$M$5:$M$23,parametros!$L$2,'PA1'!$T$5:$T$23,AF$10)+COUNTIFS('PA2'!$S$5:$S$23,INDEX(params_ano,$E$4),'PA2'!$M$5:$M$23,parametros!$L$2,'PA2'!$T$5:$T$23,AF$10)+COUNTIFS('PA3'!$S$5:$S$23,INDEX(params_ano,$E$4),'PA3'!$M$5:$M$23,parametros!$L$2,'PA3'!$T$5:$T$23,AF$10)+COUNTIFS('PA4'!$S$5:$S$23,INDEX(params_ano,$E$4),'PA4'!$M$5:$M$23,parametros!$L$2,'PA4'!$T$5:$T$23,AF$10)</f>
        <v>0</v>
      </c>
      <c r="AG15" s="105" cm="1">
        <f t="array" ref="AG15">COUNTIFS('PA1'!$S$5:$S$23,INDEX(params_ano,$E$4),'PA1'!$M$5:$M$23,parametros!$L$2,'PA1'!$T$5:$T$23,AG$10)+COUNTIFS('PA2'!$S$5:$S$23,INDEX(params_ano,$E$4),'PA2'!$M$5:$M$23,parametros!$L$2,'PA2'!$T$5:$T$23,AG$10)+COUNTIFS('PA3'!$S$5:$S$23,INDEX(params_ano,$E$4),'PA3'!$M$5:$M$23,parametros!$L$2,'PA3'!$T$5:$T$23,AG$10)+COUNTIFS('PA4'!$S$5:$S$23,INDEX(params_ano,$E$4),'PA4'!$M$5:$M$23,parametros!$L$2,'PA4'!$T$5:$T$23,AG$10)</f>
        <v>0</v>
      </c>
      <c r="AH15" s="105" cm="1">
        <f t="array" ref="AH15">COUNTIFS('PA1'!$S$5:$S$23,INDEX(params_ano,$E$4),'PA1'!$M$5:$M$23,parametros!$L$2,'PA1'!$T$5:$T$23,AH$10)+COUNTIFS('PA2'!$S$5:$S$23,INDEX(params_ano,$E$4),'PA2'!$M$5:$M$23,parametros!$L$2,'PA2'!$T$5:$T$23,AH$10)+COUNTIFS('PA3'!$S$5:$S$23,INDEX(params_ano,$E$4),'PA3'!$M$5:$M$23,parametros!$L$2,'PA3'!$T$5:$T$23,AH$10)+COUNTIFS('PA4'!$S$5:$S$23,INDEX(params_ano,$E$4),'PA4'!$M$5:$M$23,parametros!$L$2,'PA4'!$T$5:$T$23,AH$10)</f>
        <v>0</v>
      </c>
      <c r="AI15" s="105" cm="1">
        <f t="array" ref="AI15">COUNTIFS('PA1'!$S$5:$S$23,INDEX(params_ano,$E$4),'PA1'!$M$5:$M$23,parametros!$L$2,'PA1'!$T$5:$T$23,AI$10)+COUNTIFS('PA2'!$S$5:$S$23,INDEX(params_ano,$E$4),'PA2'!$M$5:$M$23,parametros!$L$2,'PA2'!$T$5:$T$23,AI$10)+COUNTIFS('PA3'!$S$5:$S$23,INDEX(params_ano,$E$4),'PA3'!$M$5:$M$23,parametros!$L$2,'PA3'!$T$5:$T$23,AI$10)+COUNTIFS('PA4'!$S$5:$S$23,INDEX(params_ano,$E$4),'PA4'!$M$5:$M$23,parametros!$L$2,'PA4'!$T$5:$T$23,AI$10)</f>
        <v>0</v>
      </c>
      <c r="AJ15" s="105" cm="1">
        <f t="array" ref="AJ15">COUNTIFS('PA1'!$S$5:$S$23,INDEX(params_ano,$E$4),'PA1'!$M$5:$M$23,parametros!$L$2,'PA1'!$T$5:$T$23,AJ$10)+COUNTIFS('PA2'!$S$5:$S$23,INDEX(params_ano,$E$4),'PA2'!$M$5:$M$23,parametros!$L$2,'PA2'!$T$5:$T$23,AJ$10)+COUNTIFS('PA3'!$S$5:$S$23,INDEX(params_ano,$E$4),'PA3'!$M$5:$M$23,parametros!$L$2,'PA3'!$T$5:$T$23,AJ$10)+COUNTIFS('PA4'!$S$5:$S$23,INDEX(params_ano,$E$4),'PA4'!$M$5:$M$23,parametros!$L$2,'PA4'!$T$5:$T$23,AJ$10)</f>
        <v>0</v>
      </c>
      <c r="AK15" s="105" cm="1">
        <f t="array" ref="AK15">COUNTIFS('PA1'!$S$5:$S$23,INDEX(params_ano,$E$4),'PA1'!$M$5:$M$23,parametros!$L$2,'PA1'!$T$5:$T$23,AK$10)+COUNTIFS('PA2'!$S$5:$S$23,INDEX(params_ano,$E$4),'PA2'!$M$5:$M$23,parametros!$L$2,'PA2'!$T$5:$T$23,AK$10)+COUNTIFS('PA3'!$S$5:$S$23,INDEX(params_ano,$E$4),'PA3'!$M$5:$M$23,parametros!$L$2,'PA3'!$T$5:$T$23,AK$10)+COUNTIFS('PA4'!$S$5:$S$23,INDEX(params_ano,$E$4),'PA4'!$M$5:$M$23,parametros!$L$2,'PA4'!$T$5:$T$23,AK$10)</f>
        <v>0</v>
      </c>
      <c r="AL15" s="105" cm="1">
        <f t="array" ref="AL15">COUNTIFS('PA1'!$S$5:$S$23,INDEX(params_ano,$E$4),'PA1'!$M$5:$M$23,parametros!$L$2,'PA1'!$T$5:$T$23,AL$10)+COUNTIFS('PA2'!$S$5:$S$23,INDEX(params_ano,$E$4),'PA2'!$M$5:$M$23,parametros!$L$2,'PA2'!$T$5:$T$23,AL$10)+COUNTIFS('PA3'!$S$5:$S$23,INDEX(params_ano,$E$4),'PA3'!$M$5:$M$23,parametros!$L$2,'PA3'!$T$5:$T$23,AL$10)+COUNTIFS('PA4'!$S$5:$S$23,INDEX(params_ano,$E$4),'PA4'!$M$5:$M$23,parametros!$L$2,'PA4'!$T$5:$T$23,AL$10)</f>
        <v>0</v>
      </c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</row>
    <row r="16" spans="3:82" x14ac:dyDescent="0.4">
      <c r="C16" s="177"/>
      <c r="K16" s="178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</row>
    <row r="17" spans="3:82" x14ac:dyDescent="0.4">
      <c r="C17" s="177"/>
      <c r="K17" s="178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</row>
    <row r="18" spans="3:82" x14ac:dyDescent="0.4">
      <c r="C18" s="177"/>
      <c r="K18" s="178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</row>
    <row r="19" spans="3:82" x14ac:dyDescent="0.4">
      <c r="C19" s="179"/>
      <c r="D19" s="18"/>
      <c r="E19" s="18"/>
      <c r="F19" s="18"/>
      <c r="G19" s="18"/>
      <c r="H19" s="18"/>
      <c r="I19" s="18"/>
      <c r="J19" s="18"/>
      <c r="K19" s="181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</row>
    <row r="20" spans="3:82" x14ac:dyDescent="0.4"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</row>
    <row r="21" spans="3:82" x14ac:dyDescent="0.4"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</row>
    <row r="22" spans="3:82" x14ac:dyDescent="0.4"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</row>
    <row r="23" spans="3:82" x14ac:dyDescent="0.4"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</row>
    <row r="24" spans="3:82" x14ac:dyDescent="0.4"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</row>
    <row r="25" spans="3:82" x14ac:dyDescent="0.4"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</row>
    <row r="26" spans="3:82" x14ac:dyDescent="0.4"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</row>
    <row r="27" spans="3:82" x14ac:dyDescent="0.4"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</row>
    <row r="28" spans="3:82" x14ac:dyDescent="0.4"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</row>
    <row r="29" spans="3:82" x14ac:dyDescent="0.4"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</row>
    <row r="30" spans="3:82" x14ac:dyDescent="0.4"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</row>
    <row r="31" spans="3:82" x14ac:dyDescent="0.4"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</row>
    <row r="32" spans="3:82" x14ac:dyDescent="0.4"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</row>
    <row r="33" spans="21:82" x14ac:dyDescent="0.4"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</row>
    <row r="34" spans="21:82" x14ac:dyDescent="0.4"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</row>
    <row r="35" spans="21:82" x14ac:dyDescent="0.4"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</row>
    <row r="36" spans="21:82" x14ac:dyDescent="0.4"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</row>
    <row r="37" spans="21:82" x14ac:dyDescent="0.4"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</row>
    <row r="38" spans="21:82" x14ac:dyDescent="0.4"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</row>
    <row r="39" spans="21:82" x14ac:dyDescent="0.4"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</row>
    <row r="40" spans="21:82" x14ac:dyDescent="0.4"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</row>
    <row r="41" spans="21:82" x14ac:dyDescent="0.4"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</row>
    <row r="42" spans="21:82" x14ac:dyDescent="0.4"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</row>
    <row r="43" spans="21:82" x14ac:dyDescent="0.4"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</row>
    <row r="44" spans="21:82" x14ac:dyDescent="0.4"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</row>
    <row r="45" spans="21:82" x14ac:dyDescent="0.4"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</row>
    <row r="46" spans="21:82" x14ac:dyDescent="0.4"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</row>
    <row r="47" spans="21:82" x14ac:dyDescent="0.4"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</row>
    <row r="48" spans="21:82" x14ac:dyDescent="0.4"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</row>
    <row r="49" spans="21:82" x14ac:dyDescent="0.4"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</row>
    <row r="50" spans="21:82" x14ac:dyDescent="0.4"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</row>
    <row r="51" spans="21:82" x14ac:dyDescent="0.4"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</row>
    <row r="52" spans="21:82" x14ac:dyDescent="0.4"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</row>
  </sheetData>
  <phoneticPr fontId="5" type="noConversion"/>
  <pageMargins left="0.511811024" right="0.511811024" top="0.78740157499999996" bottom="0.78740157499999996" header="0.31496062000000002" footer="0.31496062000000002"/>
  <pageSetup paperSize="9" scale="64" orientation="landscape" r:id="rId1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Drop Down 1">
              <controlPr defaultSize="0" autoLine="0" autoPict="0">
                <anchor moveWithCells="1">
                  <from>
                    <xdr:col>4</xdr:col>
                    <xdr:colOff>342900</xdr:colOff>
                    <xdr:row>3</xdr:row>
                    <xdr:rowOff>38100</xdr:rowOff>
                  </from>
                  <to>
                    <xdr:col>4</xdr:col>
                    <xdr:colOff>2583180</xdr:colOff>
                    <xdr:row>3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1F67-1585-4A87-8874-C4553BE6692B}">
  <dimension ref="C1:F11"/>
  <sheetViews>
    <sheetView showGridLines="0" zoomScale="107" zoomScaleNormal="107" workbookViewId="0">
      <selection activeCell="S11" sqref="S11"/>
    </sheetView>
  </sheetViews>
  <sheetFormatPr defaultRowHeight="13.2" x14ac:dyDescent="0.4"/>
  <cols>
    <col min="1" max="2" width="2.21875" style="7" customWidth="1"/>
    <col min="3" max="3" width="29.77734375" style="7" customWidth="1"/>
    <col min="4" max="4" width="14.44140625" style="7" customWidth="1"/>
    <col min="5" max="16384" width="8.88671875" style="7"/>
  </cols>
  <sheetData>
    <row r="1" spans="3:6" s="3" customFormat="1" ht="27.6" customHeight="1" x14ac:dyDescent="0.4"/>
    <row r="2" spans="3:6" s="5" customFormat="1" ht="21.6" customHeight="1" x14ac:dyDescent="0.4"/>
    <row r="4" spans="3:6" ht="25.05" customHeight="1" x14ac:dyDescent="0.4">
      <c r="C4" s="75" t="s">
        <v>302</v>
      </c>
      <c r="F4" s="75" t="s">
        <v>307</v>
      </c>
    </row>
    <row r="5" spans="3:6" ht="30" customHeight="1" x14ac:dyDescent="0.4">
      <c r="C5" s="270">
        <f>AVERAGE(D8:D11)</f>
        <v>0</v>
      </c>
      <c r="D5" s="270"/>
    </row>
    <row r="6" spans="3:6" ht="30" customHeight="1" x14ac:dyDescent="0.4">
      <c r="C6" s="270"/>
      <c r="D6" s="270"/>
    </row>
    <row r="7" spans="3:6" ht="25.05" customHeight="1" x14ac:dyDescent="0.4">
      <c r="C7" s="75" t="s">
        <v>303</v>
      </c>
    </row>
    <row r="8" spans="3:6" ht="37.950000000000003" customHeight="1" x14ac:dyDescent="0.4">
      <c r="C8" s="193" t="s">
        <v>30</v>
      </c>
      <c r="D8" s="194">
        <f>IFERROR(AVERAGE('est1'!$P$69:$P$84),0)</f>
        <v>0</v>
      </c>
    </row>
    <row r="9" spans="3:6" ht="37.950000000000003" customHeight="1" x14ac:dyDescent="0.4">
      <c r="C9" s="193" t="s">
        <v>33</v>
      </c>
      <c r="D9" s="194">
        <f>IFERROR(AVERAGE('est2'!$P$69:$P$84),0)</f>
        <v>0</v>
      </c>
    </row>
    <row r="10" spans="3:6" ht="37.950000000000003" customHeight="1" x14ac:dyDescent="0.4">
      <c r="C10" s="193" t="s">
        <v>304</v>
      </c>
      <c r="D10" s="194">
        <f>IFERROR(AVERAGE('est3'!$P$69:$P$84),0)</f>
        <v>0</v>
      </c>
    </row>
    <row r="11" spans="3:6" ht="37.950000000000003" customHeight="1" x14ac:dyDescent="0.4">
      <c r="C11" s="193" t="s">
        <v>76</v>
      </c>
      <c r="D11" s="194">
        <f>IFERROR(AVERAGE('est4'!$P$69:$P$84),0)</f>
        <v>0</v>
      </c>
    </row>
  </sheetData>
  <mergeCells count="1">
    <mergeCell ref="C5:D6"/>
  </mergeCells>
  <pageMargins left="0.511811024" right="0.511811024" top="0.78740157499999996" bottom="0.78740157499999996" header="0.31496062000000002" footer="0.31496062000000002"/>
  <pageSetup paperSize="9" scale="6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5D9BA6FF-6762-45BC-80FB-10F26DA34C03}">
            <xm:f>parametros!$N$2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between" id="{8FFFEA72-284F-4242-B1F3-DB9814D7F47B}">
            <xm:f>parametros!$N$3+1</xm:f>
            <xm:f>parametros!$N$4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14:cfRule type="cellIs" priority="3" operator="between" id="{DCD4B80B-D5D1-452B-8832-899904C50A8D}">
            <xm:f>parametros!$N$2+1</xm:f>
            <xm:f>parametros!$N$3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4" operator="lessThan" id="{F301C69A-9712-49B7-B7BE-DA81B9598500}">
            <xm:f>parametros!$N$2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14:cfRule type="cellIs" priority="5" operator="between" id="{2479289D-408A-4C4A-83BC-DFF9A517FB45}">
            <xm:f>parametros!$N$3+1</xm:f>
            <xm:f>parametros!$N$4</xm:f>
            <x14:dxf>
              <font>
                <color theme="0"/>
              </font>
              <fill>
                <patternFill>
                  <bgColor rgb="FF60943C"/>
                </patternFill>
              </fill>
            </x14:dxf>
          </x14:cfRule>
          <x14:cfRule type="cellIs" priority="6" operator="between" id="{E4659EEF-C774-4CA3-9463-9CC3680B4C67}">
            <xm:f>parametros!$N$2+1</xm:f>
            <xm:f>parametros!$N$3</xm:f>
            <x14:dxf>
              <font>
                <color theme="0"/>
              </font>
              <fill>
                <patternFill>
                  <bgColor rgb="FFFFC000"/>
                </patternFill>
              </fill>
            </x14:dxf>
          </x14:cfRule>
          <xm:sqref>D8:D11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222-38FF-4A29-97B9-DD5FEE01BD3B}">
  <dimension ref="C1:P56"/>
  <sheetViews>
    <sheetView zoomScale="107" zoomScaleNormal="107" workbookViewId="0">
      <selection activeCell="O30" sqref="O30"/>
    </sheetView>
  </sheetViews>
  <sheetFormatPr defaultRowHeight="13.2" x14ac:dyDescent="0.4"/>
  <cols>
    <col min="1" max="2" width="2.21875" style="7" customWidth="1"/>
    <col min="3" max="3" width="13.5546875" style="7" customWidth="1"/>
    <col min="4" max="4" width="8.109375" style="7" customWidth="1"/>
    <col min="5" max="5" width="37.88671875" style="7" customWidth="1"/>
    <col min="6" max="16" width="8.33203125" style="7" customWidth="1"/>
    <col min="17" max="16384" width="8.88671875" style="7"/>
  </cols>
  <sheetData>
    <row r="1" spans="3:16" s="3" customFormat="1" ht="27.6" customHeight="1" x14ac:dyDescent="0.4">
      <c r="E1" s="4"/>
    </row>
    <row r="2" spans="3:16" s="5" customFormat="1" ht="21.6" customHeight="1" x14ac:dyDescent="0.4"/>
    <row r="4" spans="3:16" ht="15.6" x14ac:dyDescent="0.4"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</row>
    <row r="5" spans="3:16" ht="39.6" x14ac:dyDescent="0.4">
      <c r="C5" s="170" t="s">
        <v>165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</row>
    <row r="6" spans="3:16" ht="15.6" x14ac:dyDescent="0.4">
      <c r="C6" s="107"/>
      <c r="D6" s="106"/>
      <c r="E6" s="107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</row>
    <row r="7" spans="3:16" ht="27.6" thickBot="1" x14ac:dyDescent="0.45">
      <c r="C7" s="280" t="s">
        <v>166</v>
      </c>
      <c r="D7" s="280"/>
      <c r="E7" s="281"/>
      <c r="F7" s="282" t="s">
        <v>167</v>
      </c>
      <c r="G7" s="283"/>
      <c r="H7" s="283"/>
      <c r="I7" s="283"/>
      <c r="J7" s="283"/>
      <c r="K7" s="283"/>
      <c r="L7" s="283"/>
      <c r="M7" s="283"/>
      <c r="N7" s="283"/>
      <c r="O7" s="284"/>
      <c r="P7" s="271" t="s">
        <v>60</v>
      </c>
    </row>
    <row r="8" spans="3:16" ht="21" thickBot="1" x14ac:dyDescent="0.45">
      <c r="C8" s="108" t="s">
        <v>168</v>
      </c>
      <c r="D8" s="108" t="s">
        <v>169</v>
      </c>
      <c r="E8" s="109" t="s">
        <v>170</v>
      </c>
      <c r="F8" s="272" t="s">
        <v>171</v>
      </c>
      <c r="G8" s="273"/>
      <c r="H8" s="273"/>
      <c r="I8" s="273"/>
      <c r="J8" s="274"/>
      <c r="K8" s="272" t="s">
        <v>172</v>
      </c>
      <c r="L8" s="273"/>
      <c r="M8" s="273"/>
      <c r="N8" s="273"/>
      <c r="O8" s="275"/>
      <c r="P8" s="271"/>
    </row>
    <row r="9" spans="3:16" ht="15" thickBot="1" x14ac:dyDescent="0.45">
      <c r="C9" s="110" t="s">
        <v>173</v>
      </c>
      <c r="D9" s="111">
        <v>0</v>
      </c>
      <c r="E9" s="276" t="s">
        <v>174</v>
      </c>
      <c r="F9" s="278">
        <f>id_org!G29</f>
        <v>0</v>
      </c>
      <c r="G9" s="278">
        <f>id_org!G30</f>
        <v>0</v>
      </c>
      <c r="H9" s="278">
        <f>id_org!G31</f>
        <v>0</v>
      </c>
      <c r="I9" s="278">
        <f>id_org!G32</f>
        <v>0</v>
      </c>
      <c r="J9" s="278">
        <f>id_org!G33</f>
        <v>0</v>
      </c>
      <c r="K9" s="278">
        <f>id_org!G36</f>
        <v>0</v>
      </c>
      <c r="L9" s="278">
        <f>id_org!G37</f>
        <v>0</v>
      </c>
      <c r="M9" s="278">
        <f>id_org!G38</f>
        <v>0</v>
      </c>
      <c r="N9" s="278">
        <f>id_org!G39</f>
        <v>0</v>
      </c>
      <c r="O9" s="278">
        <f>id_org!G40</f>
        <v>0</v>
      </c>
      <c r="P9" s="271"/>
    </row>
    <row r="10" spans="3:16" ht="15" thickBot="1" x14ac:dyDescent="0.45">
      <c r="C10" s="110" t="s">
        <v>175</v>
      </c>
      <c r="D10" s="111">
        <v>1</v>
      </c>
      <c r="E10" s="277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1"/>
    </row>
    <row r="11" spans="3:16" ht="15" thickBot="1" x14ac:dyDescent="0.45">
      <c r="C11" s="110" t="s">
        <v>176</v>
      </c>
      <c r="D11" s="111">
        <v>2</v>
      </c>
      <c r="E11" s="277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1"/>
    </row>
    <row r="12" spans="3:16" ht="15" thickBot="1" x14ac:dyDescent="0.45">
      <c r="C12" s="112" t="s">
        <v>173</v>
      </c>
      <c r="D12" s="113">
        <v>0</v>
      </c>
      <c r="E12" s="289" t="s">
        <v>177</v>
      </c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1"/>
    </row>
    <row r="13" spans="3:16" ht="15" thickBot="1" x14ac:dyDescent="0.45">
      <c r="C13" s="112" t="s">
        <v>175</v>
      </c>
      <c r="D13" s="113">
        <v>1</v>
      </c>
      <c r="E13" s="290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1"/>
    </row>
    <row r="14" spans="3:16" ht="15" thickBot="1" x14ac:dyDescent="0.45">
      <c r="C14" s="112" t="s">
        <v>176</v>
      </c>
      <c r="D14" s="113">
        <v>2</v>
      </c>
      <c r="E14" s="290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1"/>
    </row>
    <row r="15" spans="3:16" ht="15" thickBot="1" x14ac:dyDescent="0.45">
      <c r="C15" s="114" t="s">
        <v>173</v>
      </c>
      <c r="D15" s="115">
        <v>0</v>
      </c>
      <c r="E15" s="291" t="s">
        <v>178</v>
      </c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1"/>
    </row>
    <row r="16" spans="3:16" ht="15" thickBot="1" x14ac:dyDescent="0.45">
      <c r="C16" s="114" t="s">
        <v>179</v>
      </c>
      <c r="D16" s="115">
        <v>1</v>
      </c>
      <c r="E16" s="292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1"/>
    </row>
    <row r="17" spans="3:16" ht="15" thickBot="1" x14ac:dyDescent="0.45">
      <c r="C17" s="114" t="s">
        <v>180</v>
      </c>
      <c r="D17" s="115">
        <v>2</v>
      </c>
      <c r="E17" s="292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1"/>
    </row>
    <row r="18" spans="3:16" ht="15" thickBot="1" x14ac:dyDescent="0.45">
      <c r="C18" s="116" t="s">
        <v>173</v>
      </c>
      <c r="D18" s="117">
        <v>0</v>
      </c>
      <c r="E18" s="293" t="s">
        <v>181</v>
      </c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271"/>
    </row>
    <row r="19" spans="3:16" ht="15" thickBot="1" x14ac:dyDescent="0.45">
      <c r="C19" s="116" t="s">
        <v>182</v>
      </c>
      <c r="D19" s="117">
        <v>1</v>
      </c>
      <c r="E19" s="294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1"/>
    </row>
    <row r="20" spans="3:16" ht="14.4" x14ac:dyDescent="0.4">
      <c r="C20" s="116" t="s">
        <v>183</v>
      </c>
      <c r="D20" s="117">
        <v>2</v>
      </c>
      <c r="E20" s="294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1"/>
    </row>
    <row r="21" spans="3:16" ht="37.049999999999997" customHeight="1" thickBot="1" x14ac:dyDescent="0.45">
      <c r="C21" s="295" t="s">
        <v>184</v>
      </c>
      <c r="D21" s="298" t="s">
        <v>185</v>
      </c>
      <c r="E21" s="196">
        <f>id_org!C29</f>
        <v>0</v>
      </c>
      <c r="F21" s="197">
        <v>1</v>
      </c>
      <c r="G21" s="198">
        <v>2</v>
      </c>
      <c r="H21" s="198">
        <v>2</v>
      </c>
      <c r="I21" s="198">
        <v>0</v>
      </c>
      <c r="J21" s="199">
        <v>0</v>
      </c>
      <c r="K21" s="200">
        <v>2</v>
      </c>
      <c r="L21" s="201">
        <v>1</v>
      </c>
      <c r="M21" s="201">
        <v>1</v>
      </c>
      <c r="N21" s="201">
        <v>2</v>
      </c>
      <c r="O21" s="202">
        <v>1</v>
      </c>
      <c r="P21" s="118">
        <f t="shared" ref="P21:P30" si="0">SUM(F21:O21)</f>
        <v>12</v>
      </c>
    </row>
    <row r="22" spans="3:16" ht="37.049999999999997" customHeight="1" thickBot="1" x14ac:dyDescent="0.45">
      <c r="C22" s="296"/>
      <c r="D22" s="299"/>
      <c r="E22" s="196">
        <f>id_org!C30</f>
        <v>0</v>
      </c>
      <c r="F22" s="203">
        <v>2</v>
      </c>
      <c r="G22" s="204">
        <v>2</v>
      </c>
      <c r="H22" s="204">
        <v>2</v>
      </c>
      <c r="I22" s="204">
        <v>1</v>
      </c>
      <c r="J22" s="205">
        <v>1</v>
      </c>
      <c r="K22" s="206">
        <v>2</v>
      </c>
      <c r="L22" s="207">
        <v>1</v>
      </c>
      <c r="M22" s="207">
        <v>1</v>
      </c>
      <c r="N22" s="207">
        <v>0</v>
      </c>
      <c r="O22" s="208">
        <v>0</v>
      </c>
      <c r="P22" s="118">
        <f t="shared" si="0"/>
        <v>12</v>
      </c>
    </row>
    <row r="23" spans="3:16" ht="37.049999999999997" customHeight="1" thickBot="1" x14ac:dyDescent="0.45">
      <c r="C23" s="296"/>
      <c r="D23" s="299"/>
      <c r="E23" s="196">
        <f>id_org!C31</f>
        <v>0</v>
      </c>
      <c r="F23" s="203">
        <v>1</v>
      </c>
      <c r="G23" s="204">
        <v>2</v>
      </c>
      <c r="H23" s="204">
        <v>1</v>
      </c>
      <c r="I23" s="204">
        <v>0</v>
      </c>
      <c r="J23" s="205">
        <v>0</v>
      </c>
      <c r="K23" s="206">
        <v>2</v>
      </c>
      <c r="L23" s="207">
        <v>2</v>
      </c>
      <c r="M23" s="207">
        <v>1</v>
      </c>
      <c r="N23" s="207">
        <v>1</v>
      </c>
      <c r="O23" s="208">
        <v>1</v>
      </c>
      <c r="P23" s="118">
        <f t="shared" si="0"/>
        <v>11</v>
      </c>
    </row>
    <row r="24" spans="3:16" ht="37.049999999999997" customHeight="1" thickBot="1" x14ac:dyDescent="0.45">
      <c r="C24" s="296"/>
      <c r="D24" s="299"/>
      <c r="E24" s="196">
        <f>id_org!C32</f>
        <v>0</v>
      </c>
      <c r="F24" s="203">
        <v>0</v>
      </c>
      <c r="G24" s="204">
        <v>0</v>
      </c>
      <c r="H24" s="204">
        <v>0</v>
      </c>
      <c r="I24" s="204">
        <v>2</v>
      </c>
      <c r="J24" s="205">
        <v>2</v>
      </c>
      <c r="K24" s="206">
        <v>0</v>
      </c>
      <c r="L24" s="207">
        <v>0</v>
      </c>
      <c r="M24" s="207">
        <v>1</v>
      </c>
      <c r="N24" s="207">
        <v>1</v>
      </c>
      <c r="O24" s="208">
        <v>0</v>
      </c>
      <c r="P24" s="118">
        <f t="shared" si="0"/>
        <v>6</v>
      </c>
    </row>
    <row r="25" spans="3:16" ht="37.049999999999997" customHeight="1" thickBot="1" x14ac:dyDescent="0.45">
      <c r="C25" s="296"/>
      <c r="D25" s="300"/>
      <c r="E25" s="196">
        <f>id_org!C33</f>
        <v>0</v>
      </c>
      <c r="F25" s="209">
        <v>0</v>
      </c>
      <c r="G25" s="210">
        <v>0</v>
      </c>
      <c r="H25" s="210">
        <v>1</v>
      </c>
      <c r="I25" s="210">
        <v>1</v>
      </c>
      <c r="J25" s="211">
        <v>1</v>
      </c>
      <c r="K25" s="212">
        <v>1</v>
      </c>
      <c r="L25" s="213">
        <v>1</v>
      </c>
      <c r="M25" s="213">
        <v>0</v>
      </c>
      <c r="N25" s="213">
        <v>0</v>
      </c>
      <c r="O25" s="214">
        <v>0</v>
      </c>
      <c r="P25" s="118">
        <f t="shared" si="0"/>
        <v>5</v>
      </c>
    </row>
    <row r="26" spans="3:16" ht="37.049999999999997" customHeight="1" thickTop="1" thickBot="1" x14ac:dyDescent="0.45">
      <c r="C26" s="296"/>
      <c r="D26" s="298" t="s">
        <v>186</v>
      </c>
      <c r="E26" s="196">
        <f>id_org!C36</f>
        <v>0</v>
      </c>
      <c r="F26" s="215">
        <v>2</v>
      </c>
      <c r="G26" s="216">
        <v>1</v>
      </c>
      <c r="H26" s="216">
        <v>1</v>
      </c>
      <c r="I26" s="216">
        <v>0</v>
      </c>
      <c r="J26" s="217">
        <v>0</v>
      </c>
      <c r="K26" s="218">
        <v>2</v>
      </c>
      <c r="L26" s="219">
        <v>2</v>
      </c>
      <c r="M26" s="219">
        <v>1</v>
      </c>
      <c r="N26" s="219">
        <v>1</v>
      </c>
      <c r="O26" s="220">
        <v>1</v>
      </c>
      <c r="P26" s="119">
        <f t="shared" si="0"/>
        <v>11</v>
      </c>
    </row>
    <row r="27" spans="3:16" ht="37.049999999999997" customHeight="1" thickBot="1" x14ac:dyDescent="0.45">
      <c r="C27" s="296"/>
      <c r="D27" s="299"/>
      <c r="E27" s="196">
        <f>id_org!C37</f>
        <v>0</v>
      </c>
      <c r="F27" s="221">
        <v>2</v>
      </c>
      <c r="G27" s="222">
        <v>1</v>
      </c>
      <c r="H27" s="222">
        <v>1</v>
      </c>
      <c r="I27" s="222">
        <v>0</v>
      </c>
      <c r="J27" s="223">
        <v>0</v>
      </c>
      <c r="K27" s="224">
        <v>1</v>
      </c>
      <c r="L27" s="225">
        <v>2</v>
      </c>
      <c r="M27" s="225">
        <v>2</v>
      </c>
      <c r="N27" s="225">
        <v>1</v>
      </c>
      <c r="O27" s="226">
        <v>1</v>
      </c>
      <c r="P27" s="120">
        <f t="shared" si="0"/>
        <v>11</v>
      </c>
    </row>
    <row r="28" spans="3:16" ht="37.049999999999997" customHeight="1" thickBot="1" x14ac:dyDescent="0.45">
      <c r="C28" s="296"/>
      <c r="D28" s="299"/>
      <c r="E28" s="196">
        <f>id_org!C38</f>
        <v>0</v>
      </c>
      <c r="F28" s="221">
        <v>2</v>
      </c>
      <c r="G28" s="222">
        <v>2</v>
      </c>
      <c r="H28" s="222">
        <v>1</v>
      </c>
      <c r="I28" s="222">
        <v>0</v>
      </c>
      <c r="J28" s="223">
        <v>0</v>
      </c>
      <c r="K28" s="224">
        <v>1</v>
      </c>
      <c r="L28" s="225">
        <v>2</v>
      </c>
      <c r="M28" s="225">
        <v>2</v>
      </c>
      <c r="N28" s="225">
        <v>1</v>
      </c>
      <c r="O28" s="226">
        <v>0</v>
      </c>
      <c r="P28" s="120">
        <f t="shared" si="0"/>
        <v>11</v>
      </c>
    </row>
    <row r="29" spans="3:16" ht="37.049999999999997" customHeight="1" thickBot="1" x14ac:dyDescent="0.45">
      <c r="C29" s="296"/>
      <c r="D29" s="299"/>
      <c r="E29" s="196">
        <f>id_org!C39</f>
        <v>0</v>
      </c>
      <c r="F29" s="221">
        <v>2</v>
      </c>
      <c r="G29" s="222">
        <v>1</v>
      </c>
      <c r="H29" s="222">
        <v>2</v>
      </c>
      <c r="I29" s="222">
        <v>0</v>
      </c>
      <c r="J29" s="223">
        <v>2</v>
      </c>
      <c r="K29" s="224">
        <v>1</v>
      </c>
      <c r="L29" s="225">
        <v>1</v>
      </c>
      <c r="M29" s="225">
        <v>2</v>
      </c>
      <c r="N29" s="225">
        <v>1</v>
      </c>
      <c r="O29" s="226">
        <v>1</v>
      </c>
      <c r="P29" s="120">
        <f t="shared" si="0"/>
        <v>13</v>
      </c>
    </row>
    <row r="30" spans="3:16" ht="37.049999999999997" customHeight="1" thickBot="1" x14ac:dyDescent="0.45">
      <c r="C30" s="297"/>
      <c r="D30" s="301"/>
      <c r="E30" s="196">
        <f>id_org!C40</f>
        <v>0</v>
      </c>
      <c r="F30" s="227">
        <v>1</v>
      </c>
      <c r="G30" s="228">
        <v>0</v>
      </c>
      <c r="H30" s="228">
        <v>0</v>
      </c>
      <c r="I30" s="228">
        <v>1</v>
      </c>
      <c r="J30" s="229">
        <v>1</v>
      </c>
      <c r="K30" s="230">
        <v>1</v>
      </c>
      <c r="L30" s="231">
        <v>2</v>
      </c>
      <c r="M30" s="231">
        <v>2</v>
      </c>
      <c r="N30" s="231">
        <v>0</v>
      </c>
      <c r="O30" s="232">
        <v>0</v>
      </c>
      <c r="P30" s="120">
        <f t="shared" si="0"/>
        <v>8</v>
      </c>
    </row>
    <row r="31" spans="3:16" ht="37.049999999999997" customHeight="1" x14ac:dyDescent="0.4">
      <c r="C31" s="302" t="s">
        <v>60</v>
      </c>
      <c r="D31" s="302"/>
      <c r="E31" s="302"/>
      <c r="F31" s="121">
        <f t="shared" ref="F31:O31" si="1">SUM(F21:F25)-SUM(F26:F30)</f>
        <v>-5</v>
      </c>
      <c r="G31" s="121">
        <f t="shared" si="1"/>
        <v>1</v>
      </c>
      <c r="H31" s="121">
        <f t="shared" si="1"/>
        <v>1</v>
      </c>
      <c r="I31" s="121">
        <f t="shared" si="1"/>
        <v>3</v>
      </c>
      <c r="J31" s="122">
        <f t="shared" si="1"/>
        <v>1</v>
      </c>
      <c r="K31" s="121">
        <f t="shared" si="1"/>
        <v>1</v>
      </c>
      <c r="L31" s="121">
        <f t="shared" si="1"/>
        <v>-4</v>
      </c>
      <c r="M31" s="121">
        <f t="shared" si="1"/>
        <v>-5</v>
      </c>
      <c r="N31" s="121">
        <f t="shared" si="1"/>
        <v>0</v>
      </c>
      <c r="O31" s="122">
        <f t="shared" si="1"/>
        <v>-1</v>
      </c>
      <c r="P31" s="123"/>
    </row>
    <row r="32" spans="3:16" ht="15.6" x14ac:dyDescent="0.4"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</row>
    <row r="33" spans="3:16" ht="37.049999999999997" customHeight="1" x14ac:dyDescent="0.4">
      <c r="C33" s="303" t="s">
        <v>187</v>
      </c>
      <c r="D33" s="303"/>
      <c r="E33" s="124" t="s">
        <v>188</v>
      </c>
      <c r="F33" s="125">
        <f>SUM(F21:J25)</f>
        <v>24</v>
      </c>
      <c r="G33" s="126">
        <f>SUM(F26:J30)</f>
        <v>23</v>
      </c>
      <c r="H33" s="127" t="s">
        <v>189</v>
      </c>
      <c r="I33" s="128">
        <f>F33-G33</f>
        <v>1</v>
      </c>
      <c r="J33" s="106"/>
      <c r="K33" s="129">
        <f>IFERROR(F33/(COUNTA(F21:J25)*$D$11),"")</f>
        <v>0.48</v>
      </c>
      <c r="L33" s="130">
        <f>IFERROR(G33/(COUNTA(K21:O25)*$D$14),"")</f>
        <v>0.46</v>
      </c>
      <c r="M33" s="106"/>
      <c r="N33" s="125" t="s">
        <v>190</v>
      </c>
      <c r="O33" s="131" t="s">
        <v>191</v>
      </c>
      <c r="P33" s="106"/>
    </row>
    <row r="34" spans="3:16" ht="37.049999999999997" customHeight="1" x14ac:dyDescent="0.4">
      <c r="C34" s="303"/>
      <c r="D34" s="303"/>
      <c r="E34" s="124" t="s">
        <v>192</v>
      </c>
      <c r="F34" s="131">
        <f>SUM(K21:O25)</f>
        <v>22</v>
      </c>
      <c r="G34" s="132">
        <f>SUM(K26:O30)</f>
        <v>31</v>
      </c>
      <c r="H34" s="127" t="s">
        <v>189</v>
      </c>
      <c r="I34" s="128">
        <f>F34-G34</f>
        <v>-9</v>
      </c>
      <c r="J34" s="106"/>
      <c r="K34" s="133">
        <f>IFERROR(F34/(COUNTA(F26:J30)*$D$17),"")</f>
        <v>0.44</v>
      </c>
      <c r="L34" s="134">
        <f>IFERROR(G34/(COUNTA(K26:O30)*$D$20),"")</f>
        <v>0.62</v>
      </c>
      <c r="M34" s="106"/>
      <c r="N34" s="126" t="s">
        <v>193</v>
      </c>
      <c r="O34" s="132" t="s">
        <v>194</v>
      </c>
      <c r="P34" s="106"/>
    </row>
    <row r="35" spans="3:16" ht="37.049999999999997" customHeight="1" x14ac:dyDescent="0.4">
      <c r="C35" s="303"/>
      <c r="D35" s="303"/>
      <c r="E35" s="304" t="s">
        <v>195</v>
      </c>
      <c r="F35" s="304"/>
      <c r="G35" s="304"/>
      <c r="H35" s="127" t="s">
        <v>189</v>
      </c>
      <c r="I35" s="135">
        <f>SUM(I33:I34)</f>
        <v>-8</v>
      </c>
      <c r="J35" s="106"/>
      <c r="K35" s="285" t="s">
        <v>196</v>
      </c>
      <c r="L35" s="285"/>
      <c r="M35" s="106"/>
      <c r="N35" s="286" t="s">
        <v>197</v>
      </c>
      <c r="O35" s="286"/>
      <c r="P35" s="136"/>
    </row>
    <row r="36" spans="3:16" ht="15.6" x14ac:dyDescent="0.4">
      <c r="C36" s="106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06"/>
    </row>
    <row r="37" spans="3:16" ht="24.6" x14ac:dyDescent="0.4">
      <c r="C37" s="287" t="s">
        <v>198</v>
      </c>
      <c r="D37" s="287"/>
      <c r="E37" s="287"/>
      <c r="F37" s="137"/>
      <c r="G37" s="137"/>
      <c r="H37" s="138"/>
      <c r="I37" s="138"/>
      <c r="J37" s="139" t="s">
        <v>185</v>
      </c>
      <c r="K37" s="140">
        <f>SUM(P21:P25)</f>
        <v>46</v>
      </c>
      <c r="L37" s="139"/>
      <c r="M37" s="138"/>
      <c r="N37" s="138"/>
      <c r="O37" s="137"/>
      <c r="P37" s="106"/>
    </row>
    <row r="38" spans="3:16" ht="15.6" x14ac:dyDescent="0.4">
      <c r="C38" s="288"/>
      <c r="D38" s="288"/>
      <c r="E38" s="288"/>
      <c r="F38" s="137"/>
      <c r="G38" s="137"/>
      <c r="H38" s="138"/>
      <c r="I38" s="138"/>
      <c r="J38" s="139" t="s">
        <v>171</v>
      </c>
      <c r="K38" s="140">
        <f>SUM(F31:J31)</f>
        <v>1</v>
      </c>
      <c r="L38" s="139"/>
      <c r="M38" s="138"/>
      <c r="N38" s="138"/>
      <c r="O38" s="137"/>
      <c r="P38" s="106"/>
    </row>
    <row r="39" spans="3:16" ht="15.6" x14ac:dyDescent="0.4">
      <c r="C39" s="288"/>
      <c r="D39" s="288"/>
      <c r="E39" s="288"/>
      <c r="F39" s="137"/>
      <c r="G39" s="137"/>
      <c r="H39" s="138"/>
      <c r="I39" s="138"/>
      <c r="J39" s="139" t="s">
        <v>186</v>
      </c>
      <c r="K39" s="140">
        <f>SUM(P26:P30)</f>
        <v>54</v>
      </c>
      <c r="L39" s="139"/>
      <c r="M39" s="138"/>
      <c r="N39" s="138"/>
      <c r="O39" s="137"/>
      <c r="P39" s="106"/>
    </row>
    <row r="40" spans="3:16" ht="15.6" x14ac:dyDescent="0.4">
      <c r="C40" s="288"/>
      <c r="D40" s="288"/>
      <c r="E40" s="288"/>
      <c r="F40" s="137"/>
      <c r="G40" s="137"/>
      <c r="H40" s="138"/>
      <c r="I40" s="138"/>
      <c r="J40" s="139" t="s">
        <v>172</v>
      </c>
      <c r="K40" s="140">
        <f>SUM(K31:O31)</f>
        <v>-9</v>
      </c>
      <c r="L40" s="139"/>
      <c r="M40" s="138"/>
      <c r="N40" s="138"/>
      <c r="O40" s="137"/>
      <c r="P40" s="106"/>
    </row>
    <row r="41" spans="3:16" ht="15.6" x14ac:dyDescent="0.4">
      <c r="C41" s="288"/>
      <c r="D41" s="288"/>
      <c r="E41" s="288"/>
      <c r="F41" s="137"/>
      <c r="G41" s="137"/>
      <c r="H41" s="138"/>
      <c r="I41" s="138"/>
      <c r="J41" s="138"/>
      <c r="K41" s="138"/>
      <c r="L41" s="138"/>
      <c r="M41" s="138"/>
      <c r="N41" s="138"/>
      <c r="O41" s="137"/>
      <c r="P41" s="106"/>
    </row>
    <row r="42" spans="3:16" ht="15.6" x14ac:dyDescent="0.4">
      <c r="C42" s="288"/>
      <c r="D42" s="288"/>
      <c r="E42" s="288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06"/>
    </row>
    <row r="43" spans="3:16" ht="15.6" x14ac:dyDescent="0.4">
      <c r="C43" s="288"/>
      <c r="D43" s="288"/>
      <c r="E43" s="288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06"/>
    </row>
    <row r="44" spans="3:16" ht="15.6" x14ac:dyDescent="0.4">
      <c r="C44" s="288"/>
      <c r="D44" s="288"/>
      <c r="E44" s="288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06"/>
    </row>
    <row r="45" spans="3:16" ht="15.6" x14ac:dyDescent="0.4">
      <c r="C45" s="288"/>
      <c r="D45" s="288"/>
      <c r="E45" s="288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06"/>
    </row>
    <row r="46" spans="3:16" ht="15.6" x14ac:dyDescent="0.4">
      <c r="C46" s="288"/>
      <c r="D46" s="288"/>
      <c r="E46" s="288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06"/>
    </row>
    <row r="47" spans="3:16" ht="15.6" x14ac:dyDescent="0.4">
      <c r="C47" s="288"/>
      <c r="D47" s="288"/>
      <c r="E47" s="288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06"/>
    </row>
    <row r="48" spans="3:16" ht="15.6" x14ac:dyDescent="0.4">
      <c r="C48" s="288"/>
      <c r="D48" s="288"/>
      <c r="E48" s="288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06"/>
    </row>
    <row r="49" spans="3:16" ht="15.6" x14ac:dyDescent="0.4">
      <c r="C49" s="288"/>
      <c r="D49" s="288"/>
      <c r="E49" s="288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</row>
    <row r="50" spans="3:16" ht="15.6" x14ac:dyDescent="0.4">
      <c r="C50" s="288"/>
      <c r="D50" s="288"/>
      <c r="E50" s="288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</row>
    <row r="51" spans="3:16" ht="15.6" x14ac:dyDescent="0.4">
      <c r="C51" s="288"/>
      <c r="D51" s="288"/>
      <c r="E51" s="288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</row>
    <row r="52" spans="3:16" ht="15.6" x14ac:dyDescent="0.4">
      <c r="C52" s="288"/>
      <c r="D52" s="288"/>
      <c r="E52" s="288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</row>
    <row r="53" spans="3:16" ht="15.6" x14ac:dyDescent="0.4">
      <c r="C53" s="288"/>
      <c r="D53" s="288"/>
      <c r="E53" s="288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</row>
    <row r="54" spans="3:16" ht="15.6" x14ac:dyDescent="0.4">
      <c r="C54" s="288"/>
      <c r="D54" s="288"/>
      <c r="E54" s="288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</row>
    <row r="55" spans="3:16" ht="15.6" x14ac:dyDescent="0.4">
      <c r="C55" s="288"/>
      <c r="D55" s="288"/>
      <c r="E55" s="288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</row>
    <row r="56" spans="3:16" ht="15.6" x14ac:dyDescent="0.4"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</row>
  </sheetData>
  <mergeCells count="29">
    <mergeCell ref="K35:L35"/>
    <mergeCell ref="N35:O35"/>
    <mergeCell ref="C37:E37"/>
    <mergeCell ref="C38:E55"/>
    <mergeCell ref="O9:O20"/>
    <mergeCell ref="E12:E14"/>
    <mergeCell ref="E15:E17"/>
    <mergeCell ref="E18:E20"/>
    <mergeCell ref="C21:C30"/>
    <mergeCell ref="D21:D25"/>
    <mergeCell ref="D26:D30"/>
    <mergeCell ref="C31:E31"/>
    <mergeCell ref="C33:D35"/>
    <mergeCell ref="E35:G35"/>
    <mergeCell ref="P7:P20"/>
    <mergeCell ref="F8:J8"/>
    <mergeCell ref="K8:O8"/>
    <mergeCell ref="E9:E11"/>
    <mergeCell ref="F9:F20"/>
    <mergeCell ref="G9:G20"/>
    <mergeCell ref="H9:H20"/>
    <mergeCell ref="I9:I20"/>
    <mergeCell ref="J9:J20"/>
    <mergeCell ref="K9:K20"/>
    <mergeCell ref="C7:E7"/>
    <mergeCell ref="F7:O7"/>
    <mergeCell ref="L9:L20"/>
    <mergeCell ref="M9:M20"/>
    <mergeCell ref="N9:N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25</vt:i4>
      </vt:variant>
      <vt:variant>
        <vt:lpstr>Intervalos Nomeados</vt:lpstr>
      </vt:variant>
      <vt:variant>
        <vt:i4>29</vt:i4>
      </vt:variant>
    </vt:vector>
  </HeadingPairs>
  <TitlesOfParts>
    <vt:vector size="54" baseType="lpstr">
      <vt:lpstr>feriados</vt:lpstr>
      <vt:lpstr>parametros</vt:lpstr>
      <vt:lpstr>id_org</vt:lpstr>
      <vt:lpstr>equipes</vt:lpstr>
      <vt:lpstr>funcionários</vt:lpstr>
      <vt:lpstr>me</vt:lpstr>
      <vt:lpstr>mg</vt:lpstr>
      <vt:lpstr>est1</vt:lpstr>
      <vt:lpstr>est2</vt:lpstr>
      <vt:lpstr>est3</vt:lpstr>
      <vt:lpstr>est4</vt:lpstr>
      <vt:lpstr>PA1</vt:lpstr>
      <vt:lpstr>PA2</vt:lpstr>
      <vt:lpstr>PA3</vt:lpstr>
      <vt:lpstr>PA4</vt:lpstr>
      <vt:lpstr>RC_est</vt:lpstr>
      <vt:lpstr>RC_mg</vt:lpstr>
      <vt:lpstr>RC_pa</vt:lpstr>
      <vt:lpstr>RC_ae</vt:lpstr>
      <vt:lpstr>RC_imp</vt:lpstr>
      <vt:lpstr>mapa</vt:lpstr>
      <vt:lpstr>dash_ap</vt:lpstr>
      <vt:lpstr>dash_apa</vt:lpstr>
      <vt:lpstr>dash_ae</vt:lpstr>
      <vt:lpstr>imp_swot</vt:lpstr>
      <vt:lpstr>dash_ae!Area_de_impressao</vt:lpstr>
      <vt:lpstr>dash_ap!Area_de_impressao</vt:lpstr>
      <vt:lpstr>dash_apa!Area_de_impressao</vt:lpstr>
      <vt:lpstr>'PA1'!Area_de_impressao</vt:lpstr>
      <vt:lpstr>'PA2'!Area_de_impressao</vt:lpstr>
      <vt:lpstr>'PA3'!Area_de_impressao</vt:lpstr>
      <vt:lpstr>'PA4'!Area_de_impressao</vt:lpstr>
      <vt:lpstr>RC_ae!Area_de_impressao</vt:lpstr>
      <vt:lpstr>RC_est!Area_de_impressao</vt:lpstr>
      <vt:lpstr>RC_pa!Area_de_impressao</vt:lpstr>
      <vt:lpstr>equipes</vt:lpstr>
      <vt:lpstr>feriados</vt:lpstr>
      <vt:lpstr>funcionarios</vt:lpstr>
      <vt:lpstr>me_fin</vt:lpstr>
      <vt:lpstr>me_log</vt:lpstr>
      <vt:lpstr>me_mkt</vt:lpstr>
      <vt:lpstr>me_rh</vt:lpstr>
      <vt:lpstr>params_ano</vt:lpstr>
      <vt:lpstr>params_direcao</vt:lpstr>
      <vt:lpstr>params_meses</vt:lpstr>
      <vt:lpstr>params_pespc</vt:lpstr>
      <vt:lpstr>params_qtda_anos</vt:lpstr>
      <vt:lpstr>params_situacao</vt:lpstr>
      <vt:lpstr>params_status</vt:lpstr>
      <vt:lpstr>params_und</vt:lpstr>
      <vt:lpstr>perspectiva_clientes</vt:lpstr>
      <vt:lpstr>perspectiva_financeira</vt:lpstr>
      <vt:lpstr>perspectiva_pi</vt:lpstr>
      <vt:lpstr>perspectiva_rh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Berigo Herculis</dc:creator>
  <cp:lastModifiedBy>Daniel Berigo Herculis</cp:lastModifiedBy>
  <cp:lastPrinted>2026-05-05T11:21:12Z</cp:lastPrinted>
  <dcterms:created xsi:type="dcterms:W3CDTF">2026-04-26T18:58:10Z</dcterms:created>
  <dcterms:modified xsi:type="dcterms:W3CDTF">2026-08-18T18:38:14Z</dcterms:modified>
</cp:coreProperties>
</file>